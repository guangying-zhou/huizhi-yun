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30720" windowHeight="13644" tabRatio="905"/>
  </bookViews>
  <sheets>
    <sheet name="项目汇总" sheetId="1" r:id="rId1"/>
    <sheet name="交付-不动产组 " sheetId="202" r:id="rId2"/>
    <sheet name="交付-房产组" sheetId="204" r:id="rId3"/>
    <sheet name="交付-物业组" sheetId="203" r:id="rId4"/>
    <sheet name="交付-AI大数据组" sheetId="205" r:id="rId5"/>
    <sheet name="交付-JD组" sheetId="206" r:id="rId6"/>
    <sheet name="产品研发部" sheetId="207" r:id="rId7"/>
    <sheet name="汇房智选部" sheetId="208" r:id="rId8"/>
    <sheet name="软件项目部" sheetId="209" r:id="rId9"/>
  </sheets>
  <externalReferences>
    <externalReference r:id="rId10"/>
    <externalReference r:id="rId11"/>
    <externalReference r:id="rId12"/>
    <externalReference r:id="rId13"/>
    <externalReference r:id="rId14"/>
    <externalReference r:id="rId15"/>
  </externalReferences>
  <definedNames>
    <definedName name="_xlnm._FilterDatabase" localSheetId="1" hidden="1">'交付-不动产组 '!$A$1:$L$40</definedName>
    <definedName name="_xlnm._FilterDatabase" localSheetId="3" hidden="1">#REF!</definedName>
    <definedName name="_xlnm._FilterDatabase" localSheetId="2" hidden="1">#REF!</definedName>
    <definedName name="_xlnm._FilterDatabase" localSheetId="4" hidden="1">#REF!</definedName>
    <definedName name="_xlnm._FilterDatabase" localSheetId="5" hidden="1">#REF!</definedName>
    <definedName name="_xlnm._FilterDatabase" localSheetId="6" hidden="1">产品研发部!#REF!</definedName>
    <definedName name="_xlnm._FilterDatabase" localSheetId="7" hidden="1">#REF!</definedName>
    <definedName name="_xlnm._FilterDatabase" localSheetId="8"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王壮-leo</author>
  </authors>
  <commentList>
    <comment ref="M2" authorId="0">
      <text>
        <r>
          <rPr>
            <b/>
            <sz val="9"/>
            <rFont val="宋体"/>
            <charset val="134"/>
          </rPr>
          <t>王壮-leo:</t>
        </r>
        <r>
          <rPr>
            <sz val="9"/>
            <rFont val="宋体"/>
            <charset val="134"/>
          </rPr>
          <t xml:space="preserve">
按照每周各项目成员填报工时累计之和除以8计算</t>
        </r>
      </text>
    </comment>
  </commentList>
</comments>
</file>

<file path=xl/sharedStrings.xml><?xml version="1.0" encoding="utf-8"?>
<sst xmlns="http://schemas.openxmlformats.org/spreadsheetml/2006/main" count="864" uniqueCount="362">
  <si>
    <t>项目周报汇总（2026.3.2-2025.3.6）</t>
  </si>
  <si>
    <t>序号</t>
  </si>
  <si>
    <t>隶属部门</t>
  </si>
  <si>
    <t>项目类型</t>
  </si>
  <si>
    <t>项目编号</t>
  </si>
  <si>
    <t>项目名称</t>
  </si>
  <si>
    <t>项目经理</t>
  </si>
  <si>
    <t>立项情况</t>
  </si>
  <si>
    <t>当前阶段</t>
  </si>
  <si>
    <t>进度情况</t>
  </si>
  <si>
    <t>总体完成进度</t>
  </si>
  <si>
    <t>合同状态</t>
  </si>
  <si>
    <t>回款情况</t>
  </si>
  <si>
    <t>上周人力投入(人天)</t>
  </si>
  <si>
    <t>本周人力投入(人天)</t>
  </si>
  <si>
    <t>人力较上周</t>
  </si>
  <si>
    <t>重大问题和风险</t>
  </si>
  <si>
    <t>待协调资源</t>
  </si>
  <si>
    <t>备注</t>
  </si>
  <si>
    <t>交付中心
（王壮）</t>
  </si>
  <si>
    <t>不动产组
（宋义振）</t>
  </si>
  <si>
    <t>济南市不动产登记系统功能拓展</t>
  </si>
  <si>
    <t>宋义振</t>
  </si>
  <si>
    <t>长期项目</t>
  </si>
  <si>
    <t>上线运行</t>
  </si>
  <si>
    <t>正常</t>
  </si>
  <si>
    <t>——</t>
  </si>
  <si>
    <t>已申报预算，未签订</t>
  </si>
  <si>
    <t>不动产登记信息平台信创升级改造项目</t>
  </si>
  <si>
    <t>已立项</t>
  </si>
  <si>
    <t>验收</t>
  </si>
  <si>
    <t>已签订</t>
  </si>
  <si>
    <t>济南市不动产登记云柜台（线上移动)系统</t>
  </si>
  <si>
    <t>陈一明</t>
  </si>
  <si>
    <t>将完工无需立项</t>
  </si>
  <si>
    <t>开发</t>
  </si>
  <si>
    <t>济南市不动产预受理系统</t>
  </si>
  <si>
    <t>房产组
（刘存山）</t>
  </si>
  <si>
    <t>济南市房产交易管理平台拓展</t>
  </si>
  <si>
    <t>张大伟</t>
  </si>
  <si>
    <t>未签订</t>
  </si>
  <si>
    <t>济南房产交易与租赁服务平台</t>
  </si>
  <si>
    <t>李宪鹏</t>
  </si>
  <si>
    <t>严重延迟</t>
  </si>
  <si>
    <t>90%？</t>
  </si>
  <si>
    <t>已签合同</t>
  </si>
  <si>
    <t>进度延迟严重</t>
  </si>
  <si>
    <t>21250606J</t>
  </si>
  <si>
    <t>山东省机关事务局职工房改管理系统适配改造项目</t>
  </si>
  <si>
    <t>付艳芳</t>
  </si>
  <si>
    <t>宿松房产一体化平台</t>
  </si>
  <si>
    <t>刘存山</t>
  </si>
  <si>
    <t>未立项</t>
  </si>
  <si>
    <t>售前</t>
  </si>
  <si>
    <t>物业组
（袁畅）</t>
  </si>
  <si>
    <t>日照市三平台融合、智慧物业、住宅专项维修资金系统信创改造项目</t>
  </si>
  <si>
    <t>王成</t>
  </si>
  <si>
    <t>滨州智慧物业</t>
  </si>
  <si>
    <t>王壮</t>
  </si>
  <si>
    <t>实施</t>
  </si>
  <si>
    <t>有合同</t>
  </si>
  <si>
    <t>泉农通二期销售售前支持</t>
  </si>
  <si>
    <t>刘传祥</t>
  </si>
  <si>
    <t>销售立项</t>
  </si>
  <si>
    <t>AI大数据组
（李朔刚）</t>
  </si>
  <si>
    <t>济南市不动产登记全量数据汇交及比对系统</t>
  </si>
  <si>
    <t>李朔刚</t>
  </si>
  <si>
    <t>济南市不动产登记电子监督系统功能拓展</t>
  </si>
  <si>
    <t>不动产登记人工智能数字人(一期)项目</t>
  </si>
  <si>
    <t>延迟</t>
  </si>
  <si>
    <t>无合同</t>
  </si>
  <si>
    <t>21250313J</t>
  </si>
  <si>
    <t>电子监督系统标准化产品改造</t>
  </si>
  <si>
    <t>佟丽</t>
  </si>
  <si>
    <t>JD组
（王庆嵋）</t>
  </si>
  <si>
    <t>210123ZHJJ02</t>
  </si>
  <si>
    <t>基层经费监管系统升级研发（二期）</t>
  </si>
  <si>
    <t>王庆嵋</t>
  </si>
  <si>
    <t>JD维护</t>
  </si>
  <si>
    <t>技术支持部
（王壮）</t>
  </si>
  <si>
    <t>运维项目</t>
  </si>
  <si>
    <t>不动产登记应用软件维护</t>
  </si>
  <si>
    <t>付蕾</t>
  </si>
  <si>
    <t>济南市房产交易部门运维</t>
  </si>
  <si>
    <t>房产项目运维</t>
  </si>
  <si>
    <t>智慧物业运维（维修资金）项目运维</t>
  </si>
  <si>
    <t>上周人力小计：</t>
  </si>
  <si>
    <t>本周人力小计：</t>
  </si>
  <si>
    <t>人力饱和度</t>
  </si>
  <si>
    <t>产品研发部
（曹倩）</t>
  </si>
  <si>
    <t>研发项目</t>
  </si>
  <si>
    <t>21250925HF</t>
  </si>
  <si>
    <t>汇房智慧住房租赁综合管理与服务平台</t>
  </si>
  <si>
    <t>曹倩</t>
  </si>
  <si>
    <t>立项</t>
  </si>
  <si>
    <t>21250807J</t>
  </si>
  <si>
    <t>基础平台</t>
  </si>
  <si>
    <t>李昱江</t>
  </si>
  <si>
    <t>立项中</t>
  </si>
  <si>
    <t>/</t>
  </si>
  <si>
    <t>内部管理系统</t>
  </si>
  <si>
    <t>汇房智选部
（任建伟）</t>
  </si>
  <si>
    <t>22250903HF</t>
  </si>
  <si>
    <t>济南市联合资产交易公示平台</t>
  </si>
  <si>
    <t>王帅</t>
  </si>
  <si>
    <t>汇房云经纪人</t>
  </si>
  <si>
    <t>任建伟</t>
  </si>
  <si>
    <t>发布</t>
  </si>
  <si>
    <t>22250829HF</t>
  </si>
  <si>
    <t>车位使用权公证备案平台</t>
  </si>
  <si>
    <t>22251028HFJ</t>
  </si>
  <si>
    <t>卓识网安业务平台系统</t>
  </si>
  <si>
    <t>需求</t>
  </si>
  <si>
    <t>21250516HF</t>
  </si>
  <si>
    <t>汇房考试培训系统</t>
  </si>
  <si>
    <t>21250801J</t>
  </si>
  <si>
    <t>公司内部系统维护升级项目</t>
  </si>
  <si>
    <t>房源超市SaaS产品化改造(新房超市SaaS)</t>
  </si>
  <si>
    <t>卓识网安业务平台系统-知识库</t>
  </si>
  <si>
    <t>房屋租赁管理系统(汇房云租)</t>
  </si>
  <si>
    <t>待立项</t>
  </si>
  <si>
    <t>挂起</t>
  </si>
  <si>
    <t>阳信房产超市运维&amp;乐居乳山</t>
  </si>
  <si>
    <t>安震、王帅</t>
  </si>
  <si>
    <t>软件项目部
(王成)</t>
  </si>
  <si>
    <t>日照银行智慧社区维护与升级</t>
  </si>
  <si>
    <t>项目信息</t>
  </si>
  <si>
    <t>当前进度</t>
  </si>
  <si>
    <t>合同回款情况</t>
  </si>
  <si>
    <t>工作/计划</t>
  </si>
  <si>
    <t>模块名称</t>
  </si>
  <si>
    <t>任务简述（多人完成可以合并单元格）</t>
  </si>
  <si>
    <t>责任人（只能填一个人）</t>
  </si>
  <si>
    <t>完成度</t>
  </si>
  <si>
    <t>未完成情况说明</t>
  </si>
  <si>
    <t>工作量（人日）</t>
  </si>
  <si>
    <t xml:space="preserve">济南市不动产登记系统功能拓展
项目编号：22220901
</t>
  </si>
  <si>
    <t>--</t>
  </si>
  <si>
    <t>本周工作</t>
  </si>
  <si>
    <t>不动产登记系统：根据周二“登记中心26年重点工作座谈会”最新要求修改量化登记需求解决方案。</t>
  </si>
  <si>
    <t>不动产登记系统：法院总对总来源业务，登簿后需自动生成协助执行通知书文件至业务数字化中，供回传登簿接口反馈使用。
    登簿节点：增加省部级法院总对总查封业务登簿后生成协助执行通知书(不动产回执)定时任务。</t>
  </si>
  <si>
    <t>不动产登记-数据共享系统：网签推送接收接口，置成待确定状态的网签合同新增条件，如房屋存在有效的首次登记业务不在标记“待确定”状态。</t>
  </si>
  <si>
    <t>不动产登记中心参加会议：与权籍、档案部讨论数据整理相关问题，同时就当前系统使用情况作了一些调整需求。</t>
  </si>
  <si>
    <t>不动产登记中心参加：登记中心2026年度重点工作涉及座谈会，对涉及汇智技术保障的内容进行研讨交流。</t>
  </si>
  <si>
    <t>不动产登记系统：办理登记类型为补证（其他登记）或变更登记业务时，不再核实信用。（应要求功能发布生产）</t>
  </si>
  <si>
    <t>不动产登记系统：云柜台业务增加取消人工帮办功能。</t>
  </si>
  <si>
    <t>不动产登记系统：云柜台业务传递业务相关数字化材料空缺时增加限制并提醒。</t>
  </si>
  <si>
    <t>不动产登记中心会议讨论2026年重点工作。</t>
  </si>
  <si>
    <t>李国强</t>
  </si>
  <si>
    <t>网上抵押系统银行问题处理维护。</t>
  </si>
  <si>
    <t>李中正</t>
  </si>
  <si>
    <t>法院总对总来源业务，登簿后需自动生成协助执行通知书文件至业务数字化中，供回传登簿接口反馈使用：
1、法院回执安云印电子签章接口。
2、法院协助执行通知书定时生成数字化材料。
3、查封登簿法院回传接口增加逻辑运行判断，获取登簿生成数字化回函文件，修改构建报文。编写代码调整接口，造数据自测定时新增逻辑。提交代码。</t>
  </si>
  <si>
    <t>张志鹏</t>
  </si>
  <si>
    <t>合计</t>
  </si>
  <si>
    <t>下周计划</t>
  </si>
  <si>
    <t xml:space="preserve">济南市不动产登记中心不动产登记信息平台信创升级改造项目
项目编号：22250226
</t>
  </si>
  <si>
    <t>信创-登记系统</t>
  </si>
  <si>
    <t>签批屏在Chrome上的适配：电子签名申请表, 登录工号显示器，评价器。测试定位修改代码，签批屏代码在正常显示使用。</t>
  </si>
  <si>
    <t>编目菜单扫描仪+高拍仪适配。</t>
  </si>
  <si>
    <t>调试申请人模块高拍仪功能：申请人读卡、申请人拍照、人像比对。</t>
  </si>
  <si>
    <t>信创-自助系统</t>
  </si>
  <si>
    <t>信创-电子监督系统、数据汇聚分平台</t>
  </si>
  <si>
    <t>1. 数据迁移程序的信创改造，兼容DB2和瀚高数据库的数据导出、迁移、入库Clickhouse。
2. 信创电子监督系统功能测试。</t>
  </si>
  <si>
    <t>王建</t>
  </si>
  <si>
    <t>其他</t>
  </si>
  <si>
    <t>登记系统移动端：修改"设置"界面样式。</t>
  </si>
  <si>
    <t>董文超</t>
  </si>
  <si>
    <t>btware统信开机自启功能完善，待实机验证。</t>
  </si>
  <si>
    <t>济南市不动产登记云柜台（线上移动)系统
项目编号：22220202</t>
  </si>
  <si>
    <t>运维</t>
  </si>
  <si>
    <t>济南市不动产预受理系统
项目编号：22220701</t>
  </si>
  <si>
    <t>房管软件运维</t>
  </si>
  <si>
    <t>工单   30 件</t>
  </si>
  <si>
    <t>李猛</t>
  </si>
  <si>
    <t>陪产假</t>
  </si>
  <si>
    <t>杨森</t>
  </si>
  <si>
    <t>房管系统运维</t>
  </si>
  <si>
    <t>省直房改房：200多G存储数字化文件丢失，重启20个数字化拷贝任务
住建局：导出retms库的ktbdcdy表到91.47上。
两会重保期间，巡检并填写交易和存量房这边的巡检记录表</t>
  </si>
  <si>
    <t>杨真真</t>
  </si>
  <si>
    <t>祝席成</t>
  </si>
  <si>
    <t>不动产软件运维</t>
  </si>
  <si>
    <t>工单 296  件
增量数据汇交日检</t>
  </si>
  <si>
    <t>不动产系统运维</t>
  </si>
  <si>
    <t>解决龙奥大厦自助机器访问自助受理信创系统网络问题。
整理农房一体系统报出的web账号的弱口令的反馈文档。
处理不动产数字化zip目录下边缺少的文件的业务问题。
下班后在93.142机器上开启不动产数字化同步rsync的任务。
在93.140上制定不动产数字化目录zip下午18点定时启动同步，早上7点30定时关闭rsync。</t>
  </si>
  <si>
    <t xml:space="preserve">济南市房产交易管理平台拓展项目编号:22221201
</t>
  </si>
  <si>
    <t>99%</t>
  </si>
  <si>
    <t>根据大数据局反馈修改推送超时</t>
  </si>
  <si>
    <t>修改房源核验逻辑规则</t>
  </si>
  <si>
    <t>处理企业证明申报以及测绘GIS不动产单元号核对</t>
  </si>
  <si>
    <t>配合统计商品房个人购房、测绘楼盘统计、受理科工作量统计</t>
  </si>
  <si>
    <t>省直房改运维</t>
  </si>
  <si>
    <t>济南房产交易运维</t>
  </si>
  <si>
    <t>日常运维</t>
  </si>
  <si>
    <t>市房改运维</t>
  </si>
  <si>
    <t>宋雯雯</t>
  </si>
  <si>
    <t>按要求为甲方导数据
制作审计署要的上报数据
研究储备用房出售问题</t>
  </si>
  <si>
    <t>1、统计整理存量房网签系统2月份济阳网签明细,统计整理2月份全市网签明细表,统计交易系统商品房个人备案撤销业务总数（完成100%）0.5天
2、给财务统计整理26年2月份齐鲁银行监管业务流水明细（完成100%）0.2天
3、处理oa系统部分人员考勤统计结果异常的问题（完成100%）0.3天
4、老系统资金监管云网签监管业务审核功能页面修改适配公积金监管模式的调整（完成100%）1天</t>
  </si>
  <si>
    <t>张杨</t>
  </si>
  <si>
    <t>修改授权委托功能bug；1天
移动端添加投诉建议公共组件；1天
整理移动端云网签、中介网签与授权委托所有接口；0.5天
添加省直上市交易页面； 1.5天</t>
  </si>
  <si>
    <t>1、新平台挂牌功能完善,对接嘉友前端联调测试（完成100%）2天
2、新平台云网签预约字典和排期表信息配置（完成90%）0.5天
3、新平台资金监管爱山东移动端接口逻辑修改完善（完成50%）0.5天</t>
  </si>
  <si>
    <t>需配合前端联调</t>
  </si>
  <si>
    <t>沟通新程序上线计划
测试资金监管老数据迁移程序</t>
  </si>
  <si>
    <t>房产一体化项目：惠民、滨州、无棣、阳信、滨州阳、信维护</t>
  </si>
  <si>
    <t>王德智</t>
  </si>
  <si>
    <t>房产一体化项目：博兴、沾化、乳山、惠民、滨州、阳信、诸城维护</t>
  </si>
  <si>
    <t>万德跃</t>
  </si>
  <si>
    <t>房产一体化：安徽地区、五莲、诸城维护</t>
  </si>
  <si>
    <t>滨州房产一体化驻场维护</t>
  </si>
  <si>
    <t>吴胜傲</t>
  </si>
  <si>
    <t>资金监管功能调整</t>
  </si>
  <si>
    <t>景旭</t>
  </si>
  <si>
    <t>房屋限制管理功能调整</t>
  </si>
  <si>
    <t>商品房联调测试</t>
  </si>
  <si>
    <t>时守杰</t>
  </si>
  <si>
    <t>1 测试环境合同管理问题修复
2 测试环境合同管理bug修复
3合同管理测试环境接口优化对接</t>
  </si>
  <si>
    <t>王光辉</t>
  </si>
  <si>
    <t>日照物业维护</t>
  </si>
  <si>
    <t xml:space="preserve"> </t>
  </si>
  <si>
    <t>1 维修资金系统维护：东营地区区、滨州地区维护；
2 配合销售演示维修资金系统；</t>
  </si>
  <si>
    <t>牛丽君</t>
  </si>
  <si>
    <t>维修资金系统维护：日照、滨州、东营、莱芜、潍坊滨海等地区维护</t>
  </si>
  <si>
    <t>赵衍峰</t>
  </si>
  <si>
    <t>日照维系资金驻场维护</t>
  </si>
  <si>
    <t>马睿</t>
  </si>
  <si>
    <t>各地维修资金维护</t>
  </si>
  <si>
    <t>日照市三平台融合、智慧物业、住宅专项维修资金系统信创改造项目
项目编号：22240822</t>
  </si>
  <si>
    <t>日照维修资金渗透性测试问题处理，缓存问题处理</t>
  </si>
  <si>
    <t>许建飞</t>
  </si>
  <si>
    <t>日照维修资金运维</t>
  </si>
  <si>
    <t>滨州智慧物业
项目编号：23251211</t>
  </si>
  <si>
    <t>生产环境测试及问题修改</t>
  </si>
  <si>
    <t>李淑英</t>
  </si>
  <si>
    <t>数据看板设计及优化</t>
  </si>
  <si>
    <t>王延磊</t>
  </si>
  <si>
    <t>滨州维修资金公积金中心推送接口与博彦联调测试</t>
  </si>
  <si>
    <t>孙达</t>
  </si>
  <si>
    <t>招投标功能优化，移动端专家请假功能开发</t>
  </si>
  <si>
    <t>公共事项表决等业务联调优化</t>
  </si>
  <si>
    <t>郇正基</t>
  </si>
  <si>
    <t>小程序优化，问题处理</t>
  </si>
  <si>
    <t>卢波</t>
  </si>
  <si>
    <t>生产环境测试及问题修改完成，做好上线准备</t>
  </si>
  <si>
    <t>招投标功能优化，移动端专家请假功能开发完成</t>
  </si>
  <si>
    <t>小程序测试，问题处理</t>
  </si>
  <si>
    <t>泉农通二期销售售前支持
项目编号：
121018</t>
  </si>
  <si>
    <t>网信办数字乡村平台数据集清单、情况总结报告整理，现场沟通汇报</t>
  </si>
  <si>
    <t>农业局“泉农通”业务协同平台功能扩展项目详细建设方案优化，大数据局汇报沟通</t>
  </si>
  <si>
    <t>袁畅</t>
  </si>
  <si>
    <t>网信办数字乡村平台招标文件准备，系统架构搭建，数据集指标梳理</t>
  </si>
  <si>
    <t>农业局“泉农通”业务协同平台功能扩展项目详细建设方案结合大数据局要求进行优化，相关处室沟通</t>
  </si>
  <si>
    <t>济南市不动产登记全量数据汇交及比对系统
项目编号：222201001</t>
  </si>
  <si>
    <t>2月份数据汇交、数据分析、指数测算。</t>
  </si>
  <si>
    <t>济南市不动产登记电子监督系统功能拓展
项目编号：22220905</t>
  </si>
  <si>
    <t>编写不动产异动监管功能说明书。</t>
  </si>
  <si>
    <t>异动监管功能优化需求、统计已网签未办证房屋的数据明细</t>
  </si>
  <si>
    <t>不动产登记人工智能数字人(一期)项目
项目编号：21250326</t>
  </si>
  <si>
    <t>知识库构建、智能检索：按照功能需求点（除AI相关）开发，本周主要开发功能点：文件的移动、收藏模块、文件批量导出、历史检索及历史浏览模块。</t>
  </si>
  <si>
    <t>闫元泉</t>
  </si>
  <si>
    <t>登记中心2026年重点工作-人工智能项目座谈会。</t>
  </si>
  <si>
    <t>测试qwen3.5:0.8b模型的ocr能力。
dify新版本人工介入功能测试。
openclaw+大模型的配置、调试。</t>
  </si>
  <si>
    <t>毕彦信</t>
  </si>
  <si>
    <t>电子监督系统标准化产品改造
项目编号：21250313J</t>
  </si>
  <si>
    <t>整理电子监督标准化用户手册、源代码文档、著作权系统登记申请表。</t>
  </si>
  <si>
    <t>维修大队系统建设方案编写</t>
  </si>
  <si>
    <t>维修大队系统建设方案编写与汇报</t>
  </si>
  <si>
    <t>基层经费监管系统升级研发（二期）
项目编号：
210123ZHJJ02</t>
  </si>
  <si>
    <t>系统运维管理</t>
  </si>
  <si>
    <t>王晓阳</t>
  </si>
  <si>
    <t>基层经费监管系统终验材料准备</t>
  </si>
  <si>
    <t>住房租赁管理服务平台（监管端）
项目编号：21250925HF</t>
  </si>
  <si>
    <t>魏山明</t>
  </si>
  <si>
    <t>分析租赁平台的思维导图以及数据库设计</t>
  </si>
  <si>
    <t>梳理之前开发的部分代码逻辑</t>
  </si>
  <si>
    <t>基础平台
（未立项）</t>
  </si>
  <si>
    <t>完成AI编程工具选型对比报告。</t>
  </si>
  <si>
    <t>石伟佳</t>
  </si>
  <si>
    <t>技术底座调研报告选型加入Eland做对比，Eland架构熟悉及调研。加入大数据模块，整体结构和内容重新排版。</t>
  </si>
  <si>
    <t>初步学习Account、Codocs代码。account及Codocs对接文档编写。修改保存功能。</t>
  </si>
  <si>
    <t>ruoyi vue pro以及yudao cloud本地部署及初步调试。yudao文档解析，能够浏览所有VIP文档。</t>
  </si>
  <si>
    <t>基础平台及AI工具讨论会议</t>
  </si>
  <si>
    <t>基础平台相关事项讨论</t>
  </si>
  <si>
    <t>安装codebuddy,查阅手册</t>
  </si>
  <si>
    <t>学习account、codocs项目
account、codocs项目熟悉、本地启动、文档查阅</t>
  </si>
  <si>
    <t>参与ai开发工具、基础平台选型会议</t>
  </si>
  <si>
    <t>ruyi-vue-pro、yudao-cloud项目搭建、项目分析、文档查阅</t>
  </si>
  <si>
    <t>内部管理系统
（立项阶段）</t>
  </si>
  <si>
    <t>1.分析《汇智云PRD》文档中项目管理模块，以及任务管理模块，初步涉及表结构
2.研究开源的管理项目麦萌和禅道对于项目和任务管理实现方式
3.参与需求讨论会议</t>
  </si>
  <si>
    <t>窦延群</t>
  </si>
  <si>
    <t>根据需求讨论会议结果以及分析《绘制云RPD》文档和研究的开源项目确立数据库结构以及编写写数据库文档</t>
  </si>
  <si>
    <t>1.深度分析《需求文档1.0》与《汇智云PRD》文档，明确P0阶段的功能范围。
2.注册并试用了 PingCode、Coding 等 4 款竞品，对比分析竞品资料。
3.绘制汇智云整体业务流程图，梳理功能清单
4.参与需求讨论会议</t>
  </si>
  <si>
    <t>张燕</t>
  </si>
  <si>
    <t>梳理需求内容，初步进行原型设计</t>
  </si>
  <si>
    <t>1、参与需求分析会议
2、整理部门管理，人员管理，部门协同管理数据库设计和ER图
3、尝试调用钉钉部门接口</t>
  </si>
  <si>
    <t>郭培培</t>
  </si>
  <si>
    <t>1.尝试注册加拿大谷歌账户，方便后续ai开发</t>
  </si>
  <si>
    <t>彭步坤</t>
  </si>
  <si>
    <t>谷歌账号创建失败 ，需手机扫码，扫码打不开界面</t>
  </si>
  <si>
    <t>1. 将传统jsf项目转成maven项目，方便后续使用AI工具开发；
2. 通过Trae CN加载转换后的maven项目进行调试</t>
  </si>
  <si>
    <t>还有些编译问题，打包问题，日志输出等问题</t>
  </si>
  <si>
    <t xml:space="preserve">济南市联合资产交易公示平台
项目编号：22250903HF
</t>
  </si>
  <si>
    <t>1.小程序新增房源落入房源产权数据，开发+测试联调；
2.特殊房产交易数据看板接口开发+测试联调；
3.网站房源详情页附房信息提供；
4.测试流程讨论沟通会；</t>
  </si>
  <si>
    <t>许兴欣</t>
  </si>
  <si>
    <t>1.普通提存 回执单合同模版编写及对接；
2.解决测试环境相关问题；
3.数据迁移方案调研 开发接口；
4.日志审计，附件审计，导出证据资料包
5.平台封装生成微信小程序分享码；
6.测试流程讨论沟通会；</t>
  </si>
  <si>
    <t>蔡高情</t>
  </si>
  <si>
    <t>1.联合资产小程序附属房源添加功能接口对接,抵押详情添加附属房源逻辑,小程序发布环境自测；
2.测试流程讨论沟通会</t>
  </si>
  <si>
    <t>王恒通</t>
  </si>
  <si>
    <t>1.测试测试版的联合资产PC端实现页与设计稿进行比对，与前端同事沟通调整有出入的页面问题。</t>
  </si>
  <si>
    <t>冯庆召</t>
  </si>
  <si>
    <t>1.房源展厅web功能优化与自测；
2.测试流程讨论沟通会；</t>
  </si>
  <si>
    <t>1.联合资产小程序：测试环境登录问题调整适配，解决小程序打包体积超限问题，完成小程序构建、打包与发布流程，成功发布测试环境体验版；
2.在带押 / 带封系统提存信息功能中，新增提存账户流水功能，完善提存业务数据展示与管理能力；优化产权提取输入框功能，新增首尾空格自动剔除校验规则，保障输入数据格式规范、准确。 为案款提存详情公示公告模块新增公共弹窗，支持在详情页面直接新增公告，无需跳转模块，优化操作流程，提升使用效率；
3.完成委托卖房模块小区选择功能开发，完成与后端接口的对接联调；
4.完成数据看板模块页面接口对接与联调，同步确认需求细节及功能疑问，推动模块开发落地。熟悉商圈划分展示相关代码逻辑，完成小区新建关联商圈功能开发与页面展示优化；
5.参与测试流程讨论沟通会</t>
  </si>
  <si>
    <t>梁超</t>
  </si>
  <si>
    <t>1.测试-济南市联合资产交易公示平台（联合资产+带押过户+带封过户）；
2.项目周会与系统功能演示，测试规划；</t>
  </si>
  <si>
    <t>宋占伟</t>
  </si>
  <si>
    <t>测试-济南市联合资产交易公示平台（联合资产+带押过户+带封过户）</t>
  </si>
  <si>
    <t>亓俣辰</t>
  </si>
  <si>
    <t>押过户，带封过户现存问题优化调整</t>
  </si>
  <si>
    <t>赵敬</t>
  </si>
  <si>
    <t>1. 联合资产项目开发进度推进；
2. 梳理联合资产与车位备案合同、协议签订流程；
3. 客户现场沟通联合资产与车位备案需求；
4. 项目材料完善与整理；
5. 测试流程讨论沟通会与项目整体流程与测试细节讨论；
6. 测试环境清理与测试进度推进；</t>
  </si>
  <si>
    <t>1. 齐鲁公证处现场沟通电子签约报价、业务流程优化、不良资产处置与银行合作模式、OA需求
2. 会议纪要整理与开发沟通
3. 联合资产带押带封过户、车位备案业务流程及第三方服务梳理
4. 联合资产项目进度跟踪，测试推进，客户电子保管存证等需求沟通 
5. 法信报价与我们报价梳理，成本分析与梳理，TRTC方案沟通</t>
  </si>
  <si>
    <t xml:space="preserve">车位使用权公证备案平台
项目编号：22250829HF
</t>
  </si>
  <si>
    <t>1.小程序端车位备案提交增加工作流流程，联调测试；
2.车位备案溯源补录功能编写与联调测试优化；
3.车位尽调完成和生成订单增加备案价格和定价说明；</t>
  </si>
  <si>
    <t>1.完成车位备案新增/编辑、产权查询模块接口对接开发联调；与产品沟通确认需求细节及功能疑问，确保业务逻辑准确；同步完成车位录入模块新增及更新字段的接口对接、字段适配与数据调试，保障功能正常迭代；审核详情页面接入车位溯源tab；操作记录页面样式重构与体验优化，解决原页面字段拥挤、关键信息不突出、适配异常等问题；
2.完成车位备案溯源模块全流程接口对接与联调，涵盖溯源列表、详情查询、数据作废、信息编辑等核心接口，确保接口数据规范、响应稳定。梳理并打通溯源模块各页面间的数据流转与业务逻辑，优化页面联动、状态同步及数据处理逻辑，保障功能链路完整通畅。目前针对当前部分接口数据异常问题，已开展全面自测与问题定位，正在持续修复优化中；
3.车位备案 Web 端 完成溯源模块整体功能联调与自测工作，实现接口调用、数据渲染、操作交互全流程闭环，确保模块功能可用、业务流程顺畅，满足业务使用要求； 完成尽调流程模块接口的对接与联调工作，针对联调过程中发现的问题进行定位、修复与优化； 向项目负责人同步反馈数据看板页面需进行接口对接的相关事宜，并协调安排对应人员开展接口对接工作，推进数据看板开发进度。 车位备案小程序 优化备案编辑页面字段回显逻辑，完善页面展示效果； 全流程（除备案步骤三）走通并验证备案业务流程，同步反馈后端完成备案状态修改，确保流程节点正常流转。 联合资产小程序 完成图片代理地址的替换、配置，验证测试环境图片加载效果，并及时同步测试结果与使用反馈，保障资源访问稳定；
4.完成备案编辑提交流程逻辑调整，并联合 Web 端进行全流程联调测试，确保两端流程一致、功能正常流转；</t>
  </si>
  <si>
    <t>1.ocr识别问题；
2.解决证书不发证问题；
3.排查生产问题；
4.解决文件过大上传问题；</t>
  </si>
  <si>
    <t xml:space="preserve">汇房云经纪人
项目编号：21250418
</t>
  </si>
  <si>
    <t>配合客户解决产权查询房屋数据错误问题；</t>
  </si>
  <si>
    <t>卓识网安业务平台系统
项目编号：22251028HFJ</t>
  </si>
  <si>
    <t>异地备案 - bug修复
工作台实施图标接口bug修复
工程数据表 - 项目明细 接口优化及缺陷修复
需求与问题沟通会议</t>
  </si>
  <si>
    <t>安震</t>
  </si>
  <si>
    <t>前端问题修复，页面整体调整</t>
  </si>
  <si>
    <t>赵旺</t>
  </si>
  <si>
    <t>卓识网安问题修复及整体修复进度跟进，处理问题测试与整体交付推进
卓识网安视频会议沟通遗留问题，协助排查，需求变动沟通，数据权限等问题协助排查
工程数据表-数据权限配置优化。需求数据表增加实际完成日期。其他问题修复</t>
  </si>
  <si>
    <t>测试</t>
  </si>
  <si>
    <t>第三阶段测试用例执行，问题回归测试</t>
  </si>
  <si>
    <t>公司内部系统维护升级项目
项目编号：21250801J</t>
  </si>
  <si>
    <t>阳信房产超市运维</t>
  </si>
  <si>
    <t>基础平台
21250807J</t>
  </si>
  <si>
    <t>新增日志模版管理，日志写入
编写接口文档和部分接口前台对接</t>
  </si>
  <si>
    <t>实现单人签署，单人启动 发起签署场景
新增日志模版管理，日志写入</t>
  </si>
  <si>
    <t xml:space="preserve">日照银行智慧社区维护与升级
项目编号：22210906
</t>
  </si>
  <si>
    <t>橙e伴PC端对接智惠e家对客管理端</t>
  </si>
  <si>
    <t>纪立宁</t>
  </si>
  <si>
    <t>菜品优选支持餐补</t>
  </si>
  <si>
    <t>王玉莹</t>
  </si>
  <si>
    <t>优化</t>
  </si>
  <si>
    <t>宜当生活白鹭湾专区对接智惠e家部分功能</t>
  </si>
  <si>
    <t>开发对接中</t>
  </si>
  <si>
    <t>行内闲置资产共享平台前端配合改造项目</t>
  </si>
  <si>
    <t>孙丁华</t>
  </si>
  <si>
    <t>智惠e家”智慧餐厅、智慧社区系统功能优化（智惠e家增加寻车功能及对接碳惠日照）</t>
  </si>
  <si>
    <t>王德贤</t>
  </si>
  <si>
    <t>菜品优选二期</t>
  </si>
  <si>
    <t>“智惠e家”智慧餐厅、智慧社区系统功能优化（即墨区机关事务服务中心智慧餐厅项目系统功能优化-第三批次）</t>
  </si>
  <si>
    <t>性能优化</t>
  </si>
  <si>
    <t>智慧场景优化项目群（日照市人民医院本部餐厅、莒县人民法院智慧餐厅功能优化）</t>
  </si>
  <si>
    <t>已发版等待业务验收回款</t>
  </si>
  <si>
    <t>智惠e家社区对接大华ICC社区通行设备</t>
  </si>
  <si>
    <t>正常开发推进</t>
  </si>
  <si>
    <t>智慧餐厅移动端全量接入宜当生活</t>
  </si>
  <si>
    <t>需求对接中</t>
  </si>
  <si>
    <t>安全保卫部智慧园区功能优化</t>
  </si>
  <si>
    <t>社区访客通行以及押金缴费退款需求</t>
  </si>
  <si>
    <t>韩化斌</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</si>
</sst>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0.00_);[Red]\(0.00\)"/>
  </numFmts>
  <fonts count="47">
    <font>
      <sz val="11"/>
      <color theme="1"/>
      <name val="等线"/>
      <charset val="134"/>
      <scheme val="minor"/>
    </font>
    <font>
      <sz val="10"/>
      <color theme="1"/>
      <name val="等线"/>
      <charset val="134"/>
      <scheme val="minor"/>
    </font>
    <font>
      <sz val="12"/>
      <color rgb="FF000000"/>
      <name val="微软雅黑"/>
      <charset val="134"/>
    </font>
    <font>
      <sz val="10"/>
      <color rgb="FF000000"/>
      <name val="等线"/>
      <charset val="134"/>
      <scheme val="minor"/>
    </font>
    <font>
      <sz val="11"/>
      <color rgb="FF000000"/>
      <name val="微软雅黑"/>
      <charset val="134"/>
    </font>
    <font>
      <sz val="10"/>
      <color rgb="FF000000"/>
      <name val="微软雅黑"/>
      <charset val="134"/>
    </font>
    <font>
      <sz val="11"/>
      <name val="等线"/>
      <charset val="134"/>
    </font>
    <font>
      <sz val="10"/>
      <color theme="1"/>
      <name val="等线"/>
      <charset val="134"/>
      <scheme val="minor"/>
    </font>
    <font>
      <sz val="12"/>
      <color rgb="FF000000"/>
      <name val="宋体"/>
      <charset val="134"/>
    </font>
    <font>
      <sz val="10"/>
      <color rgb="FF000000"/>
      <name val="等线"/>
      <charset val="134"/>
      <scheme val="minor"/>
    </font>
    <font>
      <sz val="12"/>
      <color rgb="FF000000"/>
      <name val="Arial"/>
      <charset val="134"/>
    </font>
    <font>
      <sz val="9"/>
      <color rgb="FF000000"/>
      <name val="等线"/>
      <charset val="134"/>
      <scheme val="minor"/>
    </font>
    <font>
      <sz val="11"/>
      <color rgb="FF000000"/>
      <name val="等线"/>
      <charset val="134"/>
      <scheme val="minor"/>
    </font>
    <font>
      <sz val="12"/>
      <color rgb="FF000000"/>
      <name val="等线"/>
      <charset val="134"/>
      <scheme val="minor"/>
    </font>
    <font>
      <sz val="10"/>
      <color rgb="FF000000"/>
      <name val="宋体"/>
      <charset val="134"/>
    </font>
    <font>
      <sz val="10"/>
      <color theme="1"/>
      <name val="等线"/>
      <charset val="134"/>
      <scheme val="minor"/>
    </font>
    <font>
      <sz val="12"/>
      <color rgb="FF000000"/>
      <name val="微软雅黑"/>
      <charset val="134"/>
    </font>
    <font>
      <sz val="11"/>
      <color rgb="FF000000"/>
      <name val="微软雅黑"/>
      <charset val="134"/>
    </font>
    <font>
      <sz val="10"/>
      <color rgb="FF000000"/>
      <name val="微软雅黑"/>
      <charset val="134"/>
    </font>
    <font>
      <sz val="10"/>
      <color rgb="FFFF0000"/>
      <name val="等线"/>
      <charset val="134"/>
      <scheme val="minor"/>
    </font>
    <font>
      <b/>
      <sz val="14"/>
      <color theme="1"/>
      <name val="微软雅黑"/>
      <charset val="134"/>
    </font>
    <font>
      <sz val="12"/>
      <color theme="1"/>
      <name val="微软雅黑"/>
      <charset val="134"/>
    </font>
    <font>
      <sz val="11"/>
      <color theme="1"/>
      <name val="微软雅黑"/>
      <charset val="134"/>
    </font>
    <font>
      <b/>
      <sz val="11"/>
      <color rgb="FFFF0000"/>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宋体"/>
      <charset val="134"/>
    </font>
    <font>
      <sz val="11"/>
      <name val="宋体"/>
      <charset val="134"/>
    </font>
    <font>
      <b/>
      <sz val="9"/>
      <name val="宋体"/>
      <charset val="134"/>
    </font>
    <font>
      <sz val="9"/>
      <name val="宋体"/>
      <charset val="134"/>
    </font>
  </fonts>
  <fills count="37">
    <fill>
      <patternFill patternType="none"/>
    </fill>
    <fill>
      <patternFill patternType="gray125"/>
    </fill>
    <fill>
      <patternFill patternType="solid">
        <fgColor indexed="65"/>
        <bgColor indexed="64"/>
      </patternFill>
    </fill>
    <fill>
      <patternFill patternType="solid">
        <fgColor rgb="FFFFFF00"/>
        <bgColor indexed="64"/>
      </patternFill>
    </fill>
    <fill>
      <patternFill patternType="solid">
        <fgColor theme="0" tint="-0.149998474074526"/>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auto="1"/>
      </top>
      <bottom style="thin">
        <color auto="1"/>
      </bottom>
      <diagonal/>
    </border>
    <border>
      <left/>
      <right style="thin">
        <color rgb="FF000000"/>
      </right>
      <top style="thin">
        <color auto="1"/>
      </top>
      <bottom style="thin">
        <color auto="1"/>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4">
    <xf numFmtId="176"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6" borderId="22"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23" applyNumberFormat="0" applyFill="0" applyAlignment="0" applyProtection="0">
      <alignment vertical="center"/>
    </xf>
    <xf numFmtId="0" fontId="30" fillId="0" borderId="23" applyNumberFormat="0" applyFill="0" applyAlignment="0" applyProtection="0">
      <alignment vertical="center"/>
    </xf>
    <xf numFmtId="0" fontId="31" fillId="0" borderId="24" applyNumberFormat="0" applyFill="0" applyAlignment="0" applyProtection="0">
      <alignment vertical="center"/>
    </xf>
    <xf numFmtId="0" fontId="31" fillId="0" borderId="0" applyNumberFormat="0" applyFill="0" applyBorder="0" applyAlignment="0" applyProtection="0">
      <alignment vertical="center"/>
    </xf>
    <xf numFmtId="0" fontId="32" fillId="7" borderId="25" applyNumberFormat="0" applyAlignment="0" applyProtection="0">
      <alignment vertical="center"/>
    </xf>
    <xf numFmtId="0" fontId="33" fillId="8" borderId="26" applyNumberFormat="0" applyAlignment="0" applyProtection="0">
      <alignment vertical="center"/>
    </xf>
    <xf numFmtId="0" fontId="34" fillId="8" borderId="25" applyNumberFormat="0" applyAlignment="0" applyProtection="0">
      <alignment vertical="center"/>
    </xf>
    <xf numFmtId="0" fontId="35" fillId="9" borderId="27" applyNumberFormat="0" applyAlignment="0" applyProtection="0">
      <alignment vertical="center"/>
    </xf>
    <xf numFmtId="0" fontId="36" fillId="0" borderId="28" applyNumberFormat="0" applyFill="0" applyAlignment="0" applyProtection="0">
      <alignment vertical="center"/>
    </xf>
    <xf numFmtId="0" fontId="37" fillId="0" borderId="29" applyNumberFormat="0" applyFill="0" applyAlignment="0" applyProtection="0">
      <alignment vertical="center"/>
    </xf>
    <xf numFmtId="0" fontId="38" fillId="10" borderId="0" applyNumberFormat="0" applyBorder="0" applyAlignment="0" applyProtection="0">
      <alignment vertical="center"/>
    </xf>
    <xf numFmtId="0" fontId="39" fillId="11" borderId="0" applyNumberFormat="0" applyBorder="0" applyAlignment="0" applyProtection="0">
      <alignment vertical="center"/>
    </xf>
    <xf numFmtId="0" fontId="40" fillId="12" borderId="0" applyNumberFormat="0" applyBorder="0" applyAlignment="0" applyProtection="0">
      <alignment vertical="center"/>
    </xf>
    <xf numFmtId="0" fontId="41" fillId="13" borderId="0" applyNumberFormat="0" applyBorder="0" applyAlignment="0" applyProtection="0">
      <alignment vertical="center"/>
    </xf>
    <xf numFmtId="0" fontId="42" fillId="14" borderId="0" applyNumberFormat="0" applyBorder="0" applyAlignment="0" applyProtection="0">
      <alignment vertical="center"/>
    </xf>
    <xf numFmtId="0" fontId="42" fillId="15" borderId="0" applyNumberFormat="0" applyBorder="0" applyAlignment="0" applyProtection="0">
      <alignment vertical="center"/>
    </xf>
    <xf numFmtId="0" fontId="41" fillId="16" borderId="0" applyNumberFormat="0" applyBorder="0" applyAlignment="0" applyProtection="0">
      <alignment vertical="center"/>
    </xf>
    <xf numFmtId="0" fontId="41" fillId="17" borderId="0" applyNumberFormat="0" applyBorder="0" applyAlignment="0" applyProtection="0">
      <alignment vertical="center"/>
    </xf>
    <xf numFmtId="0" fontId="42" fillId="18" borderId="0" applyNumberFormat="0" applyBorder="0" applyAlignment="0" applyProtection="0">
      <alignment vertical="center"/>
    </xf>
    <xf numFmtId="0" fontId="42" fillId="19" borderId="0" applyNumberFormat="0" applyBorder="0" applyAlignment="0" applyProtection="0">
      <alignment vertical="center"/>
    </xf>
    <xf numFmtId="0" fontId="41" fillId="20" borderId="0" applyNumberFormat="0" applyBorder="0" applyAlignment="0" applyProtection="0">
      <alignment vertical="center"/>
    </xf>
    <xf numFmtId="0" fontId="41" fillId="21" borderId="0" applyNumberFormat="0" applyBorder="0" applyAlignment="0" applyProtection="0">
      <alignment vertical="center"/>
    </xf>
    <xf numFmtId="0" fontId="42" fillId="22" borderId="0" applyNumberFormat="0" applyBorder="0" applyAlignment="0" applyProtection="0">
      <alignment vertical="center"/>
    </xf>
    <xf numFmtId="0" fontId="42" fillId="23" borderId="0" applyNumberFormat="0" applyBorder="0" applyAlignment="0" applyProtection="0">
      <alignment vertical="center"/>
    </xf>
    <xf numFmtId="0" fontId="41" fillId="24" borderId="0" applyNumberFormat="0" applyBorder="0" applyAlignment="0" applyProtection="0">
      <alignment vertical="center"/>
    </xf>
    <xf numFmtId="0" fontId="41" fillId="25" borderId="0" applyNumberFormat="0" applyBorder="0" applyAlignment="0" applyProtection="0">
      <alignment vertical="center"/>
    </xf>
    <xf numFmtId="0" fontId="42" fillId="26" borderId="0" applyNumberFormat="0" applyBorder="0" applyAlignment="0" applyProtection="0">
      <alignment vertical="center"/>
    </xf>
    <xf numFmtId="0" fontId="42" fillId="27" borderId="0" applyNumberFormat="0" applyBorder="0" applyAlignment="0" applyProtection="0">
      <alignment vertical="center"/>
    </xf>
    <xf numFmtId="0" fontId="41" fillId="28" borderId="0" applyNumberFormat="0" applyBorder="0" applyAlignment="0" applyProtection="0">
      <alignment vertical="center"/>
    </xf>
    <xf numFmtId="0" fontId="41" fillId="29" borderId="0" applyNumberFormat="0" applyBorder="0" applyAlignment="0" applyProtection="0">
      <alignment vertical="center"/>
    </xf>
    <xf numFmtId="0" fontId="42" fillId="30" borderId="0" applyNumberFormat="0" applyBorder="0" applyAlignment="0" applyProtection="0">
      <alignment vertical="center"/>
    </xf>
    <xf numFmtId="0" fontId="42" fillId="31" borderId="0" applyNumberFormat="0" applyBorder="0" applyAlignment="0" applyProtection="0">
      <alignment vertical="center"/>
    </xf>
    <xf numFmtId="0" fontId="41" fillId="32" borderId="0" applyNumberFormat="0" applyBorder="0" applyAlignment="0" applyProtection="0">
      <alignment vertical="center"/>
    </xf>
    <xf numFmtId="0" fontId="41" fillId="33" borderId="0" applyNumberFormat="0" applyBorder="0" applyAlignment="0" applyProtection="0">
      <alignment vertical="center"/>
    </xf>
    <xf numFmtId="0" fontId="42" fillId="34" borderId="0" applyNumberFormat="0" applyBorder="0" applyAlignment="0" applyProtection="0">
      <alignment vertical="center"/>
    </xf>
    <xf numFmtId="0" fontId="42" fillId="35" borderId="0" applyNumberFormat="0" applyBorder="0" applyAlignment="0" applyProtection="0">
      <alignment vertical="center"/>
    </xf>
    <xf numFmtId="0" fontId="41" fillId="36" borderId="0" applyNumberFormat="0" applyBorder="0" applyAlignment="0" applyProtection="0">
      <alignment vertical="center"/>
    </xf>
    <xf numFmtId="9" fontId="43" fillId="0" borderId="0" applyFont="0" applyFill="0" applyBorder="0" applyAlignment="0" applyProtection="0">
      <alignment vertical="center"/>
    </xf>
    <xf numFmtId="9" fontId="0" fillId="0" borderId="0" applyFont="0" applyFill="0" applyBorder="0" applyAlignment="0" applyProtection="0">
      <alignment vertical="center"/>
    </xf>
    <xf numFmtId="176" fontId="43" fillId="0" borderId="0">
      <alignment vertical="center"/>
    </xf>
    <xf numFmtId="176" fontId="43" fillId="0" borderId="0">
      <alignment vertical="center"/>
    </xf>
    <xf numFmtId="176" fontId="1" fillId="0" borderId="0">
      <alignment vertical="center"/>
    </xf>
    <xf numFmtId="0" fontId="1" fillId="0" borderId="0">
      <alignment vertical="center"/>
    </xf>
    <xf numFmtId="0" fontId="43" fillId="0" borderId="0">
      <alignment vertical="center"/>
    </xf>
    <xf numFmtId="176" fontId="43" fillId="0" borderId="0">
      <alignment vertical="center"/>
    </xf>
    <xf numFmtId="176" fontId="43" fillId="0" borderId="0">
      <alignment vertical="center"/>
    </xf>
    <xf numFmtId="176" fontId="43" fillId="0" borderId="0">
      <alignment vertical="center"/>
    </xf>
    <xf numFmtId="176" fontId="44" fillId="0" borderId="0">
      <alignment vertical="center"/>
    </xf>
    <xf numFmtId="176" fontId="43" fillId="0" borderId="0">
      <alignment vertical="center"/>
    </xf>
    <xf numFmtId="176" fontId="43" fillId="0" borderId="0">
      <alignment vertical="center"/>
    </xf>
    <xf numFmtId="176" fontId="43" fillId="0" borderId="0">
      <alignment vertical="center"/>
    </xf>
    <xf numFmtId="176" fontId="43" fillId="0" borderId="0" applyBorder="0">
      <alignment vertical="center"/>
    </xf>
  </cellStyleXfs>
  <cellXfs count="285">
    <xf numFmtId="176" fontId="0" fillId="0" borderId="0" xfId="0"/>
    <xf numFmtId="0" fontId="1" fillId="0" borderId="0" xfId="0" applyNumberFormat="1" applyFont="1" applyFill="1" applyAlignment="1">
      <alignment vertical="center" wrapText="1"/>
    </xf>
    <xf numFmtId="0" fontId="1" fillId="0" borderId="0" xfId="0" applyNumberFormat="1" applyFont="1" applyFill="1" applyAlignment="1">
      <alignment horizontal="center" vertical="center" wrapText="1"/>
    </xf>
    <xf numFmtId="0" fontId="2"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xf>
    <xf numFmtId="0" fontId="2" fillId="0" borderId="1" xfId="0" applyNumberFormat="1" applyFont="1" applyFill="1" applyBorder="1" applyAlignment="1">
      <alignment horizontal="left" vertical="center" wrapText="1"/>
    </xf>
    <xf numFmtId="9" fontId="2" fillId="0" borderId="1" xfId="0" applyNumberFormat="1" applyFont="1" applyFill="1" applyBorder="1" applyAlignment="1">
      <alignment horizontal="center" vertical="center" wrapText="1"/>
    </xf>
    <xf numFmtId="177" fontId="2" fillId="0" borderId="1" xfId="0" applyNumberFormat="1" applyFont="1" applyFill="1" applyBorder="1" applyAlignment="1">
      <alignment horizontal="center" vertical="center"/>
    </xf>
    <xf numFmtId="0" fontId="3" fillId="0" borderId="0" xfId="0" applyNumberFormat="1" applyFont="1" applyFill="1" applyAlignment="1">
      <alignment vertical="center"/>
    </xf>
    <xf numFmtId="0" fontId="4" fillId="0" borderId="1" xfId="0" applyNumberFormat="1" applyFont="1" applyFill="1" applyBorder="1" applyAlignment="1">
      <alignment horizontal="center" vertical="center"/>
    </xf>
    <xf numFmtId="0" fontId="5"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xf>
    <xf numFmtId="0" fontId="5" fillId="0" borderId="1" xfId="0" applyNumberFormat="1" applyFont="1" applyFill="1" applyBorder="1" applyAlignment="1">
      <alignment horizontal="left" vertical="center" wrapText="1"/>
    </xf>
    <xf numFmtId="0" fontId="5" fillId="2" borderId="1" xfId="0" applyNumberFormat="1" applyFont="1" applyFill="1" applyBorder="1" applyAlignment="1">
      <alignment horizontal="center" vertical="center" wrapText="1"/>
    </xf>
    <xf numFmtId="9" fontId="5"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left" vertical="center"/>
    </xf>
    <xf numFmtId="0" fontId="5" fillId="3" borderId="1" xfId="0" applyNumberFormat="1" applyFont="1" applyFill="1" applyBorder="1" applyAlignment="1">
      <alignment horizontal="center" vertical="center"/>
    </xf>
    <xf numFmtId="9" fontId="5" fillId="3" borderId="1" xfId="0" applyNumberFormat="1" applyFont="1" applyFill="1" applyBorder="1" applyAlignment="1">
      <alignment vertical="center"/>
    </xf>
    <xf numFmtId="0" fontId="5" fillId="3" borderId="1" xfId="0" applyNumberFormat="1" applyFont="1" applyFill="1" applyBorder="1" applyAlignment="1">
      <alignment vertical="center"/>
    </xf>
    <xf numFmtId="177" fontId="5" fillId="3" borderId="1" xfId="0" applyNumberFormat="1" applyFont="1" applyFill="1" applyBorder="1" applyAlignment="1">
      <alignment horizontal="center" vertical="center"/>
    </xf>
    <xf numFmtId="0" fontId="4" fillId="0" borderId="1" xfId="0" applyNumberFormat="1" applyFont="1" applyFill="1" applyBorder="1" applyAlignment="1">
      <alignment horizontal="left" vertical="center" wrapText="1"/>
    </xf>
    <xf numFmtId="9" fontId="5" fillId="0" borderId="1" xfId="0" applyNumberFormat="1" applyFont="1" applyFill="1" applyBorder="1" applyAlignment="1">
      <alignment horizontal="center" vertical="center"/>
    </xf>
    <xf numFmtId="177" fontId="5" fillId="0" borderId="1" xfId="0" applyNumberFormat="1" applyFont="1" applyFill="1" applyBorder="1" applyAlignment="1">
      <alignment horizontal="center" vertical="center"/>
    </xf>
    <xf numFmtId="0" fontId="1" fillId="0" borderId="1" xfId="0" applyNumberFormat="1" applyFont="1" applyFill="1" applyBorder="1" applyAlignment="1">
      <alignment horizontal="center" vertical="center" wrapText="1"/>
    </xf>
    <xf numFmtId="0" fontId="1" fillId="0" borderId="0" xfId="0" applyNumberFormat="1" applyFont="1" applyFill="1" applyBorder="1" applyAlignment="1">
      <alignment vertical="center" wrapText="1"/>
    </xf>
    <xf numFmtId="0" fontId="1" fillId="0" borderId="0" xfId="0" applyNumberFormat="1" applyFont="1" applyFill="1" applyBorder="1" applyAlignment="1">
      <alignment horizontal="center" vertical="center" wrapText="1"/>
    </xf>
    <xf numFmtId="0" fontId="0" fillId="0" borderId="0" xfId="0" applyNumberFormat="1" applyAlignment="1">
      <alignment vertical="center"/>
    </xf>
    <xf numFmtId="0" fontId="2" fillId="0" borderId="1" xfId="0" applyNumberFormat="1" applyFont="1" applyBorder="1" applyAlignment="1">
      <alignment horizontal="center" vertical="center" wrapText="1"/>
    </xf>
    <xf numFmtId="0" fontId="2" fillId="0" borderId="1" xfId="0" applyNumberFormat="1" applyFont="1" applyBorder="1" applyAlignment="1">
      <alignment horizontal="center" vertical="center"/>
    </xf>
    <xf numFmtId="0" fontId="2" fillId="0" borderId="1" xfId="0" applyNumberFormat="1" applyFont="1" applyBorder="1" applyAlignment="1">
      <alignment horizontal="left" vertical="center" wrapText="1"/>
    </xf>
    <xf numFmtId="9" fontId="2" fillId="0" borderId="1" xfId="0" applyNumberFormat="1" applyFont="1" applyBorder="1" applyAlignment="1">
      <alignment horizontal="center" vertical="center" wrapText="1"/>
    </xf>
    <xf numFmtId="177" fontId="2" fillId="0" borderId="1" xfId="0" applyNumberFormat="1" applyFont="1" applyBorder="1" applyAlignment="1">
      <alignment horizontal="center" vertical="center"/>
    </xf>
    <xf numFmtId="0" fontId="3" fillId="0" borderId="0" xfId="0" applyNumberFormat="1" applyFont="1" applyAlignment="1">
      <alignment vertical="center"/>
    </xf>
    <xf numFmtId="0" fontId="4" fillId="0" borderId="1" xfId="0" applyNumberFormat="1" applyFont="1" applyBorder="1" applyAlignment="1">
      <alignment horizontal="center" vertical="center"/>
    </xf>
    <xf numFmtId="9" fontId="5" fillId="0" borderId="1" xfId="0" applyNumberFormat="1" applyFont="1" applyBorder="1" applyAlignment="1">
      <alignment horizontal="center" vertical="center" wrapText="1"/>
    </xf>
    <xf numFmtId="0" fontId="5" fillId="0" borderId="1" xfId="0" applyNumberFormat="1" applyFont="1" applyBorder="1" applyAlignment="1">
      <alignment horizontal="center" vertical="center" wrapText="1"/>
    </xf>
    <xf numFmtId="0" fontId="5" fillId="0" borderId="1" xfId="0" applyNumberFormat="1" applyFont="1" applyBorder="1" applyAlignment="1">
      <alignment horizontal="center" vertical="center"/>
    </xf>
    <xf numFmtId="0" fontId="5" fillId="0" borderId="2" xfId="0" applyNumberFormat="1" applyFont="1" applyBorder="1" applyAlignment="1">
      <alignment horizontal="center" vertical="center" wrapText="1"/>
    </xf>
    <xf numFmtId="0" fontId="5" fillId="0" borderId="1" xfId="0" applyNumberFormat="1" applyFont="1" applyBorder="1" applyAlignment="1">
      <alignment horizontal="left" vertical="center" wrapText="1"/>
    </xf>
    <xf numFmtId="177" fontId="5" fillId="2" borderId="1" xfId="0" applyNumberFormat="1" applyFont="1" applyFill="1" applyBorder="1" applyAlignment="1">
      <alignment horizontal="center" vertical="center"/>
    </xf>
    <xf numFmtId="0" fontId="5" fillId="0" borderId="3" xfId="0" applyNumberFormat="1" applyFont="1" applyBorder="1" applyAlignment="1">
      <alignment horizontal="center" vertical="center" wrapText="1"/>
    </xf>
    <xf numFmtId="0" fontId="5" fillId="2" borderId="1" xfId="0" applyNumberFormat="1" applyFont="1" applyFill="1" applyBorder="1" applyAlignment="1">
      <alignment horizontal="center" vertical="center"/>
    </xf>
    <xf numFmtId="0" fontId="5" fillId="2" borderId="1" xfId="0" applyNumberFormat="1" applyFont="1" applyFill="1" applyBorder="1" applyAlignment="1">
      <alignment horizontal="left" vertical="center" wrapText="1"/>
    </xf>
    <xf numFmtId="9" fontId="5" fillId="2" borderId="1" xfId="0" applyNumberFormat="1" applyFont="1" applyFill="1" applyBorder="1" applyAlignment="1">
      <alignment horizontal="center" vertical="center"/>
    </xf>
    <xf numFmtId="0" fontId="5" fillId="2" borderId="1" xfId="0" applyNumberFormat="1" applyFont="1" applyFill="1" applyBorder="1" applyAlignment="1">
      <alignment vertical="center"/>
    </xf>
    <xf numFmtId="176" fontId="6" fillId="0" borderId="0" xfId="0" applyNumberFormat="1" applyFont="1" applyAlignment="1">
      <alignment wrapText="1"/>
    </xf>
    <xf numFmtId="0" fontId="5" fillId="2" borderId="2" xfId="0" applyNumberFormat="1" applyFont="1" applyFill="1" applyBorder="1" applyAlignment="1">
      <alignment horizontal="left" vertical="center" wrapText="1"/>
    </xf>
    <xf numFmtId="0" fontId="5" fillId="2" borderId="4" xfId="0" applyNumberFormat="1" applyFont="1" applyFill="1" applyBorder="1" applyAlignment="1">
      <alignment horizontal="center" vertical="center"/>
    </xf>
    <xf numFmtId="0" fontId="5" fillId="2" borderId="5" xfId="0" applyNumberFormat="1" applyFont="1" applyFill="1" applyBorder="1" applyAlignment="1">
      <alignment horizontal="left" vertical="center" wrapText="1"/>
    </xf>
    <xf numFmtId="0" fontId="5" fillId="2" borderId="6" xfId="0" applyNumberFormat="1" applyFont="1" applyFill="1" applyBorder="1" applyAlignment="1">
      <alignment horizontal="center" vertical="center"/>
    </xf>
    <xf numFmtId="9" fontId="5" fillId="2" borderId="2" xfId="0" applyNumberFormat="1" applyFont="1" applyFill="1" applyBorder="1" applyAlignment="1">
      <alignment horizontal="center" vertical="center"/>
    </xf>
    <xf numFmtId="0" fontId="5" fillId="2" borderId="7" xfId="0" applyNumberFormat="1" applyFont="1" applyFill="1" applyBorder="1" applyAlignment="1">
      <alignment horizontal="center" vertical="center"/>
    </xf>
    <xf numFmtId="9" fontId="5" fillId="2" borderId="5" xfId="0" applyNumberFormat="1" applyFont="1" applyFill="1" applyBorder="1" applyAlignment="1">
      <alignment horizontal="center" vertical="center"/>
    </xf>
    <xf numFmtId="0" fontId="5" fillId="2" borderId="6" xfId="0" applyNumberFormat="1" applyFont="1" applyFill="1" applyBorder="1" applyAlignment="1">
      <alignment vertical="center"/>
    </xf>
    <xf numFmtId="0" fontId="5" fillId="0" borderId="8" xfId="0" applyNumberFormat="1" applyFont="1" applyBorder="1" applyAlignment="1">
      <alignment horizontal="center" vertical="center" wrapText="1"/>
    </xf>
    <xf numFmtId="0" fontId="5" fillId="2" borderId="5" xfId="0" applyNumberFormat="1" applyFont="1" applyFill="1" applyBorder="1" applyAlignment="1">
      <alignment wrapText="1"/>
    </xf>
    <xf numFmtId="0" fontId="5" fillId="3" borderId="8" xfId="0" applyNumberFormat="1" applyFont="1" applyFill="1" applyBorder="1" applyAlignment="1">
      <alignment horizontal="center" vertical="center"/>
    </xf>
    <xf numFmtId="9" fontId="5" fillId="3" borderId="8" xfId="0" applyNumberFormat="1" applyFont="1" applyFill="1" applyBorder="1" applyAlignment="1">
      <alignment vertical="center"/>
    </xf>
    <xf numFmtId="0" fontId="4" fillId="0" borderId="1" xfId="0" applyNumberFormat="1" applyFont="1" applyBorder="1" applyAlignment="1">
      <alignment horizontal="left" vertical="center" wrapText="1"/>
    </xf>
    <xf numFmtId="9" fontId="5" fillId="0" borderId="1" xfId="0" applyNumberFormat="1" applyFont="1" applyBorder="1" applyAlignment="1">
      <alignment horizontal="center" vertical="center"/>
    </xf>
    <xf numFmtId="0" fontId="5" fillId="0" borderId="1" xfId="0" applyNumberFormat="1" applyFont="1" applyBorder="1" applyAlignment="1">
      <alignment horizontal="left" vertical="center"/>
    </xf>
    <xf numFmtId="177" fontId="5" fillId="0" borderId="1" xfId="0" applyNumberFormat="1" applyFont="1" applyBorder="1" applyAlignment="1">
      <alignment horizontal="center" vertical="center"/>
    </xf>
    <xf numFmtId="0" fontId="0" fillId="0" borderId="8" xfId="0" applyNumberFormat="1" applyBorder="1"/>
    <xf numFmtId="0" fontId="5" fillId="0" borderId="2" xfId="0" applyNumberFormat="1" applyFont="1" applyBorder="1" applyAlignment="1">
      <alignment horizontal="left" vertical="center" wrapText="1"/>
    </xf>
    <xf numFmtId="9" fontId="5" fillId="0" borderId="2" xfId="0" applyNumberFormat="1" applyFont="1" applyBorder="1" applyAlignment="1">
      <alignment horizontal="center" vertical="center" wrapText="1"/>
    </xf>
    <xf numFmtId="0" fontId="5" fillId="0" borderId="8" xfId="0" applyNumberFormat="1" applyFont="1" applyBorder="1" applyAlignment="1">
      <alignment horizontal="left" vertical="center" wrapText="1"/>
    </xf>
    <xf numFmtId="9" fontId="5" fillId="0" borderId="8" xfId="0" applyNumberFormat="1" applyFont="1" applyBorder="1" applyAlignment="1">
      <alignment horizontal="center" vertical="center" wrapText="1"/>
    </xf>
    <xf numFmtId="0" fontId="5" fillId="0" borderId="2" xfId="0" applyNumberFormat="1" applyFont="1" applyFill="1" applyBorder="1" applyAlignment="1">
      <alignment horizontal="left" vertical="center" wrapText="1"/>
    </xf>
    <xf numFmtId="0" fontId="5" fillId="0" borderId="8" xfId="0" applyNumberFormat="1" applyFont="1" applyBorder="1" applyAlignment="1">
      <alignment wrapText="1"/>
    </xf>
    <xf numFmtId="0" fontId="7" fillId="0" borderId="0" xfId="0" applyNumberFormat="1" applyFont="1" applyFill="1" applyAlignment="1">
      <alignment vertical="center" wrapText="1"/>
    </xf>
    <xf numFmtId="0" fontId="7" fillId="0" borderId="0" xfId="0" applyNumberFormat="1" applyFont="1" applyFill="1" applyAlignment="1">
      <alignment horizontal="center" vertical="center" wrapText="1"/>
    </xf>
    <xf numFmtId="0" fontId="8" fillId="0" borderId="1" xfId="0" applyNumberFormat="1" applyFont="1" applyFill="1" applyBorder="1" applyAlignment="1">
      <alignment horizontal="center" vertical="center" wrapText="1"/>
    </xf>
    <xf numFmtId="0" fontId="8" fillId="0" borderId="1" xfId="0" applyNumberFormat="1" applyFont="1" applyFill="1" applyBorder="1" applyAlignment="1">
      <alignment horizontal="center" vertical="center"/>
    </xf>
    <xf numFmtId="0" fontId="8" fillId="0" borderId="1" xfId="0" applyNumberFormat="1" applyFont="1" applyFill="1" applyBorder="1" applyAlignment="1">
      <alignment horizontal="left" vertical="center" wrapText="1"/>
    </xf>
    <xf numFmtId="9" fontId="8" fillId="0" borderId="1" xfId="0" applyNumberFormat="1" applyFont="1" applyFill="1" applyBorder="1" applyAlignment="1">
      <alignment horizontal="center" vertical="center" wrapText="1"/>
    </xf>
    <xf numFmtId="177" fontId="8" fillId="0" borderId="1" xfId="0" applyNumberFormat="1" applyFont="1" applyFill="1" applyBorder="1" applyAlignment="1">
      <alignment horizontal="center" vertical="center"/>
    </xf>
    <xf numFmtId="0" fontId="9" fillId="0" borderId="0" xfId="0" applyNumberFormat="1" applyFont="1" applyFill="1" applyAlignment="1">
      <alignment vertical="center"/>
    </xf>
    <xf numFmtId="0" fontId="10" fillId="0" borderId="1" xfId="0" applyNumberFormat="1" applyFont="1" applyFill="1" applyBorder="1" applyAlignment="1">
      <alignment horizontal="center" vertical="center" wrapText="1"/>
    </xf>
    <xf numFmtId="0" fontId="11" fillId="0" borderId="1" xfId="0" applyNumberFormat="1" applyFont="1" applyFill="1" applyBorder="1" applyAlignment="1">
      <alignment horizontal="center" vertical="center"/>
    </xf>
    <xf numFmtId="0" fontId="9" fillId="0" borderId="1" xfId="0" applyNumberFormat="1" applyFont="1" applyFill="1" applyBorder="1" applyAlignment="1">
      <alignment horizontal="center" vertical="center" wrapText="1"/>
    </xf>
    <xf numFmtId="0" fontId="9" fillId="0" borderId="1" xfId="0" applyNumberFormat="1" applyFont="1" applyFill="1" applyBorder="1" applyAlignment="1">
      <alignment horizontal="center" vertical="center"/>
    </xf>
    <xf numFmtId="0" fontId="9" fillId="0" borderId="1" xfId="0" applyNumberFormat="1" applyFont="1" applyFill="1" applyBorder="1" applyAlignment="1">
      <alignment horizontal="left" vertical="center" wrapText="1"/>
    </xf>
    <xf numFmtId="9" fontId="9" fillId="0" borderId="1" xfId="0" applyNumberFormat="1" applyFont="1" applyFill="1" applyBorder="1" applyAlignment="1">
      <alignment horizontal="center" vertical="center" wrapText="1"/>
    </xf>
    <xf numFmtId="177" fontId="9" fillId="0" borderId="1" xfId="0" applyNumberFormat="1" applyFont="1" applyFill="1" applyBorder="1" applyAlignment="1">
      <alignment horizontal="center" vertical="center"/>
    </xf>
    <xf numFmtId="0" fontId="9" fillId="0" borderId="1" xfId="0" applyNumberFormat="1" applyFont="1" applyFill="1" applyBorder="1" applyAlignment="1">
      <alignment horizontal="left" vertical="center"/>
    </xf>
    <xf numFmtId="0" fontId="9" fillId="0" borderId="1" xfId="0" applyNumberFormat="1" applyFont="1" applyFill="1" applyBorder="1" applyAlignment="1">
      <alignment vertical="center"/>
    </xf>
    <xf numFmtId="0" fontId="9" fillId="3" borderId="1" xfId="0" applyNumberFormat="1" applyFont="1" applyFill="1" applyBorder="1" applyAlignment="1">
      <alignment horizontal="center" vertical="center"/>
    </xf>
    <xf numFmtId="9" fontId="9" fillId="3" borderId="1" xfId="0" applyNumberFormat="1" applyFont="1" applyFill="1" applyBorder="1" applyAlignment="1">
      <alignment vertical="center"/>
    </xf>
    <xf numFmtId="0" fontId="9" fillId="3" borderId="1" xfId="0" applyNumberFormat="1" applyFont="1" applyFill="1" applyBorder="1" applyAlignment="1">
      <alignment vertical="center"/>
    </xf>
    <xf numFmtId="177" fontId="9" fillId="3" borderId="1" xfId="0" applyNumberFormat="1" applyFont="1" applyFill="1" applyBorder="1" applyAlignment="1">
      <alignment horizontal="center" vertical="center"/>
    </xf>
    <xf numFmtId="0" fontId="12" fillId="0" borderId="1" xfId="0" applyNumberFormat="1" applyFont="1" applyFill="1" applyBorder="1" applyAlignment="1">
      <alignment vertical="center" wrapText="1"/>
    </xf>
    <xf numFmtId="9" fontId="9" fillId="0" borderId="1" xfId="0" applyNumberFormat="1" applyFont="1" applyFill="1" applyBorder="1" applyAlignment="1">
      <alignment horizontal="center" vertical="center"/>
    </xf>
    <xf numFmtId="0" fontId="9" fillId="0" borderId="1" xfId="0" applyNumberFormat="1" applyFont="1" applyFill="1" applyBorder="1" applyAlignment="1">
      <alignment vertical="center" wrapText="1"/>
    </xf>
    <xf numFmtId="0" fontId="13" fillId="0" borderId="1" xfId="0" applyNumberFormat="1" applyFont="1" applyFill="1" applyBorder="1" applyAlignment="1">
      <alignment horizontal="center" vertical="center" wrapText="1"/>
    </xf>
    <xf numFmtId="0" fontId="14" fillId="0" borderId="1" xfId="0" applyNumberFormat="1" applyFont="1" applyFill="1" applyBorder="1" applyAlignment="1">
      <alignment horizontal="left" vertical="center" wrapText="1"/>
    </xf>
    <xf numFmtId="0" fontId="14" fillId="0" borderId="1" xfId="0" applyNumberFormat="1" applyFont="1" applyFill="1" applyBorder="1" applyAlignment="1">
      <alignment horizontal="center" vertical="center" wrapText="1"/>
    </xf>
    <xf numFmtId="0" fontId="14" fillId="0" borderId="1" xfId="0" applyNumberFormat="1" applyFont="1" applyFill="1" applyBorder="1" applyAlignment="1">
      <alignment vertical="center" wrapText="1"/>
    </xf>
    <xf numFmtId="0" fontId="14" fillId="0" borderId="1" xfId="0" applyNumberFormat="1" applyFont="1" applyFill="1" applyBorder="1" applyAlignment="1">
      <alignment horizontal="left" vertical="center"/>
    </xf>
    <xf numFmtId="0" fontId="15" fillId="0" borderId="0" xfId="0" applyNumberFormat="1" applyFont="1" applyAlignment="1">
      <alignment vertical="center" wrapText="1"/>
    </xf>
    <xf numFmtId="0" fontId="15" fillId="0" borderId="0" xfId="0" applyNumberFormat="1" applyFont="1" applyAlignment="1">
      <alignment horizontal="center" vertical="center" wrapText="1"/>
    </xf>
    <xf numFmtId="0" fontId="16" fillId="0" borderId="1" xfId="0" applyNumberFormat="1" applyFont="1" applyBorder="1" applyAlignment="1">
      <alignment horizontal="center" vertical="center" wrapText="1"/>
    </xf>
    <xf numFmtId="0" fontId="16" fillId="0" borderId="1" xfId="0" applyNumberFormat="1" applyFont="1" applyBorder="1" applyAlignment="1">
      <alignment horizontal="center" vertical="center"/>
    </xf>
    <xf numFmtId="0" fontId="16" fillId="0" borderId="1" xfId="0" applyNumberFormat="1" applyFont="1" applyBorder="1" applyAlignment="1">
      <alignment horizontal="left" vertical="center" wrapText="1"/>
    </xf>
    <xf numFmtId="9" fontId="16" fillId="0" borderId="1" xfId="0" applyNumberFormat="1" applyFont="1" applyBorder="1" applyAlignment="1">
      <alignment horizontal="center" vertical="center" wrapText="1"/>
    </xf>
    <xf numFmtId="177" fontId="16" fillId="0" borderId="1" xfId="0" applyNumberFormat="1" applyFont="1" applyBorder="1" applyAlignment="1">
      <alignment horizontal="center" vertical="center"/>
    </xf>
    <xf numFmtId="0" fontId="9" fillId="0" borderId="0" xfId="0" applyNumberFormat="1" applyFont="1" applyAlignment="1">
      <alignment vertical="center"/>
    </xf>
    <xf numFmtId="0" fontId="17" fillId="0" borderId="1" xfId="0" applyNumberFormat="1" applyFont="1" applyBorder="1" applyAlignment="1">
      <alignment horizontal="center" vertical="center"/>
    </xf>
    <xf numFmtId="9" fontId="18" fillId="0" borderId="1" xfId="0" applyNumberFormat="1" applyFont="1" applyBorder="1" applyAlignment="1">
      <alignment horizontal="center" vertical="center" wrapText="1"/>
    </xf>
    <xf numFmtId="0" fontId="18" fillId="0" borderId="1" xfId="0" applyNumberFormat="1" applyFont="1" applyBorder="1" applyAlignment="1">
      <alignment horizontal="center" vertical="center" wrapText="1"/>
    </xf>
    <xf numFmtId="0" fontId="18" fillId="0" borderId="2" xfId="0" applyNumberFormat="1" applyFont="1" applyBorder="1" applyAlignment="1">
      <alignment horizontal="center" vertical="center"/>
    </xf>
    <xf numFmtId="0" fontId="18" fillId="0" borderId="2" xfId="0" applyNumberFormat="1" applyFont="1" applyBorder="1" applyAlignment="1">
      <alignment horizontal="center" vertical="center" wrapText="1"/>
    </xf>
    <xf numFmtId="0" fontId="18" fillId="0" borderId="1" xfId="0" applyNumberFormat="1" applyFont="1" applyBorder="1" applyAlignment="1">
      <alignment horizontal="left" vertical="center" wrapText="1"/>
    </xf>
    <xf numFmtId="0" fontId="18" fillId="2" borderId="1" xfId="0" applyNumberFormat="1" applyFont="1" applyFill="1" applyBorder="1" applyAlignment="1">
      <alignment horizontal="center" vertical="center" wrapText="1"/>
    </xf>
    <xf numFmtId="0" fontId="18" fillId="0" borderId="1" xfId="0" applyNumberFormat="1" applyFont="1" applyBorder="1" applyAlignment="1">
      <alignment horizontal="center" vertical="center"/>
    </xf>
    <xf numFmtId="0" fontId="18" fillId="3" borderId="1" xfId="0" applyNumberFormat="1" applyFont="1" applyFill="1" applyBorder="1" applyAlignment="1">
      <alignment horizontal="center" vertical="center"/>
    </xf>
    <xf numFmtId="9" fontId="18" fillId="3" borderId="1" xfId="0" applyNumberFormat="1" applyFont="1" applyFill="1" applyBorder="1" applyAlignment="1">
      <alignment vertical="center"/>
    </xf>
    <xf numFmtId="0" fontId="18" fillId="3" borderId="1" xfId="0" applyNumberFormat="1" applyFont="1" applyFill="1" applyBorder="1" applyAlignment="1">
      <alignment vertical="center"/>
    </xf>
    <xf numFmtId="177" fontId="18" fillId="3" borderId="1" xfId="0" applyNumberFormat="1" applyFont="1" applyFill="1" applyBorder="1" applyAlignment="1">
      <alignment horizontal="center" vertical="center"/>
    </xf>
    <xf numFmtId="9" fontId="18" fillId="0" borderId="1" xfId="0" applyNumberFormat="1" applyFont="1" applyBorder="1" applyAlignment="1">
      <alignment horizontal="center" vertical="center"/>
    </xf>
    <xf numFmtId="177" fontId="18" fillId="0" borderId="1" xfId="0" applyNumberFormat="1" applyFont="1" applyBorder="1" applyAlignment="1">
      <alignment horizontal="center" vertical="center"/>
    </xf>
    <xf numFmtId="0" fontId="18" fillId="0" borderId="1" xfId="0" applyNumberFormat="1" applyFont="1" applyBorder="1" applyAlignment="1">
      <alignment vertical="center" wrapText="1"/>
    </xf>
    <xf numFmtId="0" fontId="18" fillId="0" borderId="8" xfId="0" applyNumberFormat="1" applyFont="1" applyBorder="1" applyAlignment="1">
      <alignment horizontal="center" vertical="center"/>
    </xf>
    <xf numFmtId="176" fontId="2" fillId="0" borderId="9" xfId="0" applyFont="1" applyBorder="1" applyAlignment="1">
      <alignment horizontal="center" vertical="center" wrapText="1"/>
    </xf>
    <xf numFmtId="176" fontId="4" fillId="0" borderId="9" xfId="0" applyFont="1" applyBorder="1" applyAlignment="1">
      <alignment horizontal="left" vertical="center"/>
    </xf>
    <xf numFmtId="176" fontId="5" fillId="0" borderId="9" xfId="0" applyFont="1" applyBorder="1" applyAlignment="1">
      <alignment horizontal="center" vertical="center" wrapText="1"/>
    </xf>
    <xf numFmtId="176" fontId="5" fillId="0" borderId="9" xfId="0" applyFont="1" applyBorder="1" applyAlignment="1">
      <alignment horizontal="center" vertical="center"/>
    </xf>
    <xf numFmtId="0" fontId="5" fillId="0" borderId="8" xfId="0" applyNumberFormat="1" applyFont="1" applyFill="1" applyBorder="1" applyAlignment="1">
      <alignment horizontal="center" vertical="center" wrapText="1"/>
    </xf>
    <xf numFmtId="0" fontId="5" fillId="0" borderId="10" xfId="0" applyNumberFormat="1" applyFont="1" applyBorder="1" applyAlignment="1">
      <alignment horizontal="left" vertical="center" wrapText="1"/>
    </xf>
    <xf numFmtId="0" fontId="5" fillId="0" borderId="11" xfId="0" applyNumberFormat="1" applyFont="1" applyBorder="1" applyAlignment="1">
      <alignment horizontal="center" vertical="center" wrapText="1"/>
    </xf>
    <xf numFmtId="9" fontId="5" fillId="0" borderId="9" xfId="0" applyNumberFormat="1" applyFont="1" applyBorder="1" applyAlignment="1">
      <alignment horizontal="center" vertical="center" wrapText="1"/>
    </xf>
    <xf numFmtId="177" fontId="5" fillId="0" borderId="9" xfId="0" applyNumberFormat="1" applyFont="1" applyBorder="1" applyAlignment="1">
      <alignment horizontal="center" vertical="center"/>
    </xf>
    <xf numFmtId="176" fontId="2" fillId="0" borderId="5" xfId="0" applyFont="1" applyBorder="1" applyAlignment="1">
      <alignment horizontal="center" vertical="center" wrapText="1"/>
    </xf>
    <xf numFmtId="176" fontId="4" fillId="0" borderId="5" xfId="0" applyFont="1" applyBorder="1" applyAlignment="1">
      <alignment horizontal="left" vertical="center"/>
    </xf>
    <xf numFmtId="176" fontId="5" fillId="0" borderId="5" xfId="0" applyFont="1" applyBorder="1" applyAlignment="1">
      <alignment horizontal="center" vertical="center" wrapText="1"/>
    </xf>
    <xf numFmtId="176" fontId="5" fillId="0" borderId="5" xfId="0" applyFont="1" applyBorder="1" applyAlignment="1">
      <alignment horizontal="center" vertical="center"/>
    </xf>
    <xf numFmtId="0" fontId="5" fillId="0" borderId="9" xfId="0" applyNumberFormat="1" applyFont="1" applyBorder="1" applyAlignment="1">
      <alignment horizontal="left" vertical="center" wrapText="1"/>
    </xf>
    <xf numFmtId="0" fontId="5" fillId="0" borderId="12" xfId="0" applyNumberFormat="1" applyFont="1" applyBorder="1" applyAlignment="1">
      <alignment horizontal="center" vertical="center" wrapText="1"/>
    </xf>
    <xf numFmtId="9" fontId="5" fillId="0" borderId="5" xfId="0" applyNumberFormat="1" applyFont="1" applyBorder="1" applyAlignment="1">
      <alignment horizontal="center" vertical="center" wrapText="1"/>
    </xf>
    <xf numFmtId="177" fontId="5" fillId="0" borderId="5" xfId="0" applyNumberFormat="1" applyFont="1" applyBorder="1" applyAlignment="1">
      <alignment horizontal="center" vertical="center"/>
    </xf>
    <xf numFmtId="176" fontId="5" fillId="0" borderId="13" xfId="0" applyFont="1" applyBorder="1" applyAlignment="1">
      <alignment horizontal="center" vertical="center"/>
    </xf>
    <xf numFmtId="176" fontId="5" fillId="0" borderId="13" xfId="0" applyFont="1" applyBorder="1" applyAlignment="1">
      <alignment horizontal="center" vertical="center" wrapText="1"/>
    </xf>
    <xf numFmtId="0" fontId="5" fillId="0" borderId="2" xfId="0" applyNumberFormat="1" applyFont="1" applyFill="1" applyBorder="1" applyAlignment="1">
      <alignment horizontal="center" vertical="center" wrapText="1"/>
    </xf>
    <xf numFmtId="0" fontId="5" fillId="0" borderId="13" xfId="0" applyNumberFormat="1" applyFont="1" applyBorder="1" applyAlignment="1">
      <alignment vertical="center"/>
    </xf>
    <xf numFmtId="176" fontId="5" fillId="3" borderId="14" xfId="0" applyFont="1" applyFill="1" applyBorder="1" applyAlignment="1">
      <alignment horizontal="center" vertical="center"/>
    </xf>
    <xf numFmtId="176" fontId="5" fillId="3" borderId="7" xfId="0" applyFont="1" applyFill="1" applyBorder="1" applyAlignment="1">
      <alignment horizontal="center" vertical="center"/>
    </xf>
    <xf numFmtId="176" fontId="5" fillId="3" borderId="15" xfId="0" applyFont="1" applyFill="1" applyBorder="1" applyAlignment="1">
      <alignment horizontal="center" vertical="center"/>
    </xf>
    <xf numFmtId="176" fontId="5" fillId="3" borderId="13" xfId="0" applyFont="1" applyFill="1" applyBorder="1" applyAlignment="1">
      <alignment horizontal="center" vertical="center"/>
    </xf>
    <xf numFmtId="9" fontId="5" fillId="3" borderId="5" xfId="0" applyNumberFormat="1" applyFont="1" applyFill="1" applyBorder="1" applyAlignment="1">
      <alignment vertical="center"/>
    </xf>
    <xf numFmtId="176" fontId="5" fillId="3" borderId="5" xfId="0" applyFont="1" applyFill="1" applyBorder="1" applyAlignment="1">
      <alignment vertical="center"/>
    </xf>
    <xf numFmtId="177" fontId="5" fillId="3" borderId="5" xfId="0" applyNumberFormat="1" applyFont="1" applyFill="1" applyBorder="1" applyAlignment="1">
      <alignment horizontal="center" vertical="center"/>
    </xf>
    <xf numFmtId="176" fontId="5" fillId="0" borderId="16" xfId="0" applyFont="1" applyBorder="1" applyAlignment="1">
      <alignment horizontal="center" vertical="center"/>
    </xf>
    <xf numFmtId="176" fontId="4" fillId="0" borderId="9" xfId="0" applyFont="1" applyBorder="1" applyAlignment="1">
      <alignment horizontal="left" vertical="center" wrapText="1"/>
    </xf>
    <xf numFmtId="9" fontId="5" fillId="0" borderId="17" xfId="0" applyNumberFormat="1" applyFont="1" applyBorder="1" applyAlignment="1">
      <alignment horizontal="center" vertical="center"/>
    </xf>
    <xf numFmtId="176" fontId="5" fillId="0" borderId="18" xfId="0" applyFont="1" applyBorder="1" applyAlignment="1">
      <alignment horizontal="center" vertical="center"/>
    </xf>
    <xf numFmtId="176" fontId="4" fillId="0" borderId="5" xfId="0" applyFont="1" applyBorder="1" applyAlignment="1">
      <alignment vertical="center"/>
    </xf>
    <xf numFmtId="176" fontId="5" fillId="0" borderId="5" xfId="0" applyFont="1" applyBorder="1" applyAlignment="1">
      <alignment vertical="center" wrapText="1"/>
    </xf>
    <xf numFmtId="176" fontId="5" fillId="0" borderId="17" xfId="0" applyFont="1" applyBorder="1" applyAlignment="1">
      <alignment horizontal="center" vertical="center" wrapText="1"/>
    </xf>
    <xf numFmtId="176" fontId="5" fillId="0" borderId="19" xfId="0" applyFont="1" applyBorder="1" applyAlignment="1">
      <alignment vertical="center" wrapText="1"/>
    </xf>
    <xf numFmtId="176" fontId="5" fillId="0" borderId="9" xfId="0" applyFont="1" applyBorder="1" applyAlignment="1">
      <alignment vertical="center" wrapText="1"/>
    </xf>
    <xf numFmtId="176" fontId="5" fillId="0" borderId="9" xfId="0" applyFont="1" applyBorder="1" applyAlignment="1">
      <alignment vertical="center"/>
    </xf>
    <xf numFmtId="176" fontId="5" fillId="3" borderId="5" xfId="0" applyFont="1" applyFill="1" applyBorder="1" applyAlignment="1">
      <alignment horizontal="center" vertical="center"/>
    </xf>
    <xf numFmtId="0" fontId="5" fillId="0" borderId="5" xfId="0" applyNumberFormat="1" applyFont="1" applyBorder="1" applyAlignment="1">
      <alignment vertical="center" wrapText="1"/>
    </xf>
    <xf numFmtId="9" fontId="5" fillId="0" borderId="5" xfId="0" applyNumberFormat="1" applyFont="1" applyBorder="1" applyAlignment="1">
      <alignment horizontal="center" vertical="center"/>
    </xf>
    <xf numFmtId="0" fontId="5" fillId="0" borderId="19" xfId="0" applyNumberFormat="1" applyFont="1" applyBorder="1" applyAlignment="1">
      <alignment horizontal="left" vertical="center" wrapText="1"/>
    </xf>
    <xf numFmtId="0" fontId="5" fillId="0" borderId="3" xfId="0" applyNumberFormat="1" applyFont="1" applyBorder="1" applyAlignment="1">
      <alignment horizontal="left" vertical="center" wrapText="1"/>
    </xf>
    <xf numFmtId="0" fontId="5" fillId="0" borderId="5" xfId="0" applyNumberFormat="1" applyFont="1" applyBorder="1" applyAlignment="1">
      <alignment vertical="center"/>
    </xf>
    <xf numFmtId="176" fontId="2" fillId="0" borderId="1" xfId="0" applyFont="1" applyBorder="1" applyAlignment="1">
      <alignment horizontal="center" vertical="center" wrapText="1"/>
    </xf>
    <xf numFmtId="176" fontId="4" fillId="0" borderId="1" xfId="0" applyFont="1" applyBorder="1" applyAlignment="1">
      <alignment horizontal="left" vertical="center"/>
    </xf>
    <xf numFmtId="176" fontId="5" fillId="0" borderId="1" xfId="0" applyFont="1" applyBorder="1" applyAlignment="1">
      <alignment horizontal="center" vertical="center" wrapText="1"/>
    </xf>
    <xf numFmtId="176" fontId="5" fillId="0" borderId="1" xfId="0" applyFont="1" applyBorder="1" applyAlignment="1">
      <alignment horizontal="center" vertical="center"/>
    </xf>
    <xf numFmtId="176" fontId="5" fillId="0" borderId="2" xfId="0" applyFont="1" applyBorder="1" applyAlignment="1">
      <alignment horizontal="left" vertical="center" wrapText="1"/>
    </xf>
    <xf numFmtId="176" fontId="5" fillId="0" borderId="1" xfId="0" applyFont="1" applyBorder="1" applyAlignment="1">
      <alignment vertical="center"/>
    </xf>
    <xf numFmtId="176" fontId="5" fillId="0" borderId="3" xfId="0" applyFont="1" applyBorder="1" applyAlignment="1">
      <alignment horizontal="left" vertical="center" wrapText="1"/>
    </xf>
    <xf numFmtId="176" fontId="5" fillId="0" borderId="8" xfId="0" applyFont="1" applyBorder="1" applyAlignment="1">
      <alignment horizontal="left" vertical="center" wrapText="1"/>
    </xf>
    <xf numFmtId="176" fontId="5" fillId="3" borderId="4" xfId="0" applyFont="1" applyFill="1" applyBorder="1" applyAlignment="1">
      <alignment horizontal="center" vertical="center"/>
    </xf>
    <xf numFmtId="176" fontId="5" fillId="3" borderId="6" xfId="0" applyFont="1" applyFill="1" applyBorder="1" applyAlignment="1">
      <alignment horizontal="center" vertical="center"/>
    </xf>
    <xf numFmtId="176" fontId="5" fillId="3" borderId="1" xfId="0" applyFont="1" applyFill="1" applyBorder="1" applyAlignment="1">
      <alignment vertical="center"/>
    </xf>
    <xf numFmtId="176" fontId="5" fillId="0" borderId="1" xfId="0" applyFont="1" applyBorder="1" applyAlignment="1">
      <alignment horizontal="left" vertical="center" wrapText="1"/>
    </xf>
    <xf numFmtId="0" fontId="5" fillId="0" borderId="1" xfId="0" applyNumberFormat="1" applyFont="1" applyBorder="1" applyAlignment="1">
      <alignment vertical="center"/>
    </xf>
    <xf numFmtId="0" fontId="2" fillId="0" borderId="2" xfId="0" applyNumberFormat="1" applyFont="1" applyFill="1" applyBorder="1" applyAlignment="1">
      <alignment horizontal="center" vertical="center" wrapText="1"/>
    </xf>
    <xf numFmtId="0" fontId="4" fillId="0" borderId="2" xfId="0" applyNumberFormat="1" applyFont="1" applyFill="1" applyBorder="1" applyAlignment="1">
      <alignment horizontal="center" vertical="center"/>
    </xf>
    <xf numFmtId="9" fontId="5" fillId="0" borderId="2" xfId="0" applyNumberFormat="1" applyFont="1" applyFill="1" applyBorder="1" applyAlignment="1">
      <alignment horizontal="center" vertical="center" wrapText="1"/>
    </xf>
    <xf numFmtId="0" fontId="5" fillId="0" borderId="2" xfId="0" applyNumberFormat="1" applyFont="1" applyFill="1" applyBorder="1" applyAlignment="1">
      <alignment horizontal="center" vertical="center"/>
    </xf>
    <xf numFmtId="0" fontId="5" fillId="0" borderId="1" xfId="0" applyNumberFormat="1" applyFont="1" applyFill="1" applyBorder="1" applyAlignment="1">
      <alignment vertical="center" wrapText="1"/>
    </xf>
    <xf numFmtId="0" fontId="2" fillId="0" borderId="3" xfId="0" applyNumberFormat="1" applyFont="1" applyFill="1" applyBorder="1" applyAlignment="1">
      <alignment horizontal="center" vertical="center" wrapText="1"/>
    </xf>
    <xf numFmtId="0" fontId="4" fillId="0" borderId="3" xfId="0" applyNumberFormat="1" applyFont="1" applyFill="1" applyBorder="1" applyAlignment="1">
      <alignment horizontal="center" vertical="center"/>
    </xf>
    <xf numFmtId="9" fontId="5" fillId="0" borderId="3" xfId="0" applyNumberFormat="1" applyFont="1" applyFill="1" applyBorder="1" applyAlignment="1">
      <alignment horizontal="center" vertical="center" wrapText="1"/>
    </xf>
    <xf numFmtId="0" fontId="5" fillId="0" borderId="3" xfId="0" applyNumberFormat="1" applyFont="1" applyFill="1" applyBorder="1" applyAlignment="1">
      <alignment horizontal="center" vertical="center" wrapText="1"/>
    </xf>
    <xf numFmtId="0" fontId="5" fillId="0" borderId="3" xfId="0" applyNumberFormat="1" applyFont="1" applyFill="1" applyBorder="1" applyAlignment="1">
      <alignment horizontal="center" vertical="center"/>
    </xf>
    <xf numFmtId="0" fontId="5" fillId="0" borderId="8" xfId="0" applyNumberFormat="1" applyFont="1" applyFill="1" applyBorder="1" applyAlignment="1">
      <alignment horizontal="center" vertical="center"/>
    </xf>
    <xf numFmtId="9" fontId="5" fillId="0" borderId="1" xfId="0" applyNumberFormat="1" applyFont="1" applyFill="1" applyBorder="1" applyAlignment="1" applyProtection="1">
      <alignment horizontal="center" vertical="center" wrapText="1"/>
    </xf>
    <xf numFmtId="0" fontId="5" fillId="2" borderId="2" xfId="0" applyNumberFormat="1" applyFont="1" applyFill="1" applyBorder="1" applyAlignment="1">
      <alignment horizontal="center" vertical="center" wrapText="1"/>
    </xf>
    <xf numFmtId="0" fontId="5" fillId="2" borderId="8" xfId="0" applyNumberFormat="1" applyFont="1" applyFill="1" applyBorder="1" applyAlignment="1">
      <alignment horizontal="center" vertical="center" wrapText="1"/>
    </xf>
    <xf numFmtId="0" fontId="2" fillId="0" borderId="8" xfId="0" applyNumberFormat="1" applyFont="1" applyFill="1" applyBorder="1" applyAlignment="1">
      <alignment horizontal="center" vertical="center" wrapText="1"/>
    </xf>
    <xf numFmtId="0" fontId="18" fillId="0" borderId="1" xfId="0" applyNumberFormat="1" applyFont="1" applyFill="1" applyBorder="1" applyAlignment="1">
      <alignment horizontal="left" vertical="center" wrapText="1"/>
    </xf>
    <xf numFmtId="0" fontId="18" fillId="0" borderId="1" xfId="0" applyNumberFormat="1" applyFont="1" applyFill="1" applyBorder="1" applyAlignment="1">
      <alignment horizontal="center" vertical="center" wrapText="1"/>
    </xf>
    <xf numFmtId="0" fontId="18" fillId="0" borderId="1" xfId="0" applyNumberFormat="1" applyFont="1" applyFill="1" applyBorder="1" applyAlignment="1">
      <alignment vertical="center" wrapText="1"/>
    </xf>
    <xf numFmtId="0" fontId="18" fillId="0" borderId="3" xfId="0" applyNumberFormat="1" applyFont="1" applyFill="1" applyBorder="1" applyAlignment="1">
      <alignment horizontal="left" vertical="center" wrapText="1"/>
    </xf>
    <xf numFmtId="0" fontId="18" fillId="0" borderId="8" xfId="0" applyNumberFormat="1" applyFont="1" applyFill="1" applyBorder="1" applyAlignment="1">
      <alignment horizontal="left" vertical="center" wrapText="1"/>
    </xf>
    <xf numFmtId="0" fontId="18" fillId="0" borderId="2" xfId="0" applyNumberFormat="1" applyFont="1" applyFill="1" applyBorder="1" applyAlignment="1">
      <alignment horizontal="center" vertical="center" wrapText="1"/>
    </xf>
    <xf numFmtId="0" fontId="5" fillId="2" borderId="2" xfId="0" applyNumberFormat="1" applyFont="1" applyFill="1" applyBorder="1" applyAlignment="1">
      <alignment horizontal="center" vertical="center"/>
    </xf>
    <xf numFmtId="0" fontId="5" fillId="2" borderId="8" xfId="0" applyNumberFormat="1" applyFont="1" applyFill="1" applyBorder="1" applyAlignment="1">
      <alignment horizontal="center" vertical="center"/>
    </xf>
    <xf numFmtId="0" fontId="5" fillId="0" borderId="8" xfId="0" applyNumberFormat="1" applyFont="1" applyFill="1" applyBorder="1" applyAlignment="1">
      <alignment horizontal="left" vertical="center" wrapText="1"/>
    </xf>
    <xf numFmtId="0" fontId="18" fillId="2" borderId="1" xfId="0" applyNumberFormat="1" applyFont="1" applyFill="1" applyBorder="1" applyAlignment="1">
      <alignment horizontal="left" vertical="center" wrapText="1"/>
    </xf>
    <xf numFmtId="0" fontId="16" fillId="0" borderId="1" xfId="0" applyNumberFormat="1" applyFont="1" applyFill="1" applyBorder="1" applyAlignment="1">
      <alignment horizontal="center" vertical="center" wrapText="1"/>
    </xf>
    <xf numFmtId="0" fontId="2" fillId="0" borderId="2" xfId="0" applyNumberFormat="1" applyFont="1" applyFill="1" applyBorder="1" applyAlignment="1">
      <alignment horizontal="center" vertical="center" wrapText="1"/>
    </xf>
    <xf numFmtId="0" fontId="4" fillId="0" borderId="2" xfId="0" applyNumberFormat="1" applyFont="1" applyFill="1" applyBorder="1" applyAlignment="1">
      <alignment horizontal="center" vertical="center"/>
    </xf>
    <xf numFmtId="0" fontId="9" fillId="2" borderId="1" xfId="0" applyNumberFormat="1" applyFont="1" applyFill="1" applyBorder="1" applyAlignment="1">
      <alignment horizontal="center" vertical="center" wrapText="1"/>
    </xf>
    <xf numFmtId="177" fontId="19" fillId="0" borderId="1" xfId="0" applyNumberFormat="1" applyFont="1" applyFill="1" applyBorder="1" applyAlignment="1">
      <alignment horizontal="center" vertical="center"/>
    </xf>
    <xf numFmtId="0" fontId="2" fillId="0" borderId="3" xfId="0" applyNumberFormat="1" applyFont="1" applyFill="1" applyBorder="1" applyAlignment="1">
      <alignment horizontal="center" vertical="center" wrapText="1"/>
    </xf>
    <xf numFmtId="0" fontId="4" fillId="0" borderId="3" xfId="0" applyNumberFormat="1" applyFont="1" applyFill="1" applyBorder="1" applyAlignment="1">
      <alignment horizontal="center" vertical="center"/>
    </xf>
    <xf numFmtId="0" fontId="12" fillId="0" borderId="1" xfId="0" applyNumberFormat="1" applyFont="1" applyFill="1" applyBorder="1" applyAlignment="1">
      <alignment horizontal="left" vertical="center" wrapText="1"/>
    </xf>
    <xf numFmtId="0" fontId="2" fillId="0" borderId="8" xfId="0" applyNumberFormat="1" applyFont="1" applyFill="1" applyBorder="1" applyAlignment="1">
      <alignment horizontal="center" vertical="center" wrapText="1"/>
    </xf>
    <xf numFmtId="0" fontId="4" fillId="0" borderId="8" xfId="0" applyNumberFormat="1" applyFont="1" applyFill="1" applyBorder="1" applyAlignment="1">
      <alignment horizontal="center" vertical="center"/>
    </xf>
    <xf numFmtId="0" fontId="0" fillId="0" borderId="0" xfId="0" applyNumberFormat="1"/>
    <xf numFmtId="9" fontId="0" fillId="0" borderId="0" xfId="0" applyNumberFormat="1"/>
    <xf numFmtId="49" fontId="0" fillId="0" borderId="0" xfId="0" applyNumberFormat="1"/>
    <xf numFmtId="176" fontId="20" fillId="4" borderId="1" xfId="0" applyFont="1" applyFill="1" applyBorder="1" applyAlignment="1">
      <alignment horizontal="center" vertical="center"/>
    </xf>
    <xf numFmtId="0" fontId="21" fillId="4" borderId="1" xfId="0" applyNumberFormat="1" applyFont="1" applyFill="1" applyBorder="1" applyAlignment="1">
      <alignment horizontal="center" vertical="center"/>
    </xf>
    <xf numFmtId="176" fontId="21" fillId="4" borderId="1" xfId="0" applyFont="1" applyFill="1" applyBorder="1" applyAlignment="1">
      <alignment horizontal="center" vertical="center"/>
    </xf>
    <xf numFmtId="9" fontId="21" fillId="4" borderId="1" xfId="0" applyNumberFormat="1" applyFont="1" applyFill="1" applyBorder="1" applyAlignment="1">
      <alignment horizontal="center" vertical="center"/>
    </xf>
    <xf numFmtId="0" fontId="21" fillId="4" borderId="1" xfId="0" applyNumberFormat="1" applyFont="1" applyFill="1" applyBorder="1" applyAlignment="1">
      <alignment horizontal="center" vertical="center" wrapText="1"/>
    </xf>
    <xf numFmtId="49" fontId="21" fillId="4" borderId="1" xfId="0" applyNumberFormat="1" applyFont="1" applyFill="1" applyBorder="1" applyAlignment="1">
      <alignment horizontal="center" vertical="center" wrapText="1"/>
    </xf>
    <xf numFmtId="176" fontId="21" fillId="4" borderId="1" xfId="0" applyFont="1" applyFill="1" applyBorder="1" applyAlignment="1">
      <alignment horizontal="center" vertical="center" wrapText="1"/>
    </xf>
    <xf numFmtId="0" fontId="22" fillId="0" borderId="1" xfId="0" applyNumberFormat="1" applyFont="1" applyBorder="1" applyAlignment="1">
      <alignment horizontal="center" vertical="center"/>
    </xf>
    <xf numFmtId="176" fontId="22" fillId="0" borderId="2" xfId="0" applyFont="1" applyBorder="1" applyAlignment="1">
      <alignment horizontal="center" vertical="center" wrapText="1"/>
    </xf>
    <xf numFmtId="176" fontId="22" fillId="0" borderId="1" xfId="0" applyFont="1" applyBorder="1" applyAlignment="1">
      <alignment horizontal="center" vertical="center" wrapText="1"/>
    </xf>
    <xf numFmtId="176" fontId="22" fillId="0" borderId="1" xfId="0" applyFont="1" applyBorder="1" applyAlignment="1">
      <alignment vertical="center"/>
    </xf>
    <xf numFmtId="176" fontId="22" fillId="0" borderId="1" xfId="0" applyFont="1" applyBorder="1" applyAlignment="1">
      <alignment horizontal="center" vertical="center"/>
    </xf>
    <xf numFmtId="9" fontId="22" fillId="0" borderId="1" xfId="0" applyNumberFormat="1" applyFont="1" applyBorder="1" applyAlignment="1">
      <alignment horizontal="center" vertical="center"/>
    </xf>
    <xf numFmtId="0" fontId="22" fillId="0" borderId="1" xfId="0" applyNumberFormat="1" applyFont="1" applyBorder="1" applyAlignment="1">
      <alignment horizontal="center" vertical="center" wrapText="1"/>
    </xf>
    <xf numFmtId="0" fontId="22" fillId="0" borderId="1" xfId="0" applyNumberFormat="1" applyFont="1" applyFill="1" applyBorder="1" applyAlignment="1">
      <alignment horizontal="center" vertical="center" wrapText="1"/>
    </xf>
    <xf numFmtId="176" fontId="22" fillId="0" borderId="1" xfId="0" applyFont="1" applyBorder="1" applyAlignment="1">
      <alignment vertical="center" wrapText="1"/>
    </xf>
    <xf numFmtId="176" fontId="22" fillId="0" borderId="3" xfId="0" applyFont="1" applyBorder="1" applyAlignment="1">
      <alignment horizontal="center" vertical="center"/>
    </xf>
    <xf numFmtId="9" fontId="22" fillId="0" borderId="1" xfId="0" applyNumberFormat="1" applyFont="1" applyFill="1" applyBorder="1" applyAlignment="1" applyProtection="1">
      <alignment horizontal="center" vertical="center"/>
    </xf>
    <xf numFmtId="176" fontId="22" fillId="0" borderId="1" xfId="0" applyFont="1" applyFill="1" applyBorder="1" applyAlignment="1">
      <alignment horizontal="center" vertical="center"/>
    </xf>
    <xf numFmtId="176" fontId="22" fillId="5" borderId="1" xfId="0" applyFont="1" applyFill="1" applyBorder="1" applyAlignment="1">
      <alignment horizontal="center" vertical="center"/>
    </xf>
    <xf numFmtId="9" fontId="22" fillId="0" borderId="1" xfId="0" applyNumberFormat="1" applyFont="1" applyFill="1" applyBorder="1" applyAlignment="1">
      <alignment horizontal="center" vertical="center"/>
    </xf>
    <xf numFmtId="176" fontId="22" fillId="5" borderId="1" xfId="0" applyFont="1" applyFill="1" applyBorder="1" applyAlignment="1">
      <alignment horizontal="center" vertical="center" wrapText="1"/>
    </xf>
    <xf numFmtId="0" fontId="22" fillId="0" borderId="1" xfId="0" applyNumberFormat="1" applyFont="1" applyFill="1" applyBorder="1" applyAlignment="1">
      <alignment horizontal="center" vertical="center"/>
    </xf>
    <xf numFmtId="176" fontId="22" fillId="0" borderId="1" xfId="0" applyFont="1" applyFill="1" applyBorder="1" applyAlignment="1">
      <alignment vertical="center"/>
    </xf>
    <xf numFmtId="176" fontId="22" fillId="0" borderId="1" xfId="0" applyFont="1" applyFill="1" applyBorder="1" applyAlignment="1">
      <alignment horizontal="center" vertical="center" wrapText="1"/>
    </xf>
    <xf numFmtId="49" fontId="22" fillId="0" borderId="1" xfId="0" applyNumberFormat="1" applyFont="1" applyFill="1" applyBorder="1" applyAlignment="1">
      <alignment horizontal="center" vertical="center" wrapText="1"/>
    </xf>
    <xf numFmtId="176" fontId="22" fillId="0" borderId="1" xfId="0" applyFont="1" applyBorder="1"/>
    <xf numFmtId="0" fontId="22" fillId="0" borderId="20" xfId="0" applyNumberFormat="1" applyFont="1" applyBorder="1" applyAlignment="1">
      <alignment horizontal="center" vertical="center"/>
    </xf>
    <xf numFmtId="176" fontId="22" fillId="0" borderId="21" xfId="0" applyFont="1" applyBorder="1" applyAlignment="1">
      <alignment horizontal="center" vertical="center"/>
    </xf>
    <xf numFmtId="176" fontId="22" fillId="0" borderId="20" xfId="0" applyFont="1" applyBorder="1" applyAlignment="1">
      <alignment horizontal="center" vertical="center"/>
    </xf>
    <xf numFmtId="176" fontId="22" fillId="4" borderId="20" xfId="0" applyFont="1" applyFill="1" applyBorder="1" applyAlignment="1">
      <alignment horizontal="center" vertical="center"/>
    </xf>
    <xf numFmtId="0" fontId="22" fillId="4" borderId="20" xfId="0" applyNumberFormat="1" applyFont="1" applyFill="1" applyBorder="1" applyAlignment="1">
      <alignment horizontal="center" vertical="center"/>
    </xf>
    <xf numFmtId="176" fontId="22" fillId="4" borderId="20" xfId="0" applyFont="1" applyFill="1" applyBorder="1" applyAlignment="1">
      <alignment horizontal="center" vertical="center" wrapText="1"/>
    </xf>
    <xf numFmtId="9" fontId="22" fillId="4" borderId="20" xfId="0" applyNumberFormat="1" applyFont="1" applyFill="1" applyBorder="1" applyAlignment="1">
      <alignment horizontal="center" vertical="center"/>
    </xf>
    <xf numFmtId="176" fontId="22" fillId="0" borderId="20" xfId="0" applyFont="1" applyBorder="1" applyAlignment="1">
      <alignment horizontal="center" vertical="center" wrapText="1"/>
    </xf>
    <xf numFmtId="0" fontId="22" fillId="0" borderId="8" xfId="0" applyNumberFormat="1" applyFont="1" applyBorder="1" applyAlignment="1">
      <alignment horizontal="center" vertical="center"/>
    </xf>
    <xf numFmtId="176" fontId="22" fillId="0" borderId="3" xfId="0" applyFont="1" applyBorder="1" applyAlignment="1">
      <alignment horizontal="center" vertical="center" wrapText="1"/>
    </xf>
    <xf numFmtId="0" fontId="22" fillId="0" borderId="8" xfId="0" applyNumberFormat="1" applyFont="1" applyFill="1" applyBorder="1" applyAlignment="1">
      <alignment horizontal="center" vertical="center"/>
    </xf>
    <xf numFmtId="176" fontId="22" fillId="0" borderId="8" xfId="0" applyFont="1" applyFill="1" applyBorder="1" applyAlignment="1">
      <alignment vertical="center"/>
    </xf>
    <xf numFmtId="176" fontId="22" fillId="0" borderId="8" xfId="0" applyFont="1" applyFill="1" applyBorder="1" applyAlignment="1">
      <alignment horizontal="center" vertical="center"/>
    </xf>
    <xf numFmtId="9" fontId="22" fillId="0" borderId="8" xfId="0" applyNumberFormat="1" applyFont="1" applyFill="1" applyBorder="1" applyAlignment="1">
      <alignment horizontal="center" vertical="center"/>
    </xf>
    <xf numFmtId="0" fontId="22" fillId="0" borderId="8" xfId="0" applyNumberFormat="1" applyFont="1" applyFill="1" applyBorder="1" applyAlignment="1">
      <alignment horizontal="center" vertical="center" wrapText="1"/>
    </xf>
    <xf numFmtId="176" fontId="23" fillId="0" borderId="8" xfId="0" applyFont="1" applyFill="1" applyBorder="1" applyAlignment="1">
      <alignment vertical="center" wrapText="1"/>
    </xf>
    <xf numFmtId="0" fontId="22" fillId="0" borderId="2" xfId="0" applyNumberFormat="1" applyFont="1" applyBorder="1" applyAlignment="1">
      <alignment horizontal="center" vertical="center"/>
    </xf>
    <xf numFmtId="176" fontId="22" fillId="0" borderId="2" xfId="0" applyFont="1" applyBorder="1" applyAlignment="1">
      <alignment vertical="center"/>
    </xf>
    <xf numFmtId="176" fontId="22" fillId="0" borderId="2" xfId="0" applyFont="1" applyBorder="1" applyAlignment="1">
      <alignment horizontal="center" vertical="center"/>
    </xf>
    <xf numFmtId="9" fontId="22" fillId="0" borderId="2" xfId="0" applyNumberFormat="1" applyFont="1" applyBorder="1" applyAlignment="1">
      <alignment horizontal="center" vertical="center"/>
    </xf>
    <xf numFmtId="0" fontId="22" fillId="0" borderId="2" xfId="0" applyNumberFormat="1" applyFont="1" applyBorder="1" applyAlignment="1">
      <alignment horizontal="center" vertical="center" wrapText="1"/>
    </xf>
    <xf numFmtId="176" fontId="22" fillId="0" borderId="2" xfId="0" applyFont="1" applyBorder="1" applyAlignment="1">
      <alignment vertical="center" wrapText="1"/>
    </xf>
    <xf numFmtId="176" fontId="22" fillId="0" borderId="2" xfId="0" applyFont="1" applyFill="1" applyBorder="1" applyAlignment="1">
      <alignment horizontal="center" vertical="center"/>
    </xf>
    <xf numFmtId="176" fontId="22" fillId="0" borderId="21" xfId="0" applyFont="1" applyBorder="1" applyAlignment="1">
      <alignment horizontal="center" vertical="center" wrapText="1"/>
    </xf>
    <xf numFmtId="176" fontId="22" fillId="0" borderId="8" xfId="0" applyFont="1" applyBorder="1" applyAlignment="1">
      <alignment horizontal="center" vertical="center" wrapText="1"/>
    </xf>
    <xf numFmtId="176" fontId="22" fillId="0" borderId="8" xfId="0" applyFont="1" applyBorder="1" applyAlignment="1">
      <alignment vertical="center"/>
    </xf>
    <xf numFmtId="176" fontId="22" fillId="0" borderId="8" xfId="0" applyFont="1" applyFill="1" applyBorder="1" applyAlignment="1">
      <alignment horizontal="center" vertical="center" wrapText="1"/>
    </xf>
    <xf numFmtId="176" fontId="22" fillId="0" borderId="8" xfId="0" applyFont="1" applyFill="1" applyBorder="1" applyAlignment="1">
      <alignment vertical="center" wrapText="1"/>
    </xf>
    <xf numFmtId="176" fontId="23" fillId="0" borderId="1" xfId="0" applyFont="1" applyFill="1" applyBorder="1" applyAlignment="1">
      <alignment vertical="center" wrapText="1"/>
    </xf>
    <xf numFmtId="176" fontId="22" fillId="3" borderId="1" xfId="0" applyFont="1" applyFill="1" applyBorder="1" applyAlignment="1">
      <alignment vertical="center"/>
    </xf>
    <xf numFmtId="0" fontId="22" fillId="0" borderId="4" xfId="0" applyNumberFormat="1" applyFont="1" applyFill="1" applyBorder="1" applyAlignment="1">
      <alignment horizontal="center" vertical="center"/>
    </xf>
    <xf numFmtId="0" fontId="22" fillId="0" borderId="6" xfId="0" applyNumberFormat="1" applyFont="1" applyFill="1" applyBorder="1" applyAlignment="1">
      <alignment horizontal="center" vertical="center"/>
    </xf>
    <xf numFmtId="176" fontId="22" fillId="0" borderId="8" xfId="0" applyFont="1" applyBorder="1" applyAlignment="1">
      <alignment horizontal="center" vertical="center"/>
    </xf>
    <xf numFmtId="9" fontId="22" fillId="0" borderId="8" xfId="0" applyNumberFormat="1" applyFont="1" applyBorder="1" applyAlignment="1">
      <alignment horizontal="center" vertical="center"/>
    </xf>
    <xf numFmtId="49" fontId="22" fillId="0" borderId="8" xfId="0" applyNumberFormat="1" applyFont="1" applyFill="1" applyBorder="1" applyAlignment="1">
      <alignment horizontal="center" vertical="center" wrapText="1"/>
    </xf>
    <xf numFmtId="176" fontId="22" fillId="0" borderId="8" xfId="0" applyFont="1" applyBorder="1" applyAlignment="1">
      <alignment vertical="center" wrapText="1"/>
    </xf>
    <xf numFmtId="0" fontId="22" fillId="0" borderId="0" xfId="0" applyNumberFormat="1" applyFont="1" applyAlignment="1">
      <alignment horizontal="center" vertical="center"/>
    </xf>
    <xf numFmtId="176" fontId="22" fillId="0" borderId="0" xfId="0" applyFont="1" applyAlignment="1">
      <alignment horizontal="center" vertical="center"/>
    </xf>
    <xf numFmtId="176" fontId="22" fillId="0" borderId="0" xfId="0" applyFont="1" applyAlignment="1">
      <alignment vertical="center"/>
    </xf>
    <xf numFmtId="0" fontId="22" fillId="0" borderId="0" xfId="0" applyNumberFormat="1" applyFont="1" applyAlignment="1">
      <alignment vertical="center"/>
    </xf>
    <xf numFmtId="176" fontId="0" fillId="0" borderId="0" xfId="0" applyAlignment="1">
      <alignment vertical="center"/>
    </xf>
    <xf numFmtId="0" fontId="5" fillId="0" borderId="1" xfId="0" applyNumberFormat="1" applyFont="1" applyFill="1" applyBorder="1" applyAlignment="1" quotePrefix="1">
      <alignment horizontal="center" vertical="center" wrapText="1"/>
    </xf>
  </cellXfs>
  <cellStyles count="6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百分比 2" xfId="49"/>
    <cellStyle name="百分比 3" xfId="50"/>
    <cellStyle name="常规 10" xfId="51"/>
    <cellStyle name="常规 11" xfId="52"/>
    <cellStyle name="常规 12" xfId="53"/>
    <cellStyle name="常规 13" xfId="54"/>
    <cellStyle name="常规 14" xfId="55"/>
    <cellStyle name="常规 2" xfId="56"/>
    <cellStyle name="常规 3" xfId="57"/>
    <cellStyle name="常规 4" xfId="58"/>
    <cellStyle name="常规 5" xfId="59"/>
    <cellStyle name="常规 6" xfId="60"/>
    <cellStyle name="常规 7" xfId="61"/>
    <cellStyle name="常规 8" xfId="62"/>
    <cellStyle name="常规 9" xfId="63"/>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externalLink" Target="externalLinks/externalLink6.xml"/><Relationship Id="rId14" Type="http://schemas.openxmlformats.org/officeDocument/2006/relationships/externalLink" Target="externalLinks/externalLink5.xml"/><Relationship Id="rId13" Type="http://schemas.openxmlformats.org/officeDocument/2006/relationships/externalLink" Target="externalLinks/externalLink4.xml"/><Relationship Id="rId12" Type="http://schemas.openxmlformats.org/officeDocument/2006/relationships/externalLink" Target="externalLinks/externalLink3.xml"/><Relationship Id="rId11" Type="http://schemas.openxmlformats.org/officeDocument/2006/relationships/externalLink" Target="externalLinks/externalLink2.xml"/><Relationship Id="rId10"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pc\Desktop\&#24037;&#20316;\&#26032;&#24314;&#25991;&#20214;&#22841;\2026.3.2-2026.3.6&#39033;&#30446;&#21608;&#25253;&#27719;&#24635;-&#20132;&#20184;-&#29289;&#19994;&#3245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pc\Desktop\&#24037;&#20316;\&#26032;&#24314;&#25991;&#20214;&#22841;\2026.3.02-2026.3.06&#39033;&#30446;&#21608;&#25253;&#27719;&#2463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pc\Desktop\&#24037;&#20316;\&#26032;&#24314;&#25991;&#20214;&#22841;\2026.3.2-2026.3.6&#39033;&#30446;&#21608;&#25253;&#27719;&#24635;-&#20132;&#20184;-AI&#22823;&#25968;&#25454;&#3245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pc\Desktop\&#24037;&#20316;\&#26032;&#24314;&#25991;&#20214;&#22841;\2026.3.02-2025.3.06&#39033;&#30446;&#21608;&#25253;&#27719;&#24635;-&#20132;&#20184;-JD&#3245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pc\Desktop\&#24037;&#20316;\&#26032;&#24314;&#25991;&#20214;&#22841;\20260302-20260306&#39033;&#30446;&#21608;&#25253;&#27719;&#24635;-&#27719;&#25151;&#26234;&#36873;&#3709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pc\Desktop\&#24037;&#20316;\&#26032;&#24314;&#25991;&#20214;&#22841;\2026.3.2-2025.3.6&#39033;&#30446;&#21608;&#25253;_&#36719;&#20214;&#39033;&#30446;&#3709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项目汇总"/>
    </sheetNames>
    <sheetDataSet>
      <sheetData sheetId="0"/>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项目汇总"/>
      <sheetName val="Sheet1"/>
    </sheetNames>
    <sheetDataSet>
      <sheetData sheetId="0"/>
      <sheetData sheetId="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项目汇总"/>
    </sheetNames>
    <sheetDataSet>
      <sheetData sheetId="0"/>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项目汇总"/>
    </sheetNames>
    <sheetDataSet>
      <sheetData sheetId="0"/>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汇房智选部"/>
    </sheetNames>
    <sheetDataSet>
      <sheetData sheetId="0"/>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项目汇总"/>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R51"/>
  <sheetViews>
    <sheetView tabSelected="1" zoomScale="70" zoomScaleNormal="70" topLeftCell="A15" workbookViewId="0">
      <selection activeCell="L33" sqref="L33"/>
    </sheetView>
  </sheetViews>
  <sheetFormatPr defaultColWidth="9" defaultRowHeight="13.8"/>
  <cols>
    <col min="1" max="1" width="7.11111111111111" style="214" customWidth="1"/>
    <col min="2" max="2" width="15.4444444444444" customWidth="1"/>
    <col min="3" max="3" width="14.4444444444444" customWidth="1"/>
    <col min="4" max="4" width="21.8888888888889" style="214" customWidth="1"/>
    <col min="5" max="5" width="41.8888888888889" customWidth="1"/>
    <col min="6" max="6" width="21.2222222222222" customWidth="1"/>
    <col min="7" max="7" width="9.88888888888889" customWidth="1"/>
    <col min="8" max="8" width="11.4444444444444" customWidth="1"/>
    <col min="9" max="9" width="10.8888888888889" customWidth="1"/>
    <col min="10" max="10" width="15.3333333333333" style="215" customWidth="1"/>
    <col min="11" max="11" width="11.3333333333333" style="214" customWidth="1"/>
    <col min="12" max="12" width="20.6296296296296" customWidth="1"/>
    <col min="13" max="13" width="19.7777777777778" style="214" customWidth="1"/>
    <col min="14" max="14" width="20.1574074074074" style="214" customWidth="1"/>
    <col min="15" max="15" width="21.2685185185185" style="216" customWidth="1"/>
    <col min="16" max="16" width="19.2037037037037" customWidth="1"/>
    <col min="17" max="17" width="16.3518518518519" customWidth="1"/>
    <col min="18" max="18" width="50.1574074074074" customWidth="1"/>
  </cols>
  <sheetData>
    <row r="1" ht="37.5" customHeight="1" spans="1:18">
      <c r="A1" s="217" t="s">
        <v>0</v>
      </c>
      <c r="B1" s="217"/>
      <c r="C1" s="217"/>
      <c r="D1" s="217"/>
      <c r="E1" s="217"/>
      <c r="F1" s="217"/>
      <c r="G1" s="217"/>
      <c r="H1" s="217"/>
      <c r="I1" s="217"/>
      <c r="J1" s="217"/>
      <c r="K1" s="217"/>
      <c r="L1" s="217"/>
      <c r="M1" s="217"/>
      <c r="N1" s="217"/>
      <c r="O1" s="217"/>
      <c r="P1" s="217"/>
      <c r="Q1" s="217"/>
      <c r="R1" s="217"/>
    </row>
    <row r="2" ht="30" customHeight="1" spans="1:18">
      <c r="A2" s="218" t="s">
        <v>1</v>
      </c>
      <c r="B2" s="219" t="s">
        <v>2</v>
      </c>
      <c r="C2" s="219" t="s">
        <v>3</v>
      </c>
      <c r="D2" s="218" t="s">
        <v>4</v>
      </c>
      <c r="E2" s="219" t="s">
        <v>5</v>
      </c>
      <c r="F2" s="219" t="s">
        <v>6</v>
      </c>
      <c r="G2" s="219" t="s">
        <v>7</v>
      </c>
      <c r="H2" s="219" t="s">
        <v>8</v>
      </c>
      <c r="I2" s="219" t="s">
        <v>9</v>
      </c>
      <c r="J2" s="220" t="s">
        <v>10</v>
      </c>
      <c r="K2" s="221" t="s">
        <v>11</v>
      </c>
      <c r="L2" s="219" t="s">
        <v>12</v>
      </c>
      <c r="M2" s="218" t="s">
        <v>13</v>
      </c>
      <c r="N2" s="218" t="s">
        <v>14</v>
      </c>
      <c r="O2" s="222" t="s">
        <v>15</v>
      </c>
      <c r="P2" s="223" t="s">
        <v>16</v>
      </c>
      <c r="Q2" s="219" t="s">
        <v>17</v>
      </c>
      <c r="R2" s="219" t="s">
        <v>18</v>
      </c>
    </row>
    <row r="3" ht="23" customHeight="1" spans="1:18">
      <c r="A3" s="224">
        <v>1</v>
      </c>
      <c r="B3" s="225" t="s">
        <v>19</v>
      </c>
      <c r="C3" s="226" t="s">
        <v>20</v>
      </c>
      <c r="D3" s="224">
        <v>22220901</v>
      </c>
      <c r="E3" s="227" t="s">
        <v>21</v>
      </c>
      <c r="F3" s="228" t="s">
        <v>22</v>
      </c>
      <c r="G3" s="228" t="s">
        <v>23</v>
      </c>
      <c r="H3" s="228" t="s">
        <v>24</v>
      </c>
      <c r="I3" s="228" t="s">
        <v>25</v>
      </c>
      <c r="J3" s="229" t="s">
        <v>26</v>
      </c>
      <c r="K3" s="230" t="s">
        <v>27</v>
      </c>
      <c r="L3" s="228"/>
      <c r="M3" s="224">
        <v>19.5</v>
      </c>
      <c r="N3" s="224">
        <v>13.75</v>
      </c>
      <c r="O3" s="231" t="str">
        <f>N3-M3&amp;"("&amp;ROUND(((N3-M3)/M3*100),0)&amp;"%)"</f>
        <v>-5.75(-29%)</v>
      </c>
      <c r="P3" s="232"/>
      <c r="Q3" s="227"/>
      <c r="R3" s="228"/>
    </row>
    <row r="4" ht="23" customHeight="1" spans="1:18">
      <c r="A4" s="224">
        <v>2</v>
      </c>
      <c r="B4" s="233"/>
      <c r="C4" s="228"/>
      <c r="D4" s="224">
        <v>22250226</v>
      </c>
      <c r="E4" s="227" t="s">
        <v>28</v>
      </c>
      <c r="F4" s="228" t="s">
        <v>22</v>
      </c>
      <c r="G4" s="228" t="s">
        <v>29</v>
      </c>
      <c r="H4" s="228" t="s">
        <v>30</v>
      </c>
      <c r="I4" s="228" t="s">
        <v>25</v>
      </c>
      <c r="J4" s="234">
        <v>0.91</v>
      </c>
      <c r="K4" s="230" t="s">
        <v>31</v>
      </c>
      <c r="L4" s="228"/>
      <c r="M4" s="224">
        <v>12.5</v>
      </c>
      <c r="N4" s="224">
        <v>10.1</v>
      </c>
      <c r="O4" s="231" t="str">
        <f t="shared" ref="O4:O6" si="0">ROUND(N4-M4,2)&amp;"("&amp;ROUND(((N4-M4)/M4*100),0)&amp;"%)"</f>
        <v>-2.4(-19%)</v>
      </c>
      <c r="P4" s="232"/>
      <c r="Q4" s="227"/>
      <c r="R4" s="235"/>
    </row>
    <row r="5" ht="23" customHeight="1" spans="1:18">
      <c r="A5" s="224">
        <v>3</v>
      </c>
      <c r="B5" s="233"/>
      <c r="C5" s="228"/>
      <c r="D5" s="224">
        <v>22220202</v>
      </c>
      <c r="E5" s="227" t="s">
        <v>32</v>
      </c>
      <c r="F5" s="228" t="s">
        <v>33</v>
      </c>
      <c r="G5" s="226" t="s">
        <v>34</v>
      </c>
      <c r="H5" s="228" t="s">
        <v>35</v>
      </c>
      <c r="I5" s="228" t="s">
        <v>25</v>
      </c>
      <c r="J5" s="229" t="s">
        <v>26</v>
      </c>
      <c r="K5" s="230" t="s">
        <v>31</v>
      </c>
      <c r="L5" s="232"/>
      <c r="M5" s="224">
        <v>0</v>
      </c>
      <c r="N5" s="224">
        <v>0</v>
      </c>
      <c r="O5" s="231">
        <v>0</v>
      </c>
      <c r="P5" s="226"/>
      <c r="Q5" s="227"/>
      <c r="R5" s="235"/>
    </row>
    <row r="6" ht="23" customHeight="1" spans="1:18">
      <c r="A6" s="224">
        <v>4</v>
      </c>
      <c r="B6" s="233"/>
      <c r="C6" s="228"/>
      <c r="D6" s="224">
        <v>22220701</v>
      </c>
      <c r="E6" s="227" t="s">
        <v>36</v>
      </c>
      <c r="F6" s="228" t="s">
        <v>33</v>
      </c>
      <c r="G6" s="226"/>
      <c r="H6" s="228" t="s">
        <v>35</v>
      </c>
      <c r="I6" s="228" t="s">
        <v>25</v>
      </c>
      <c r="J6" s="229" t="s">
        <v>26</v>
      </c>
      <c r="K6" s="230" t="s">
        <v>31</v>
      </c>
      <c r="L6" s="232"/>
      <c r="M6" s="224">
        <v>0</v>
      </c>
      <c r="N6" s="224">
        <v>0</v>
      </c>
      <c r="O6" s="231">
        <v>0</v>
      </c>
      <c r="P6" s="226"/>
      <c r="Q6" s="227"/>
      <c r="R6" s="235"/>
    </row>
    <row r="7" ht="23" customHeight="1" spans="1:18">
      <c r="A7" s="224">
        <v>5</v>
      </c>
      <c r="B7" s="233"/>
      <c r="C7" s="226" t="s">
        <v>37</v>
      </c>
      <c r="D7" s="224">
        <v>22221201</v>
      </c>
      <c r="E7" s="227" t="s">
        <v>38</v>
      </c>
      <c r="F7" s="228" t="s">
        <v>39</v>
      </c>
      <c r="G7" s="226" t="s">
        <v>23</v>
      </c>
      <c r="H7" s="228" t="s">
        <v>35</v>
      </c>
      <c r="I7" s="228" t="s">
        <v>25</v>
      </c>
      <c r="J7" s="229" t="s">
        <v>26</v>
      </c>
      <c r="K7" s="230" t="s">
        <v>40</v>
      </c>
      <c r="L7" s="228"/>
      <c r="M7" s="224">
        <v>5</v>
      </c>
      <c r="N7" s="224">
        <v>4</v>
      </c>
      <c r="O7" s="231" t="str">
        <f t="shared" ref="O7:O13" si="1">N7-M7&amp;"("&amp;ROUND(((N7-M7)/M7*100),0)&amp;"%)"</f>
        <v>-1(-20%)</v>
      </c>
      <c r="P7" s="232"/>
      <c r="Q7" s="227"/>
      <c r="R7" s="235"/>
    </row>
    <row r="8" ht="23" customHeight="1" spans="1:18">
      <c r="A8" s="224">
        <v>6</v>
      </c>
      <c r="B8" s="233"/>
      <c r="C8" s="228"/>
      <c r="D8" s="224">
        <v>22250314</v>
      </c>
      <c r="E8" s="227" t="s">
        <v>41</v>
      </c>
      <c r="F8" s="228" t="s">
        <v>42</v>
      </c>
      <c r="G8" s="228" t="s">
        <v>29</v>
      </c>
      <c r="H8" s="228" t="s">
        <v>35</v>
      </c>
      <c r="I8" s="236" t="s">
        <v>43</v>
      </c>
      <c r="J8" s="237" t="s">
        <v>44</v>
      </c>
      <c r="K8" s="230" t="s">
        <v>45</v>
      </c>
      <c r="L8" s="228"/>
      <c r="M8" s="224">
        <v>10</v>
      </c>
      <c r="N8" s="224">
        <v>8</v>
      </c>
      <c r="O8" s="231" t="str">
        <f t="shared" si="1"/>
        <v>-2(-20%)</v>
      </c>
      <c r="P8" s="238" t="s">
        <v>46</v>
      </c>
      <c r="Q8" s="227"/>
      <c r="R8" s="235"/>
    </row>
    <row r="9" ht="23" customHeight="1" spans="1:18">
      <c r="A9" s="224">
        <v>7</v>
      </c>
      <c r="B9" s="233"/>
      <c r="C9" s="228"/>
      <c r="D9" s="239" t="s">
        <v>47</v>
      </c>
      <c r="E9" s="240" t="s">
        <v>48</v>
      </c>
      <c r="F9" s="235" t="s">
        <v>49</v>
      </c>
      <c r="G9" s="235" t="s">
        <v>29</v>
      </c>
      <c r="H9" s="235" t="s">
        <v>35</v>
      </c>
      <c r="I9" s="235" t="s">
        <v>25</v>
      </c>
      <c r="J9" s="237"/>
      <c r="K9" s="231" t="s">
        <v>45</v>
      </c>
      <c r="L9" s="235"/>
      <c r="M9" s="239">
        <v>5</v>
      </c>
      <c r="N9" s="239">
        <v>5</v>
      </c>
      <c r="O9" s="231" t="str">
        <f t="shared" si="1"/>
        <v>0(0%)</v>
      </c>
      <c r="P9" s="232"/>
      <c r="Q9" s="227"/>
      <c r="R9" s="235"/>
    </row>
    <row r="10" ht="23" customHeight="1" spans="1:18">
      <c r="A10" s="224">
        <v>8</v>
      </c>
      <c r="B10" s="233"/>
      <c r="C10" s="228"/>
      <c r="D10" s="239"/>
      <c r="E10" s="240" t="s">
        <v>50</v>
      </c>
      <c r="F10" s="235" t="s">
        <v>51</v>
      </c>
      <c r="G10" s="235" t="s">
        <v>52</v>
      </c>
      <c r="H10" s="235" t="s">
        <v>53</v>
      </c>
      <c r="I10" s="235" t="s">
        <v>25</v>
      </c>
      <c r="J10" s="237"/>
      <c r="K10" s="231" t="s">
        <v>40</v>
      </c>
      <c r="L10" s="235"/>
      <c r="M10" s="239">
        <v>9</v>
      </c>
      <c r="N10" s="239">
        <v>10.5</v>
      </c>
      <c r="O10" s="239" t="str">
        <f t="shared" si="1"/>
        <v>1.5(17%)</v>
      </c>
      <c r="P10" s="241"/>
      <c r="Q10" s="240"/>
      <c r="R10" s="241"/>
    </row>
    <row r="11" ht="23" customHeight="1" spans="1:18">
      <c r="A11" s="224">
        <v>9</v>
      </c>
      <c r="B11" s="233"/>
      <c r="C11" s="226" t="s">
        <v>54</v>
      </c>
      <c r="D11" s="239">
        <v>22240822</v>
      </c>
      <c r="E11" s="240" t="s">
        <v>55</v>
      </c>
      <c r="F11" s="235" t="s">
        <v>56</v>
      </c>
      <c r="G11" s="235" t="s">
        <v>29</v>
      </c>
      <c r="H11" s="235" t="s">
        <v>30</v>
      </c>
      <c r="I11" s="235" t="s">
        <v>25</v>
      </c>
      <c r="J11" s="237">
        <v>0.95</v>
      </c>
      <c r="K11" s="231" t="s">
        <v>31</v>
      </c>
      <c r="L11" s="235"/>
      <c r="M11" s="239">
        <v>15</v>
      </c>
      <c r="N11" s="239">
        <v>8.5</v>
      </c>
      <c r="O11" s="231" t="str">
        <f t="shared" si="1"/>
        <v>-6.5(-43%)</v>
      </c>
      <c r="P11" s="241"/>
      <c r="Q11" s="240"/>
      <c r="R11" s="235"/>
    </row>
    <row r="12" ht="23" customHeight="1" spans="1:18">
      <c r="A12" s="224">
        <v>10</v>
      </c>
      <c r="B12" s="233"/>
      <c r="C12" s="228"/>
      <c r="D12" s="239">
        <v>23251211</v>
      </c>
      <c r="E12" s="240" t="s">
        <v>57</v>
      </c>
      <c r="F12" s="235" t="s">
        <v>58</v>
      </c>
      <c r="G12" s="235" t="s">
        <v>29</v>
      </c>
      <c r="H12" s="235" t="s">
        <v>59</v>
      </c>
      <c r="I12" s="235" t="s">
        <v>25</v>
      </c>
      <c r="J12" s="237">
        <v>0.85</v>
      </c>
      <c r="K12" s="231" t="s">
        <v>60</v>
      </c>
      <c r="L12" s="235"/>
      <c r="M12" s="239">
        <v>22.5</v>
      </c>
      <c r="N12" s="239">
        <v>22.5</v>
      </c>
      <c r="O12" s="242" t="str">
        <f t="shared" si="1"/>
        <v>0(0%)</v>
      </c>
      <c r="P12" s="241"/>
      <c r="Q12" s="240"/>
      <c r="R12" s="235"/>
    </row>
    <row r="13" ht="23" customHeight="1" spans="1:18">
      <c r="A13" s="224">
        <v>11</v>
      </c>
      <c r="B13" s="233"/>
      <c r="C13" s="228"/>
      <c r="D13" s="224">
        <v>121018</v>
      </c>
      <c r="E13" s="227" t="s">
        <v>61</v>
      </c>
      <c r="F13" s="228" t="s">
        <v>62</v>
      </c>
      <c r="G13" s="228" t="s">
        <v>63</v>
      </c>
      <c r="H13" s="228" t="s">
        <v>53</v>
      </c>
      <c r="I13" s="228" t="s">
        <v>25</v>
      </c>
      <c r="J13" s="229"/>
      <c r="K13" s="230"/>
      <c r="L13" s="228"/>
      <c r="M13" s="224">
        <v>10</v>
      </c>
      <c r="N13" s="224">
        <v>8</v>
      </c>
      <c r="O13" s="242" t="str">
        <f t="shared" si="1"/>
        <v>-2(-20%)</v>
      </c>
      <c r="P13" s="226"/>
      <c r="Q13" s="227"/>
      <c r="R13" s="235"/>
    </row>
    <row r="14" ht="23" customHeight="1" spans="1:18">
      <c r="A14" s="224">
        <v>12</v>
      </c>
      <c r="B14" s="233"/>
      <c r="C14" s="226" t="s">
        <v>64</v>
      </c>
      <c r="D14" s="224">
        <v>222201001</v>
      </c>
      <c r="E14" s="227" t="s">
        <v>65</v>
      </c>
      <c r="F14" s="228" t="s">
        <v>66</v>
      </c>
      <c r="G14" s="226" t="s">
        <v>34</v>
      </c>
      <c r="H14" s="228" t="s">
        <v>24</v>
      </c>
      <c r="I14" s="228" t="s">
        <v>25</v>
      </c>
      <c r="J14" s="229" t="s">
        <v>26</v>
      </c>
      <c r="K14" s="230" t="s">
        <v>31</v>
      </c>
      <c r="L14" s="232"/>
      <c r="M14" s="224">
        <v>0.5</v>
      </c>
      <c r="N14" s="224">
        <v>1</v>
      </c>
      <c r="O14" s="242" t="str">
        <f>N14-M14&amp;"("&amp;ROUND(((N14-M14)/M14*100),0)&amp;"%)"</f>
        <v>0.5(100%)</v>
      </c>
      <c r="P14" s="226"/>
      <c r="Q14" s="227"/>
      <c r="R14" s="235"/>
    </row>
    <row r="15" ht="23" customHeight="1" spans="1:18">
      <c r="A15" s="224">
        <v>13</v>
      </c>
      <c r="B15" s="233"/>
      <c r="C15" s="228"/>
      <c r="D15" s="224">
        <v>22220905</v>
      </c>
      <c r="E15" s="227" t="s">
        <v>67</v>
      </c>
      <c r="F15" s="228" t="s">
        <v>66</v>
      </c>
      <c r="G15" s="226"/>
      <c r="H15" s="228" t="s">
        <v>24</v>
      </c>
      <c r="I15" s="228" t="s">
        <v>25</v>
      </c>
      <c r="J15" s="229" t="s">
        <v>26</v>
      </c>
      <c r="K15" s="230" t="s">
        <v>27</v>
      </c>
      <c r="L15" s="232"/>
      <c r="M15" s="224">
        <v>3</v>
      </c>
      <c r="N15" s="224">
        <v>2.3</v>
      </c>
      <c r="O15" s="242" t="str">
        <f>N15-M15&amp;"("&amp;ROUND(((N15-M15)/M15*100),0)&amp;"%)"</f>
        <v>-0.7(-23%)</v>
      </c>
      <c r="P15" s="232"/>
      <c r="Q15" s="227"/>
      <c r="R15" s="235"/>
    </row>
    <row r="16" ht="23" customHeight="1" spans="1:18">
      <c r="A16" s="224">
        <v>14</v>
      </c>
      <c r="B16" s="233"/>
      <c r="C16" s="228"/>
      <c r="D16" s="224">
        <v>21250326</v>
      </c>
      <c r="E16" s="227" t="s">
        <v>68</v>
      </c>
      <c r="F16" s="228" t="s">
        <v>66</v>
      </c>
      <c r="G16" s="226" t="s">
        <v>29</v>
      </c>
      <c r="H16" s="228" t="s">
        <v>35</v>
      </c>
      <c r="I16" s="228" t="s">
        <v>69</v>
      </c>
      <c r="J16" s="237">
        <v>0.8</v>
      </c>
      <c r="K16" s="230" t="s">
        <v>70</v>
      </c>
      <c r="L16" s="226"/>
      <c r="M16" s="224">
        <v>6</v>
      </c>
      <c r="N16" s="224">
        <v>14</v>
      </c>
      <c r="O16" s="231" t="str">
        <f t="shared" ref="O15:O23" si="2">N16-M16&amp;"("&amp;ROUND(((N16-M16)/M16*100),0)&amp;"%)"</f>
        <v>8(133%)</v>
      </c>
      <c r="P16" s="232"/>
      <c r="Q16" s="227"/>
      <c r="R16" s="235"/>
    </row>
    <row r="17" ht="23" customHeight="1" spans="1:18">
      <c r="A17" s="224">
        <v>15</v>
      </c>
      <c r="B17" s="233"/>
      <c r="C17" s="228"/>
      <c r="D17" s="224" t="s">
        <v>71</v>
      </c>
      <c r="E17" s="227" t="s">
        <v>72</v>
      </c>
      <c r="F17" s="228" t="s">
        <v>73</v>
      </c>
      <c r="G17" s="226" t="s">
        <v>29</v>
      </c>
      <c r="H17" s="228" t="s">
        <v>35</v>
      </c>
      <c r="I17" s="228" t="s">
        <v>25</v>
      </c>
      <c r="J17" s="237">
        <v>1</v>
      </c>
      <c r="K17" s="230" t="s">
        <v>70</v>
      </c>
      <c r="L17" s="226"/>
      <c r="M17" s="224">
        <v>0</v>
      </c>
      <c r="N17" s="224">
        <v>2.3</v>
      </c>
      <c r="O17" s="231">
        <v>2.3</v>
      </c>
      <c r="P17" s="232"/>
      <c r="Q17" s="227"/>
      <c r="R17" s="243"/>
    </row>
    <row r="18" ht="23" customHeight="1" spans="1:18">
      <c r="A18" s="224">
        <v>16</v>
      </c>
      <c r="B18" s="233"/>
      <c r="C18" s="226" t="s">
        <v>74</v>
      </c>
      <c r="D18" s="224" t="s">
        <v>75</v>
      </c>
      <c r="E18" s="227" t="s">
        <v>76</v>
      </c>
      <c r="F18" s="228" t="s">
        <v>77</v>
      </c>
      <c r="G18" s="228" t="s">
        <v>29</v>
      </c>
      <c r="H18" s="228" t="s">
        <v>53</v>
      </c>
      <c r="I18" s="228" t="s">
        <v>25</v>
      </c>
      <c r="J18" s="229"/>
      <c r="K18" s="230"/>
      <c r="L18" s="228"/>
      <c r="M18" s="224">
        <v>4</v>
      </c>
      <c r="N18" s="224">
        <v>5.5</v>
      </c>
      <c r="O18" s="242" t="str">
        <f>N18-M18&amp;"("&amp;ROUND(((N18-M18)/M18*100),0)&amp;"%)"</f>
        <v>1.5(38%)</v>
      </c>
      <c r="P18" s="232"/>
      <c r="Q18" s="227"/>
      <c r="R18" s="228"/>
    </row>
    <row r="19" ht="23" customHeight="1" spans="1:18">
      <c r="A19" s="224">
        <v>17</v>
      </c>
      <c r="B19" s="233"/>
      <c r="C19" s="228"/>
      <c r="D19" s="239"/>
      <c r="E19" s="227" t="s">
        <v>78</v>
      </c>
      <c r="F19" s="228" t="s">
        <v>77</v>
      </c>
      <c r="G19" s="228" t="s">
        <v>29</v>
      </c>
      <c r="H19" s="228"/>
      <c r="I19" s="228"/>
      <c r="J19" s="229"/>
      <c r="K19" s="230"/>
      <c r="L19" s="228"/>
      <c r="M19" s="224">
        <v>9</v>
      </c>
      <c r="N19" s="224">
        <v>6.5</v>
      </c>
      <c r="O19" s="242" t="str">
        <f t="shared" si="2"/>
        <v>-2.5(-28%)</v>
      </c>
      <c r="P19" s="232"/>
      <c r="Q19" s="227"/>
      <c r="R19" s="241"/>
    </row>
    <row r="20" ht="23" customHeight="1" spans="1:18">
      <c r="A20" s="224">
        <v>18</v>
      </c>
      <c r="B20" s="233"/>
      <c r="C20" s="226" t="s">
        <v>79</v>
      </c>
      <c r="D20" s="224" t="s">
        <v>80</v>
      </c>
      <c r="E20" s="227" t="s">
        <v>81</v>
      </c>
      <c r="F20" s="228" t="s">
        <v>82</v>
      </c>
      <c r="G20" s="228" t="s">
        <v>29</v>
      </c>
      <c r="H20" s="228"/>
      <c r="I20" s="228"/>
      <c r="J20" s="229"/>
      <c r="K20" s="230"/>
      <c r="L20" s="228"/>
      <c r="M20" s="224">
        <v>19</v>
      </c>
      <c r="N20" s="224">
        <v>21</v>
      </c>
      <c r="O20" s="242" t="str">
        <f t="shared" si="2"/>
        <v>2(11%)</v>
      </c>
      <c r="P20" s="241"/>
      <c r="Q20" s="240"/>
      <c r="R20" s="235"/>
    </row>
    <row r="21" ht="23" customHeight="1" spans="1:18">
      <c r="A21" s="224">
        <v>19</v>
      </c>
      <c r="B21" s="233"/>
      <c r="C21" s="228"/>
      <c r="D21" s="224"/>
      <c r="E21" s="227" t="s">
        <v>83</v>
      </c>
      <c r="F21" s="228" t="s">
        <v>42</v>
      </c>
      <c r="G21" s="228" t="s">
        <v>29</v>
      </c>
      <c r="H21" s="228"/>
      <c r="I21" s="228"/>
      <c r="J21" s="229"/>
      <c r="K21" s="230"/>
      <c r="L21" s="228"/>
      <c r="M21" s="224">
        <v>17</v>
      </c>
      <c r="N21" s="224">
        <v>20</v>
      </c>
      <c r="O21" s="231" t="str">
        <f t="shared" si="2"/>
        <v>3(18%)</v>
      </c>
      <c r="P21" s="241"/>
      <c r="Q21" s="240"/>
      <c r="R21" s="235"/>
    </row>
    <row r="22" ht="23" customHeight="1" spans="1:18">
      <c r="A22" s="224">
        <v>20</v>
      </c>
      <c r="B22" s="233"/>
      <c r="C22" s="228"/>
      <c r="D22" s="224"/>
      <c r="E22" s="227" t="s">
        <v>84</v>
      </c>
      <c r="F22" s="228" t="s">
        <v>51</v>
      </c>
      <c r="G22" s="228" t="s">
        <v>29</v>
      </c>
      <c r="H22" s="228"/>
      <c r="I22" s="228"/>
      <c r="J22" s="229"/>
      <c r="K22" s="230"/>
      <c r="L22" s="226"/>
      <c r="M22" s="224">
        <v>14.5</v>
      </c>
      <c r="N22" s="224">
        <v>17.5</v>
      </c>
      <c r="O22" s="231" t="str">
        <f t="shared" si="2"/>
        <v>3(21%)</v>
      </c>
      <c r="P22" s="232"/>
      <c r="Q22" s="227"/>
      <c r="R22" s="235"/>
    </row>
    <row r="23" ht="23" customHeight="1" spans="1:18">
      <c r="A23" s="224">
        <v>21</v>
      </c>
      <c r="B23" s="233"/>
      <c r="C23" s="228"/>
      <c r="D23" s="224"/>
      <c r="E23" s="227" t="s">
        <v>85</v>
      </c>
      <c r="F23" s="228" t="s">
        <v>58</v>
      </c>
      <c r="G23" s="228" t="s">
        <v>29</v>
      </c>
      <c r="H23" s="228"/>
      <c r="I23" s="228"/>
      <c r="J23" s="229"/>
      <c r="K23" s="230"/>
      <c r="L23" s="226"/>
      <c r="M23" s="224">
        <v>19.5</v>
      </c>
      <c r="N23" s="224">
        <v>15</v>
      </c>
      <c r="O23" s="231" t="str">
        <f t="shared" si="2"/>
        <v>-4.5(-23%)</v>
      </c>
      <c r="P23" s="232"/>
      <c r="Q23" s="227"/>
      <c r="R23" s="235"/>
    </row>
    <row r="24" ht="38.25" customHeight="1" spans="1:18">
      <c r="A24" s="244"/>
      <c r="B24" s="245"/>
      <c r="C24" s="246"/>
      <c r="D24" s="246"/>
      <c r="E24" s="246"/>
      <c r="F24" s="246"/>
      <c r="G24" s="246"/>
      <c r="H24" s="247" t="s">
        <v>86</v>
      </c>
      <c r="I24" s="247"/>
      <c r="J24" s="248">
        <v>201</v>
      </c>
      <c r="K24" s="248"/>
      <c r="L24" s="247" t="s">
        <v>87</v>
      </c>
      <c r="M24" s="248"/>
      <c r="N24" s="248">
        <v>195.45</v>
      </c>
      <c r="O24" s="248"/>
      <c r="P24" s="249" t="s">
        <v>88</v>
      </c>
      <c r="Q24" s="250">
        <f>N24/34/5</f>
        <v>1.14970588235294</v>
      </c>
      <c r="R24" s="251"/>
    </row>
    <row r="25" ht="29" customHeight="1" spans="1:18">
      <c r="A25" s="252">
        <v>22</v>
      </c>
      <c r="B25" s="253" t="s">
        <v>89</v>
      </c>
      <c r="C25" s="253" t="s">
        <v>90</v>
      </c>
      <c r="D25" s="254" t="s">
        <v>91</v>
      </c>
      <c r="E25" s="255" t="s">
        <v>92</v>
      </c>
      <c r="F25" s="256" t="s">
        <v>93</v>
      </c>
      <c r="G25" s="256" t="s">
        <v>29</v>
      </c>
      <c r="H25" s="256" t="s">
        <v>94</v>
      </c>
      <c r="I25" s="256" t="s">
        <v>25</v>
      </c>
      <c r="J25" s="257">
        <v>0.1</v>
      </c>
      <c r="K25" s="258" t="s">
        <v>40</v>
      </c>
      <c r="L25" s="256"/>
      <c r="M25" s="254">
        <v>1</v>
      </c>
      <c r="N25" s="254">
        <v>4</v>
      </c>
      <c r="O25" s="231" t="str">
        <f>N25-M25&amp;"("&amp;ROUND(((N25-M25)/M25*100),0)&amp;"%)"</f>
        <v>3(300%)</v>
      </c>
      <c r="P25" s="259"/>
      <c r="Q25" s="255"/>
      <c r="R25" s="256"/>
    </row>
    <row r="26" ht="25" customHeight="1" spans="1:18">
      <c r="A26" s="224">
        <v>23</v>
      </c>
      <c r="B26" s="253"/>
      <c r="C26" s="253"/>
      <c r="D26" s="224" t="s">
        <v>95</v>
      </c>
      <c r="E26" s="227" t="s">
        <v>96</v>
      </c>
      <c r="F26" s="228" t="s">
        <v>97</v>
      </c>
      <c r="G26" s="228" t="s">
        <v>98</v>
      </c>
      <c r="H26" s="228" t="s">
        <v>35</v>
      </c>
      <c r="I26" s="228" t="s">
        <v>25</v>
      </c>
      <c r="J26" s="229" t="s">
        <v>99</v>
      </c>
      <c r="K26" s="230" t="s">
        <v>70</v>
      </c>
      <c r="L26" s="226"/>
      <c r="M26" s="224">
        <v>8</v>
      </c>
      <c r="N26" s="224">
        <v>13.4</v>
      </c>
      <c r="O26" s="231" t="str">
        <f>N26-M26&amp;"("&amp;ROUND(((N26-M26)/M26*100),0)&amp;"%)"</f>
        <v>5.4(68%)</v>
      </c>
      <c r="P26" s="232"/>
      <c r="Q26" s="227"/>
      <c r="R26" s="235"/>
    </row>
    <row r="27" ht="25" customHeight="1" spans="1:18">
      <c r="A27" s="260"/>
      <c r="B27" s="253"/>
      <c r="C27" s="253"/>
      <c r="D27" s="260"/>
      <c r="E27" s="261" t="s">
        <v>100</v>
      </c>
      <c r="F27" s="262" t="s">
        <v>93</v>
      </c>
      <c r="G27" s="228" t="s">
        <v>98</v>
      </c>
      <c r="H27" s="262"/>
      <c r="I27" s="262"/>
      <c r="J27" s="263"/>
      <c r="K27" s="264"/>
      <c r="L27" s="225"/>
      <c r="M27" s="260">
        <v>3.4</v>
      </c>
      <c r="N27" s="260">
        <v>17.5</v>
      </c>
      <c r="O27" s="231" t="str">
        <f>N27-M27&amp;"("&amp;ROUND(((N27-M27)/M27*100),0)&amp;"%)"</f>
        <v>14.1(415%)</v>
      </c>
      <c r="P27" s="265"/>
      <c r="Q27" s="261"/>
      <c r="R27" s="266"/>
    </row>
    <row r="28" ht="41" customHeight="1" spans="1:18">
      <c r="A28" s="244"/>
      <c r="B28" s="267"/>
      <c r="C28" s="246"/>
      <c r="D28" s="246"/>
      <c r="E28" s="246"/>
      <c r="F28" s="246"/>
      <c r="G28" s="246"/>
      <c r="H28" s="247" t="s">
        <v>86</v>
      </c>
      <c r="I28" s="247"/>
      <c r="J28" s="248">
        <v>12.4</v>
      </c>
      <c r="K28" s="248"/>
      <c r="L28" s="247" t="s">
        <v>87</v>
      </c>
      <c r="M28" s="248"/>
      <c r="N28" s="248">
        <v>34.9</v>
      </c>
      <c r="O28" s="248"/>
      <c r="P28" s="249" t="s">
        <v>88</v>
      </c>
      <c r="Q28" s="250">
        <f>N28/10/5</f>
        <v>0.698</v>
      </c>
      <c r="R28" s="251"/>
    </row>
    <row r="29" ht="23" customHeight="1" spans="1:18">
      <c r="A29" s="252">
        <v>24</v>
      </c>
      <c r="B29" s="253" t="s">
        <v>101</v>
      </c>
      <c r="C29" s="268" t="s">
        <v>90</v>
      </c>
      <c r="D29" s="254" t="s">
        <v>102</v>
      </c>
      <c r="E29" s="269" t="s">
        <v>103</v>
      </c>
      <c r="F29" s="256" t="s">
        <v>104</v>
      </c>
      <c r="G29" s="270" t="s">
        <v>29</v>
      </c>
      <c r="H29" s="256" t="s">
        <v>35</v>
      </c>
      <c r="I29" s="256" t="s">
        <v>25</v>
      </c>
      <c r="J29" s="257">
        <v>0.8</v>
      </c>
      <c r="K29" s="258" t="s">
        <v>31</v>
      </c>
      <c r="L29" s="256"/>
      <c r="M29" s="254">
        <v>32.55</v>
      </c>
      <c r="N29" s="254">
        <v>27.35</v>
      </c>
      <c r="O29" s="258" t="str">
        <f>ROUND(N29-M29,2)&amp;"("&amp;ROUND(((N29-M29)/M29)*100,0)&amp;"%)"</f>
        <v>-5.2(-16%)</v>
      </c>
      <c r="P29" s="271"/>
      <c r="Q29" s="255"/>
      <c r="R29" s="256"/>
    </row>
    <row r="30" ht="23" customHeight="1" spans="1:18">
      <c r="A30" s="252">
        <v>25</v>
      </c>
      <c r="B30" s="253"/>
      <c r="C30" s="226"/>
      <c r="D30" s="224">
        <v>21250418</v>
      </c>
      <c r="E30" s="240" t="s">
        <v>105</v>
      </c>
      <c r="F30" s="228" t="s">
        <v>106</v>
      </c>
      <c r="G30" s="228" t="s">
        <v>29</v>
      </c>
      <c r="H30" s="228" t="s">
        <v>107</v>
      </c>
      <c r="I30" s="228" t="s">
        <v>25</v>
      </c>
      <c r="J30" s="229" t="s">
        <v>26</v>
      </c>
      <c r="K30" s="224" t="s">
        <v>70</v>
      </c>
      <c r="L30" s="235"/>
      <c r="M30" s="239">
        <v>0</v>
      </c>
      <c r="N30" s="239">
        <v>0.5</v>
      </c>
      <c r="O30" s="258">
        <v>0.5</v>
      </c>
      <c r="P30" s="272"/>
      <c r="Q30" s="240"/>
      <c r="R30" s="241"/>
    </row>
    <row r="31" ht="23" customHeight="1" spans="1:18">
      <c r="A31" s="252">
        <v>26</v>
      </c>
      <c r="B31" s="253"/>
      <c r="C31" s="226"/>
      <c r="D31" s="239" t="s">
        <v>108</v>
      </c>
      <c r="E31" s="227" t="s">
        <v>109</v>
      </c>
      <c r="F31" s="235" t="s">
        <v>106</v>
      </c>
      <c r="G31" s="241" t="s">
        <v>29</v>
      </c>
      <c r="H31" s="235" t="s">
        <v>35</v>
      </c>
      <c r="I31" s="235" t="s">
        <v>25</v>
      </c>
      <c r="J31" s="237">
        <v>0.8</v>
      </c>
      <c r="K31" s="231" t="s">
        <v>31</v>
      </c>
      <c r="L31" s="235"/>
      <c r="M31" s="239">
        <v>7</v>
      </c>
      <c r="N31" s="239">
        <v>7.65</v>
      </c>
      <c r="O31" s="258" t="str">
        <f t="shared" ref="O30:O38" si="3">ROUND(N31-M31,2)&amp;"("&amp;ROUND(((N31-M31)/M31)*100,0)&amp;"%)"</f>
        <v>0.65(9%)</v>
      </c>
      <c r="P31" s="272"/>
      <c r="Q31" s="240"/>
      <c r="R31" s="241"/>
    </row>
    <row r="32" ht="23" customHeight="1" spans="1:18">
      <c r="A32" s="252">
        <v>27</v>
      </c>
      <c r="B32" s="253"/>
      <c r="C32" s="226"/>
      <c r="D32" s="239" t="s">
        <v>110</v>
      </c>
      <c r="E32" s="240" t="s">
        <v>111</v>
      </c>
      <c r="F32" s="235" t="s">
        <v>106</v>
      </c>
      <c r="G32" s="241" t="s">
        <v>29</v>
      </c>
      <c r="H32" s="235" t="s">
        <v>112</v>
      </c>
      <c r="I32" s="235" t="s">
        <v>25</v>
      </c>
      <c r="J32" s="237">
        <v>0.05</v>
      </c>
      <c r="K32" s="231"/>
      <c r="L32" s="235"/>
      <c r="M32" s="239">
        <v>21.8</v>
      </c>
      <c r="N32" s="239">
        <v>18.5</v>
      </c>
      <c r="O32" s="258" t="str">
        <f t="shared" si="3"/>
        <v>-3.3(-15%)</v>
      </c>
      <c r="P32" s="272"/>
      <c r="Q32" s="240"/>
      <c r="R32" s="241"/>
    </row>
    <row r="33" ht="23" customHeight="1" spans="1:18">
      <c r="A33" s="252">
        <v>28</v>
      </c>
      <c r="B33" s="253"/>
      <c r="C33" s="226"/>
      <c r="D33" s="224" t="s">
        <v>113</v>
      </c>
      <c r="E33" s="227" t="s">
        <v>114</v>
      </c>
      <c r="F33" s="228" t="s">
        <v>97</v>
      </c>
      <c r="G33" s="228" t="s">
        <v>29</v>
      </c>
      <c r="H33" s="228" t="s">
        <v>35</v>
      </c>
      <c r="I33" s="235" t="s">
        <v>25</v>
      </c>
      <c r="J33" s="237">
        <v>0.3</v>
      </c>
      <c r="K33" s="224" t="s">
        <v>70</v>
      </c>
      <c r="L33" s="227"/>
      <c r="M33" s="224">
        <v>0</v>
      </c>
      <c r="N33" s="224"/>
      <c r="O33" s="258" t="e">
        <f t="shared" si="3"/>
        <v>#DIV/0!</v>
      </c>
      <c r="P33" s="227"/>
      <c r="Q33" s="240"/>
      <c r="R33" s="241"/>
    </row>
    <row r="34" ht="23" customHeight="1" spans="1:18">
      <c r="A34" s="252">
        <v>29</v>
      </c>
      <c r="B34" s="253"/>
      <c r="C34" s="226"/>
      <c r="D34" s="224" t="s">
        <v>115</v>
      </c>
      <c r="E34" s="227" t="s">
        <v>116</v>
      </c>
      <c r="F34" s="228" t="s">
        <v>106</v>
      </c>
      <c r="G34" s="228" t="s">
        <v>29</v>
      </c>
      <c r="H34" s="228" t="s">
        <v>35</v>
      </c>
      <c r="I34" s="228" t="s">
        <v>25</v>
      </c>
      <c r="J34" s="229" t="s">
        <v>99</v>
      </c>
      <c r="K34" s="230" t="s">
        <v>70</v>
      </c>
      <c r="L34" s="226"/>
      <c r="M34" s="224">
        <v>0.5</v>
      </c>
      <c r="N34" s="224">
        <v>0</v>
      </c>
      <c r="O34" s="258" t="str">
        <f>ROUND(N34-M34,2)&amp;"("&amp;ROUND(((N34-M34)/M34)*100,0)&amp;"%)"</f>
        <v>-0.5(-100%)</v>
      </c>
      <c r="P34" s="232"/>
      <c r="Q34" s="227"/>
      <c r="R34" s="241"/>
    </row>
    <row r="35" ht="23" customHeight="1" spans="1:18">
      <c r="A35" s="252">
        <v>30</v>
      </c>
      <c r="B35" s="253"/>
      <c r="C35" s="226"/>
      <c r="D35" s="224">
        <v>21250417</v>
      </c>
      <c r="E35" s="227" t="s">
        <v>117</v>
      </c>
      <c r="F35" s="228" t="s">
        <v>97</v>
      </c>
      <c r="G35" s="228" t="s">
        <v>29</v>
      </c>
      <c r="H35" s="228" t="s">
        <v>107</v>
      </c>
      <c r="I35" s="228" t="s">
        <v>25</v>
      </c>
      <c r="J35" s="229" t="s">
        <v>26</v>
      </c>
      <c r="K35" s="224" t="s">
        <v>70</v>
      </c>
      <c r="L35" s="227"/>
      <c r="M35" s="224">
        <v>0</v>
      </c>
      <c r="N35" s="224"/>
      <c r="O35" s="258" t="e">
        <f t="shared" si="3"/>
        <v>#DIV/0!</v>
      </c>
      <c r="P35" s="227"/>
      <c r="Q35" s="227"/>
      <c r="R35" s="241"/>
    </row>
    <row r="36" ht="23" customHeight="1" spans="1:18">
      <c r="A36" s="252">
        <v>31</v>
      </c>
      <c r="B36" s="253"/>
      <c r="C36" s="226"/>
      <c r="D36" s="224"/>
      <c r="E36" s="240" t="s">
        <v>118</v>
      </c>
      <c r="F36" s="235"/>
      <c r="G36" s="241" t="s">
        <v>52</v>
      </c>
      <c r="H36" s="235" t="s">
        <v>53</v>
      </c>
      <c r="I36" s="228"/>
      <c r="J36" s="229"/>
      <c r="K36" s="230"/>
      <c r="L36" s="226"/>
      <c r="M36" s="224">
        <v>0</v>
      </c>
      <c r="N36" s="224"/>
      <c r="O36" s="258" t="e">
        <f t="shared" si="3"/>
        <v>#DIV/0!</v>
      </c>
      <c r="P36" s="232"/>
      <c r="Q36" s="227"/>
      <c r="R36" s="241"/>
    </row>
    <row r="37" ht="23" customHeight="1" spans="1:18">
      <c r="A37" s="252">
        <v>32</v>
      </c>
      <c r="B37" s="253"/>
      <c r="C37" s="226"/>
      <c r="D37" s="224"/>
      <c r="E37" s="273" t="s">
        <v>119</v>
      </c>
      <c r="F37" s="228"/>
      <c r="G37" s="228" t="s">
        <v>120</v>
      </c>
      <c r="H37" s="228" t="s">
        <v>121</v>
      </c>
      <c r="I37" s="228"/>
      <c r="J37" s="229"/>
      <c r="K37" s="230"/>
      <c r="L37" s="226"/>
      <c r="M37" s="224">
        <v>0</v>
      </c>
      <c r="N37" s="224"/>
      <c r="O37" s="258" t="e">
        <f t="shared" si="3"/>
        <v>#DIV/0!</v>
      </c>
      <c r="P37" s="232"/>
      <c r="Q37" s="227"/>
      <c r="R37" s="241"/>
    </row>
    <row r="38" ht="23" customHeight="1" spans="1:18">
      <c r="A38" s="252">
        <v>33</v>
      </c>
      <c r="B38" s="253"/>
      <c r="C38" s="274" t="s">
        <v>80</v>
      </c>
      <c r="D38" s="275"/>
      <c r="E38" s="227" t="s">
        <v>122</v>
      </c>
      <c r="F38" s="228" t="s">
        <v>123</v>
      </c>
      <c r="G38" s="228" t="s">
        <v>29</v>
      </c>
      <c r="H38" s="235"/>
      <c r="I38" s="235"/>
      <c r="J38" s="237"/>
      <c r="K38" s="231"/>
      <c r="L38" s="235"/>
      <c r="M38" s="239">
        <v>0</v>
      </c>
      <c r="N38" s="239"/>
      <c r="O38" s="258" t="e">
        <f t="shared" si="3"/>
        <v>#DIV/0!</v>
      </c>
      <c r="P38" s="272"/>
      <c r="Q38" s="240"/>
      <c r="R38" s="241"/>
    </row>
    <row r="39" ht="47" customHeight="1" spans="1:18">
      <c r="A39" s="244"/>
      <c r="B39" s="267"/>
      <c r="C39" s="246"/>
      <c r="D39" s="246"/>
      <c r="E39" s="246"/>
      <c r="F39" s="246"/>
      <c r="G39" s="246"/>
      <c r="H39" s="247" t="s">
        <v>86</v>
      </c>
      <c r="I39" s="247"/>
      <c r="J39" s="248">
        <v>61.85</v>
      </c>
      <c r="K39" s="248"/>
      <c r="L39" s="247" t="s">
        <v>87</v>
      </c>
      <c r="M39" s="248"/>
      <c r="N39" s="248">
        <v>54</v>
      </c>
      <c r="O39" s="248"/>
      <c r="P39" s="249" t="s">
        <v>88</v>
      </c>
      <c r="Q39" s="250">
        <f>N39/7/5</f>
        <v>1.54285714285714</v>
      </c>
      <c r="R39" s="251"/>
    </row>
    <row r="40" ht="28" customHeight="1" spans="1:18">
      <c r="A40" s="252">
        <v>34</v>
      </c>
      <c r="B40" s="253" t="s">
        <v>124</v>
      </c>
      <c r="C40" s="276" t="s">
        <v>90</v>
      </c>
      <c r="D40" s="252">
        <v>22210906</v>
      </c>
      <c r="E40" s="269" t="s">
        <v>125</v>
      </c>
      <c r="F40" s="276" t="s">
        <v>56</v>
      </c>
      <c r="G40" s="276" t="s">
        <v>23</v>
      </c>
      <c r="H40" s="276" t="s">
        <v>35</v>
      </c>
      <c r="I40" s="276" t="s">
        <v>25</v>
      </c>
      <c r="J40" s="277" t="s">
        <v>23</v>
      </c>
      <c r="K40" s="252"/>
      <c r="L40" s="276"/>
      <c r="M40" s="252">
        <v>27</v>
      </c>
      <c r="N40" s="252">
        <v>25</v>
      </c>
      <c r="O40" s="278" t="str">
        <f>N40-M40&amp;"("&amp;ROUND(((N40-M40)/M40*100),0)&amp;"%)"</f>
        <v>-2(-7%)</v>
      </c>
      <c r="P40" s="279"/>
      <c r="Q40" s="269"/>
      <c r="R40" s="268"/>
    </row>
    <row r="41" ht="40" customHeight="1" spans="1:18">
      <c r="A41" s="244"/>
      <c r="B41" s="245"/>
      <c r="C41" s="246"/>
      <c r="D41" s="246"/>
      <c r="E41" s="246"/>
      <c r="F41" s="246"/>
      <c r="G41" s="246"/>
      <c r="H41" s="247" t="s">
        <v>86</v>
      </c>
      <c r="I41" s="247"/>
      <c r="J41" s="248">
        <v>27</v>
      </c>
      <c r="K41" s="248"/>
      <c r="L41" s="247" t="s">
        <v>87</v>
      </c>
      <c r="M41" s="248"/>
      <c r="N41" s="248">
        <v>25</v>
      </c>
      <c r="O41" s="248"/>
      <c r="P41" s="249" t="s">
        <v>88</v>
      </c>
      <c r="Q41" s="250">
        <f>N41/22/5</f>
        <v>0.227272727272727</v>
      </c>
      <c r="R41" s="251"/>
    </row>
    <row r="42" ht="43.2" customHeight="1" spans="1:18">
      <c r="A42" s="280"/>
      <c r="B42" s="281"/>
      <c r="C42" s="281"/>
      <c r="D42" s="280"/>
      <c r="E42" s="282"/>
      <c r="F42" s="281"/>
    </row>
    <row r="43" ht="43.2" customHeight="1" spans="1:18">
      <c r="A43" s="280"/>
      <c r="B43" s="281"/>
      <c r="C43" s="281"/>
      <c r="D43" s="280"/>
      <c r="E43" s="282"/>
      <c r="F43" s="281"/>
    </row>
    <row r="44" ht="15.6" spans="1:18">
      <c r="A44" s="283"/>
      <c r="B44" s="282"/>
      <c r="C44" s="282"/>
      <c r="D44" s="283"/>
      <c r="E44" s="282"/>
      <c r="F44" s="282"/>
    </row>
    <row r="45" ht="15.6" customHeight="1" spans="1:18">
      <c r="A45" s="283"/>
      <c r="B45" s="282"/>
      <c r="C45" s="282"/>
      <c r="D45" s="283"/>
      <c r="E45" s="282"/>
      <c r="F45" s="282"/>
    </row>
    <row r="46" ht="15.6" spans="1:18">
      <c r="A46" s="283"/>
      <c r="B46" s="282"/>
      <c r="C46" s="282"/>
      <c r="D46" s="283"/>
      <c r="E46" s="282"/>
      <c r="F46" s="282"/>
    </row>
    <row r="47" ht="15.6" spans="1:18">
      <c r="A47" s="283"/>
      <c r="B47" s="282"/>
      <c r="C47" s="282"/>
      <c r="D47" s="283"/>
      <c r="E47" s="282"/>
      <c r="F47" s="282"/>
    </row>
    <row r="48" ht="15.6" spans="1:18">
      <c r="A48" s="283"/>
      <c r="B48" s="282"/>
      <c r="C48" s="282"/>
      <c r="D48" s="283"/>
      <c r="E48" s="282"/>
      <c r="F48" s="282"/>
    </row>
    <row r="49" ht="15.6" spans="1:6">
      <c r="A49" s="283"/>
      <c r="B49" s="282"/>
      <c r="C49" s="282"/>
      <c r="D49" s="283"/>
      <c r="E49" s="282"/>
      <c r="F49" s="282"/>
    </row>
    <row r="50" spans="1:6">
      <c r="A50" s="26"/>
      <c r="B50" s="284"/>
      <c r="C50" s="284"/>
      <c r="D50" s="26"/>
      <c r="E50" s="284"/>
      <c r="F50" s="284"/>
    </row>
    <row r="51" spans="1:6">
      <c r="A51" s="26"/>
      <c r="B51" s="284"/>
      <c r="C51" s="284"/>
      <c r="D51" s="26"/>
      <c r="E51" s="284"/>
      <c r="F51" s="284"/>
    </row>
  </sheetData>
  <mergeCells count="29">
    <mergeCell ref="A1:R1"/>
    <mergeCell ref="C24:G24"/>
    <mergeCell ref="H24:I24"/>
    <mergeCell ref="J24:K24"/>
    <mergeCell ref="C28:G28"/>
    <mergeCell ref="H28:I28"/>
    <mergeCell ref="J28:K28"/>
    <mergeCell ref="C38:D38"/>
    <mergeCell ref="C39:G39"/>
    <mergeCell ref="H39:I39"/>
    <mergeCell ref="J39:K39"/>
    <mergeCell ref="C41:G41"/>
    <mergeCell ref="H41:I41"/>
    <mergeCell ref="J41:K41"/>
    <mergeCell ref="B3:B24"/>
    <mergeCell ref="B25:B28"/>
    <mergeCell ref="B29:B39"/>
    <mergeCell ref="B40:B41"/>
    <mergeCell ref="C3:C6"/>
    <mergeCell ref="C7:C10"/>
    <mergeCell ref="C11:C13"/>
    <mergeCell ref="C14:C17"/>
    <mergeCell ref="C18:C19"/>
    <mergeCell ref="C20:C23"/>
    <mergeCell ref="C25:C26"/>
    <mergeCell ref="C29:C37"/>
    <mergeCell ref="D20:D23"/>
    <mergeCell ref="G5:G6"/>
    <mergeCell ref="G14:G15"/>
  </mergeCells>
  <dataValidations count="7">
    <dataValidation type="list" allowBlank="1" showInputMessage="1" showErrorMessage="1" sqref="H9 H21 H25 H30 H33 H35 H38">
      <formula1>"售前,立项,需求,设计,开发,发布,实施,验收"</formula1>
    </dataValidation>
    <dataValidation type="list" allowBlank="1" showInputMessage="1" showErrorMessage="1" sqref="H20 H34 H3:H6 H14:H17 H26:H27">
      <formula1>"售前,立项,需求,开发,发布,实施,验收,上线运行"</formula1>
    </dataValidation>
    <dataValidation type="list" allowBlank="1" showInputMessage="1" showErrorMessage="1" sqref="H29 H36 H31:H32">
      <formula1>"售前,立项,需求,开发,发布,实施,验收,上线运行,维护"</formula1>
    </dataValidation>
    <dataValidation type="list" allowBlank="1" showInputMessage="1" showErrorMessage="1" sqref="I33">
      <formula1>"长期项目,正常,提前,延迟,严重延迟,暂停"</formula1>
    </dataValidation>
    <dataValidation type="list" allowBlank="1" showInputMessage="1" showErrorMessage="1" sqref="H37">
      <formula1>"售前,立项,需求,设计,开发,发布,实施,验收,挂起,暂停"</formula1>
    </dataValidation>
    <dataValidation type="list" allowBlank="1" showInputMessage="1" showErrorMessage="1" sqref="H40 H7:H8 H10:H13 H18:H19 H22:H23">
      <formula1>"售前,立项,需求,开发,发布,实施,验收"</formula1>
    </dataValidation>
    <dataValidation type="list" allowBlank="1" showInputMessage="1" showErrorMessage="1" sqref="I40 I3:I23 I25:I27 I29:I32 I34:I38">
      <formula1>"长期项目,正常,提前,延迟,严重延迟"</formula1>
    </dataValidation>
  </dataValidations>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53"/>
  <sheetViews>
    <sheetView workbookViewId="0">
      <pane ySplit="1" topLeftCell="A12" activePane="bottomLeft" state="frozen"/>
      <selection/>
      <selection pane="bottomLeft" activeCell="F41" sqref="F41:F43"/>
    </sheetView>
  </sheetViews>
  <sheetFormatPr defaultColWidth="9.11111111111111" defaultRowHeight="13.2"/>
  <cols>
    <col min="1" max="1" width="22.4444444444444" style="1" customWidth="1"/>
    <col min="2" max="2" width="11.6666666666667" style="1" customWidth="1"/>
    <col min="3" max="5" width="9.11111111111111" style="1"/>
    <col min="6" max="6" width="19.5555555555556" style="1" customWidth="1"/>
    <col min="7" max="7" width="9.11111111111111" style="1"/>
    <col min="8" max="8" width="59.6666666666667" style="1" customWidth="1"/>
    <col min="9" max="11" width="9.11111111111111" style="1"/>
    <col min="12" max="12" width="19.5555555555556" style="2" customWidth="1"/>
    <col min="13" max="16384" width="9.11111111111111" style="1"/>
  </cols>
  <sheetData>
    <row r="1" ht="69.6" spans="1:26">
      <c r="A1" s="3" t="s">
        <v>126</v>
      </c>
      <c r="B1" s="4" t="s">
        <v>6</v>
      </c>
      <c r="C1" s="3" t="s">
        <v>127</v>
      </c>
      <c r="D1" s="3" t="s">
        <v>128</v>
      </c>
      <c r="E1" s="4" t="s">
        <v>129</v>
      </c>
      <c r="F1" s="3" t="s">
        <v>130</v>
      </c>
      <c r="G1" s="3" t="s">
        <v>1</v>
      </c>
      <c r="H1" s="5" t="s">
        <v>131</v>
      </c>
      <c r="I1" s="3" t="s">
        <v>132</v>
      </c>
      <c r="J1" s="6" t="s">
        <v>133</v>
      </c>
      <c r="K1" s="3" t="s">
        <v>134</v>
      </c>
      <c r="L1" s="7" t="s">
        <v>135</v>
      </c>
      <c r="M1" s="8"/>
      <c r="N1" s="8"/>
      <c r="O1" s="8"/>
      <c r="P1" s="8"/>
      <c r="Q1" s="8"/>
      <c r="R1" s="8"/>
      <c r="S1" s="8"/>
      <c r="T1" s="8"/>
      <c r="U1" s="8"/>
      <c r="V1" s="8"/>
      <c r="W1" s="8"/>
      <c r="X1" s="8"/>
      <c r="Y1" s="8"/>
      <c r="Z1" s="8"/>
    </row>
    <row r="2" ht="30" spans="1:26">
      <c r="A2" s="3" t="s">
        <v>136</v>
      </c>
      <c r="B2" s="9" t="s">
        <v>22</v>
      </c>
      <c r="C2" s="285" t="s">
        <v>137</v>
      </c>
      <c r="D2" s="10"/>
      <c r="E2" s="11" t="s">
        <v>138</v>
      </c>
      <c r="F2" s="10" t="s">
        <v>35</v>
      </c>
      <c r="G2" s="10">
        <v>1</v>
      </c>
      <c r="H2" s="42" t="s">
        <v>139</v>
      </c>
      <c r="I2" s="13" t="s">
        <v>22</v>
      </c>
      <c r="J2" s="14">
        <v>0.5</v>
      </c>
      <c r="K2" s="10"/>
      <c r="L2" s="9">
        <v>2</v>
      </c>
    </row>
    <row r="3" ht="60" spans="1:26">
      <c r="A3" s="3"/>
      <c r="B3" s="9"/>
      <c r="C3" s="10"/>
      <c r="D3" s="10"/>
      <c r="E3" s="11"/>
      <c r="F3" s="10"/>
      <c r="G3" s="10">
        <v>2</v>
      </c>
      <c r="H3" s="42" t="s">
        <v>140</v>
      </c>
      <c r="I3" s="13" t="s">
        <v>22</v>
      </c>
      <c r="J3" s="14">
        <v>1</v>
      </c>
      <c r="K3" s="10"/>
      <c r="L3" s="9">
        <v>0.25</v>
      </c>
    </row>
    <row r="4" ht="45" spans="1:26">
      <c r="A4" s="3"/>
      <c r="B4" s="9"/>
      <c r="C4" s="10"/>
      <c r="D4" s="10"/>
      <c r="E4" s="11"/>
      <c r="F4" s="10"/>
      <c r="G4" s="10">
        <v>3</v>
      </c>
      <c r="H4" s="42" t="s">
        <v>141</v>
      </c>
      <c r="I4" s="13" t="s">
        <v>22</v>
      </c>
      <c r="J4" s="14">
        <v>1</v>
      </c>
      <c r="K4" s="10"/>
      <c r="L4" s="9">
        <v>0.5</v>
      </c>
    </row>
    <row r="5" ht="30" spans="1:26">
      <c r="A5" s="3"/>
      <c r="B5" s="9"/>
      <c r="C5" s="10"/>
      <c r="D5" s="10"/>
      <c r="E5" s="11"/>
      <c r="F5" s="10"/>
      <c r="G5" s="10">
        <v>4</v>
      </c>
      <c r="H5" s="42" t="s">
        <v>142</v>
      </c>
      <c r="I5" s="13" t="s">
        <v>22</v>
      </c>
      <c r="J5" s="14">
        <v>1</v>
      </c>
      <c r="K5" s="10"/>
      <c r="L5" s="9">
        <v>0.5</v>
      </c>
    </row>
    <row r="6" ht="30" spans="1:26">
      <c r="A6" s="3"/>
      <c r="B6" s="9"/>
      <c r="C6" s="10"/>
      <c r="D6" s="10"/>
      <c r="E6" s="11"/>
      <c r="F6" s="10"/>
      <c r="G6" s="10">
        <v>5</v>
      </c>
      <c r="H6" s="42" t="s">
        <v>143</v>
      </c>
      <c r="I6" s="13" t="s">
        <v>22</v>
      </c>
      <c r="J6" s="14">
        <v>1</v>
      </c>
      <c r="K6" s="10"/>
      <c r="L6" s="9">
        <v>0.5</v>
      </c>
    </row>
    <row r="7" ht="30" spans="1:26">
      <c r="A7" s="3"/>
      <c r="B7" s="9"/>
      <c r="C7" s="10"/>
      <c r="D7" s="10"/>
      <c r="E7" s="11"/>
      <c r="F7" s="10"/>
      <c r="G7" s="10">
        <v>6</v>
      </c>
      <c r="H7" s="42" t="s">
        <v>144</v>
      </c>
      <c r="I7" s="13" t="s">
        <v>22</v>
      </c>
      <c r="J7" s="14">
        <v>1</v>
      </c>
      <c r="K7" s="10"/>
      <c r="L7" s="9">
        <v>0.5</v>
      </c>
    </row>
    <row r="8" ht="15.6" spans="1:26">
      <c r="A8" s="3"/>
      <c r="B8" s="9"/>
      <c r="C8" s="10"/>
      <c r="D8" s="10"/>
      <c r="E8" s="11"/>
      <c r="F8" s="10"/>
      <c r="G8" s="10">
        <v>7</v>
      </c>
      <c r="H8" s="12" t="s">
        <v>145</v>
      </c>
      <c r="I8" s="112" t="s">
        <v>22</v>
      </c>
      <c r="J8" s="14">
        <v>1</v>
      </c>
      <c r="K8" s="10"/>
      <c r="L8" s="9">
        <v>0.5</v>
      </c>
    </row>
    <row r="9" ht="30" spans="1:26">
      <c r="A9" s="3"/>
      <c r="B9" s="9"/>
      <c r="C9" s="10"/>
      <c r="D9" s="10"/>
      <c r="E9" s="11"/>
      <c r="F9" s="10"/>
      <c r="G9" s="10">
        <v>8</v>
      </c>
      <c r="H9" s="12" t="s">
        <v>146</v>
      </c>
      <c r="I9" s="112" t="s">
        <v>22</v>
      </c>
      <c r="J9" s="14">
        <v>1</v>
      </c>
      <c r="K9" s="10"/>
      <c r="L9" s="9">
        <v>0.5</v>
      </c>
    </row>
    <row r="10" ht="15.6" spans="1:26">
      <c r="A10" s="3"/>
      <c r="B10" s="9"/>
      <c r="C10" s="10"/>
      <c r="D10" s="10"/>
      <c r="E10" s="11"/>
      <c r="F10" s="10"/>
      <c r="G10" s="10">
        <v>9</v>
      </c>
      <c r="H10" s="194" t="s">
        <v>147</v>
      </c>
      <c r="I10" s="195" t="s">
        <v>148</v>
      </c>
      <c r="J10" s="14">
        <v>1</v>
      </c>
      <c r="K10" s="10"/>
      <c r="L10" s="9">
        <v>0.5</v>
      </c>
    </row>
    <row r="11" ht="15.6" spans="1:26">
      <c r="A11" s="3"/>
      <c r="B11" s="9"/>
      <c r="C11" s="10"/>
      <c r="D11" s="10"/>
      <c r="E11" s="11"/>
      <c r="F11" s="10"/>
      <c r="G11" s="10">
        <v>10</v>
      </c>
      <c r="H11" s="196" t="s">
        <v>149</v>
      </c>
      <c r="I11" s="195" t="s">
        <v>150</v>
      </c>
      <c r="J11" s="14">
        <v>1</v>
      </c>
      <c r="K11" s="10"/>
      <c r="L11" s="9">
        <v>1</v>
      </c>
    </row>
    <row r="12" ht="41.4" customHeight="1" spans="1:26">
      <c r="A12" s="3"/>
      <c r="B12" s="9"/>
      <c r="C12" s="10"/>
      <c r="D12" s="10"/>
      <c r="E12" s="11"/>
      <c r="F12" s="10"/>
      <c r="G12" s="141">
        <v>11</v>
      </c>
      <c r="H12" s="197" t="s">
        <v>151</v>
      </c>
      <c r="I12" s="195" t="s">
        <v>148</v>
      </c>
      <c r="J12" s="14">
        <v>1</v>
      </c>
      <c r="K12" s="10"/>
      <c r="L12" s="9">
        <v>1</v>
      </c>
    </row>
    <row r="13" ht="41.4" customHeight="1" spans="1:26">
      <c r="A13" s="3"/>
      <c r="B13" s="9"/>
      <c r="C13" s="10"/>
      <c r="D13" s="10"/>
      <c r="E13" s="11"/>
      <c r="F13" s="10"/>
      <c r="G13" s="187"/>
      <c r="H13" s="197"/>
      <c r="I13" s="195" t="s">
        <v>150</v>
      </c>
      <c r="J13" s="14">
        <v>1</v>
      </c>
      <c r="K13" s="10"/>
      <c r="L13" s="9">
        <v>4</v>
      </c>
    </row>
    <row r="14" ht="41.4" customHeight="1" spans="1:26">
      <c r="A14" s="3"/>
      <c r="B14" s="9"/>
      <c r="C14" s="10"/>
      <c r="D14" s="10"/>
      <c r="E14" s="11"/>
      <c r="F14" s="10"/>
      <c r="G14" s="126"/>
      <c r="H14" s="198"/>
      <c r="I14" s="195" t="s">
        <v>152</v>
      </c>
      <c r="J14" s="14">
        <v>1</v>
      </c>
      <c r="K14" s="10"/>
      <c r="L14" s="9">
        <v>2</v>
      </c>
    </row>
    <row r="15" ht="15" spans="1:26">
      <c r="A15" s="3"/>
      <c r="B15" s="9"/>
      <c r="C15" s="10"/>
      <c r="D15" s="10"/>
      <c r="E15" s="16" t="s">
        <v>153</v>
      </c>
      <c r="F15" s="16"/>
      <c r="G15" s="16"/>
      <c r="H15" s="16"/>
      <c r="I15" s="16"/>
      <c r="J15" s="17"/>
      <c r="K15" s="18"/>
      <c r="L15" s="19">
        <f>SUM(L2:L14)</f>
        <v>13.75</v>
      </c>
    </row>
    <row r="16" ht="15.6" spans="1:26">
      <c r="A16" s="3"/>
      <c r="B16" s="9"/>
      <c r="C16" s="10"/>
      <c r="D16" s="10"/>
      <c r="E16" s="11" t="s">
        <v>154</v>
      </c>
      <c r="F16" s="11" t="s">
        <v>35</v>
      </c>
      <c r="G16" s="11">
        <v>1</v>
      </c>
      <c r="H16" s="20"/>
      <c r="I16" s="10"/>
      <c r="J16" s="21"/>
      <c r="K16" s="11"/>
      <c r="L16" s="22"/>
    </row>
    <row r="17" ht="15.6" spans="1:12">
      <c r="A17" s="3"/>
      <c r="B17" s="9"/>
      <c r="C17" s="10"/>
      <c r="D17" s="10"/>
      <c r="E17" s="11"/>
      <c r="F17" s="11"/>
      <c r="G17" s="11">
        <v>2</v>
      </c>
      <c r="H17" s="20"/>
      <c r="I17" s="11"/>
      <c r="J17" s="21"/>
      <c r="K17" s="11"/>
      <c r="L17" s="22"/>
    </row>
    <row r="18" ht="30" spans="1:12">
      <c r="A18" s="3" t="s">
        <v>155</v>
      </c>
      <c r="B18" s="9" t="s">
        <v>22</v>
      </c>
      <c r="C18" s="14">
        <v>0.91</v>
      </c>
      <c r="D18" s="10"/>
      <c r="E18" s="11" t="s">
        <v>138</v>
      </c>
      <c r="F18" s="10" t="s">
        <v>156</v>
      </c>
      <c r="G18" s="10">
        <v>1</v>
      </c>
      <c r="H18" s="12" t="s">
        <v>157</v>
      </c>
      <c r="I18" s="13" t="s">
        <v>152</v>
      </c>
      <c r="J18" s="14">
        <v>1</v>
      </c>
      <c r="K18" s="11"/>
      <c r="L18" s="9">
        <v>3</v>
      </c>
    </row>
    <row r="19" ht="15" spans="1:12">
      <c r="A19" s="3"/>
      <c r="B19" s="9"/>
      <c r="C19" s="14"/>
      <c r="D19" s="10"/>
      <c r="E19" s="11"/>
      <c r="F19" s="10"/>
      <c r="G19" s="10">
        <v>2</v>
      </c>
      <c r="H19" s="42" t="s">
        <v>158</v>
      </c>
      <c r="I19" s="41" t="s">
        <v>148</v>
      </c>
      <c r="J19" s="43">
        <v>1</v>
      </c>
      <c r="K19" s="44"/>
      <c r="L19" s="39">
        <v>2.5</v>
      </c>
    </row>
    <row r="20" ht="15" spans="1:12">
      <c r="A20" s="3"/>
      <c r="B20" s="9"/>
      <c r="C20" s="10"/>
      <c r="D20" s="10"/>
      <c r="E20" s="11"/>
      <c r="F20" s="10"/>
      <c r="G20" s="41">
        <v>3</v>
      </c>
      <c r="H20" s="42" t="s">
        <v>159</v>
      </c>
      <c r="I20" s="41" t="s">
        <v>148</v>
      </c>
      <c r="J20" s="43">
        <v>1</v>
      </c>
      <c r="K20" s="44"/>
      <c r="L20" s="39">
        <v>1</v>
      </c>
    </row>
    <row r="21" ht="15" customHeight="1" spans="1:12">
      <c r="A21" s="3"/>
      <c r="B21" s="9"/>
      <c r="C21" s="10"/>
      <c r="D21" s="10"/>
      <c r="E21" s="11"/>
      <c r="F21" s="141" t="s">
        <v>160</v>
      </c>
      <c r="G21" s="41">
        <v>1</v>
      </c>
      <c r="H21" s="12"/>
      <c r="I21" s="41"/>
      <c r="J21" s="43"/>
      <c r="K21" s="44"/>
      <c r="L21" s="39"/>
    </row>
    <row r="22" ht="22.8" customHeight="1" spans="1:12">
      <c r="A22" s="3"/>
      <c r="B22" s="9"/>
      <c r="C22" s="10"/>
      <c r="D22" s="10"/>
      <c r="E22" s="11"/>
      <c r="F22" s="199" t="s">
        <v>161</v>
      </c>
      <c r="G22" s="200">
        <v>1</v>
      </c>
      <c r="H22" s="67" t="s">
        <v>162</v>
      </c>
      <c r="I22" s="41" t="s">
        <v>163</v>
      </c>
      <c r="J22" s="43">
        <v>0.8</v>
      </c>
      <c r="K22" s="44"/>
      <c r="L22" s="39">
        <v>1</v>
      </c>
    </row>
    <row r="23" ht="22.8" customHeight="1" spans="1:12">
      <c r="A23" s="3"/>
      <c r="B23" s="9"/>
      <c r="C23" s="10"/>
      <c r="D23" s="10"/>
      <c r="E23" s="11"/>
      <c r="F23" s="126"/>
      <c r="G23" s="201"/>
      <c r="H23" s="202"/>
      <c r="I23" s="41" t="s">
        <v>73</v>
      </c>
      <c r="J23" s="43">
        <v>0.8</v>
      </c>
      <c r="K23" s="44"/>
      <c r="L23" s="39">
        <v>1</v>
      </c>
    </row>
    <row r="24" ht="15" spans="1:12">
      <c r="A24" s="3"/>
      <c r="B24" s="9"/>
      <c r="C24" s="10"/>
      <c r="D24" s="10"/>
      <c r="E24" s="11"/>
      <c r="F24" s="13" t="s">
        <v>164</v>
      </c>
      <c r="G24" s="41">
        <v>1</v>
      </c>
      <c r="H24" s="203" t="s">
        <v>165</v>
      </c>
      <c r="I24" s="41" t="s">
        <v>166</v>
      </c>
      <c r="J24" s="43">
        <v>1</v>
      </c>
      <c r="K24" s="44"/>
      <c r="L24" s="39">
        <v>1</v>
      </c>
    </row>
    <row r="25" ht="15" spans="1:12">
      <c r="A25" s="3"/>
      <c r="B25" s="9"/>
      <c r="C25" s="10"/>
      <c r="D25" s="10"/>
      <c r="E25" s="11"/>
      <c r="F25" s="13"/>
      <c r="G25" s="41"/>
      <c r="H25" s="42" t="s">
        <v>167</v>
      </c>
      <c r="I25" s="13" t="s">
        <v>33</v>
      </c>
      <c r="J25" s="43">
        <v>1</v>
      </c>
      <c r="K25" s="44"/>
      <c r="L25" s="39">
        <v>0.6</v>
      </c>
    </row>
    <row r="26" ht="15" spans="1:12">
      <c r="A26" s="3"/>
      <c r="B26" s="9"/>
      <c r="C26" s="10"/>
      <c r="D26" s="10"/>
      <c r="E26" s="11"/>
      <c r="F26" s="13"/>
      <c r="G26" s="41"/>
      <c r="H26" s="42"/>
      <c r="I26" s="13"/>
      <c r="J26" s="43"/>
      <c r="K26" s="44"/>
      <c r="L26" s="39"/>
    </row>
    <row r="27" ht="15" spans="1:12">
      <c r="A27" s="3"/>
      <c r="B27" s="9"/>
      <c r="C27" s="10"/>
      <c r="D27" s="10"/>
      <c r="E27" s="16" t="s">
        <v>153</v>
      </c>
      <c r="F27" s="16"/>
      <c r="G27" s="16"/>
      <c r="H27" s="16"/>
      <c r="I27" s="16"/>
      <c r="J27" s="17"/>
      <c r="K27" s="18"/>
      <c r="L27" s="19">
        <f>SUM(L18:L26)</f>
        <v>10.1</v>
      </c>
    </row>
    <row r="28" ht="15.6" spans="1:12">
      <c r="A28" s="3"/>
      <c r="B28" s="9"/>
      <c r="C28" s="10"/>
      <c r="D28" s="10"/>
      <c r="E28" s="11" t="s">
        <v>154</v>
      </c>
      <c r="F28" s="11" t="s">
        <v>35</v>
      </c>
      <c r="G28" s="11">
        <v>1</v>
      </c>
      <c r="H28" s="20"/>
      <c r="I28" s="10"/>
      <c r="J28" s="21"/>
      <c r="K28" s="11"/>
      <c r="L28" s="22"/>
    </row>
    <row r="29" ht="15" spans="1:12">
      <c r="A29" s="3"/>
      <c r="B29" s="9"/>
      <c r="C29" s="10"/>
      <c r="D29" s="10"/>
      <c r="E29" s="11"/>
      <c r="F29" s="11"/>
      <c r="G29" s="11">
        <v>2</v>
      </c>
      <c r="H29" s="12"/>
      <c r="I29" s="11"/>
      <c r="J29" s="21"/>
      <c r="K29" s="11"/>
      <c r="L29" s="22"/>
    </row>
    <row r="30" ht="15" spans="1:12">
      <c r="A30" s="204" t="s">
        <v>168</v>
      </c>
      <c r="B30" s="9" t="s">
        <v>33</v>
      </c>
      <c r="C30" s="10"/>
      <c r="D30" s="10"/>
      <c r="E30" s="11" t="s">
        <v>138</v>
      </c>
      <c r="F30" s="10" t="s">
        <v>169</v>
      </c>
      <c r="G30" s="10">
        <v>1</v>
      </c>
      <c r="H30" s="196"/>
      <c r="I30" s="112"/>
      <c r="J30" s="14"/>
      <c r="K30" s="11"/>
      <c r="L30" s="22"/>
    </row>
    <row r="31" ht="15" spans="1:12">
      <c r="A31" s="3"/>
      <c r="B31" s="9"/>
      <c r="C31" s="10"/>
      <c r="D31" s="10"/>
      <c r="E31" s="11"/>
      <c r="F31" s="10"/>
      <c r="G31" s="10">
        <v>2</v>
      </c>
      <c r="H31" s="194"/>
      <c r="I31" s="112"/>
      <c r="J31" s="14"/>
      <c r="K31" s="11"/>
      <c r="L31" s="22"/>
    </row>
    <row r="32" ht="15" spans="1:12">
      <c r="A32" s="3"/>
      <c r="B32" s="9"/>
      <c r="C32" s="10"/>
      <c r="D32" s="10"/>
      <c r="E32" s="16" t="s">
        <v>153</v>
      </c>
      <c r="F32" s="16"/>
      <c r="G32" s="16"/>
      <c r="H32" s="16"/>
      <c r="I32" s="16"/>
      <c r="J32" s="17"/>
      <c r="K32" s="18"/>
      <c r="L32" s="19">
        <f>SUM(L30:L31)</f>
        <v>0</v>
      </c>
    </row>
    <row r="33" ht="15.6" spans="1:12">
      <c r="A33" s="3"/>
      <c r="B33" s="9"/>
      <c r="C33" s="10"/>
      <c r="D33" s="10"/>
      <c r="E33" s="11" t="s">
        <v>154</v>
      </c>
      <c r="F33" s="11"/>
      <c r="G33" s="11"/>
      <c r="H33" s="20"/>
      <c r="I33" s="10"/>
      <c r="J33" s="21"/>
      <c r="K33" s="11"/>
      <c r="L33" s="22"/>
    </row>
    <row r="34" ht="15" spans="1:12">
      <c r="A34" s="3"/>
      <c r="B34" s="9"/>
      <c r="C34" s="10"/>
      <c r="D34" s="10"/>
      <c r="E34" s="11"/>
      <c r="F34" s="11"/>
      <c r="G34" s="11"/>
      <c r="H34" s="12"/>
      <c r="I34" s="11"/>
      <c r="J34" s="21"/>
      <c r="K34" s="11"/>
      <c r="L34" s="22"/>
    </row>
    <row r="35" ht="15" spans="1:12">
      <c r="A35" s="3" t="s">
        <v>170</v>
      </c>
      <c r="B35" s="9" t="s">
        <v>33</v>
      </c>
      <c r="C35" s="10"/>
      <c r="D35" s="10"/>
      <c r="E35" s="11" t="s">
        <v>138</v>
      </c>
      <c r="F35" s="10" t="s">
        <v>169</v>
      </c>
      <c r="G35" s="10">
        <v>1</v>
      </c>
      <c r="H35" s="183"/>
      <c r="I35" s="13"/>
      <c r="J35" s="14"/>
      <c r="K35" s="11"/>
      <c r="L35" s="22"/>
    </row>
    <row r="36" ht="15" spans="1:12">
      <c r="A36" s="3"/>
      <c r="B36" s="9"/>
      <c r="C36" s="10"/>
      <c r="D36" s="10"/>
      <c r="E36" s="11"/>
      <c r="F36" s="10"/>
      <c r="G36" s="10">
        <v>2</v>
      </c>
      <c r="H36" s="12"/>
      <c r="I36" s="13"/>
      <c r="J36" s="14"/>
      <c r="K36" s="11"/>
      <c r="L36" s="22"/>
    </row>
    <row r="37" ht="15" spans="1:12">
      <c r="A37" s="3"/>
      <c r="B37" s="9"/>
      <c r="C37" s="10"/>
      <c r="D37" s="10"/>
      <c r="E37" s="11"/>
      <c r="F37" s="10"/>
      <c r="G37" s="10">
        <v>3</v>
      </c>
      <c r="H37" s="12"/>
      <c r="I37" s="13"/>
      <c r="J37" s="14"/>
      <c r="K37" s="11"/>
      <c r="L37" s="22"/>
    </row>
    <row r="38" ht="15" spans="1:12">
      <c r="A38" s="3"/>
      <c r="B38" s="9"/>
      <c r="C38" s="10"/>
      <c r="D38" s="10"/>
      <c r="E38" s="16" t="s">
        <v>153</v>
      </c>
      <c r="F38" s="16"/>
      <c r="G38" s="16"/>
      <c r="H38" s="16"/>
      <c r="I38" s="16"/>
      <c r="J38" s="17"/>
      <c r="K38" s="18"/>
      <c r="L38" s="19">
        <v>0</v>
      </c>
    </row>
    <row r="39" ht="15.6" spans="1:12">
      <c r="A39" s="3"/>
      <c r="B39" s="9"/>
      <c r="C39" s="10"/>
      <c r="D39" s="10"/>
      <c r="E39" s="11" t="s">
        <v>154</v>
      </c>
      <c r="F39" s="11"/>
      <c r="G39" s="11"/>
      <c r="H39" s="20"/>
      <c r="I39" s="10"/>
      <c r="J39" s="21"/>
      <c r="K39" s="11"/>
      <c r="L39" s="22"/>
    </row>
    <row r="40" ht="15" spans="1:12">
      <c r="A40" s="3"/>
      <c r="B40" s="9"/>
      <c r="C40" s="10"/>
      <c r="D40" s="10"/>
      <c r="E40" s="11"/>
      <c r="F40" s="11"/>
      <c r="G40" s="11"/>
      <c r="H40" s="12"/>
      <c r="I40" s="11"/>
      <c r="J40" s="21"/>
      <c r="K40" s="11"/>
      <c r="L40" s="22"/>
    </row>
    <row r="41" spans="1:12">
      <c r="A41" s="205" t="s">
        <v>81</v>
      </c>
      <c r="B41" s="206" t="s">
        <v>82</v>
      </c>
      <c r="C41" s="79"/>
      <c r="D41" s="79"/>
      <c r="E41" s="80"/>
      <c r="F41" s="80" t="s">
        <v>171</v>
      </c>
      <c r="G41" s="79">
        <v>1</v>
      </c>
      <c r="H41" s="81" t="s">
        <v>172</v>
      </c>
      <c r="I41" s="207" t="s">
        <v>82</v>
      </c>
      <c r="J41" s="82">
        <v>1</v>
      </c>
      <c r="K41" s="80"/>
      <c r="L41" s="208">
        <v>1</v>
      </c>
    </row>
    <row r="42" spans="1:12">
      <c r="A42" s="209"/>
      <c r="B42" s="210"/>
      <c r="C42" s="79"/>
      <c r="D42" s="79"/>
      <c r="E42" s="80"/>
      <c r="F42" s="80"/>
      <c r="G42" s="79"/>
      <c r="H42" s="81"/>
      <c r="I42" s="207" t="s">
        <v>173</v>
      </c>
      <c r="J42" s="82">
        <v>0</v>
      </c>
      <c r="K42" s="80" t="s">
        <v>174</v>
      </c>
      <c r="L42" s="208">
        <v>0</v>
      </c>
    </row>
    <row r="43" spans="1:12">
      <c r="A43" s="209"/>
      <c r="B43" s="210"/>
      <c r="C43" s="79"/>
      <c r="D43" s="79"/>
      <c r="E43" s="80"/>
      <c r="F43" s="80"/>
      <c r="G43" s="79"/>
      <c r="H43" s="81"/>
      <c r="I43" s="207" t="s">
        <v>175</v>
      </c>
      <c r="J43" s="82">
        <v>1</v>
      </c>
      <c r="K43" s="80"/>
      <c r="L43" s="208">
        <v>1</v>
      </c>
    </row>
    <row r="44" spans="1:12">
      <c r="A44" s="209"/>
      <c r="B44" s="210"/>
      <c r="C44" s="79"/>
      <c r="D44" s="79"/>
      <c r="E44" s="80"/>
      <c r="F44" s="79" t="s">
        <v>176</v>
      </c>
      <c r="G44" s="79">
        <v>1</v>
      </c>
      <c r="H44" s="81" t="s">
        <v>177</v>
      </c>
      <c r="I44" s="207" t="s">
        <v>178</v>
      </c>
      <c r="J44" s="82">
        <v>1</v>
      </c>
      <c r="K44" s="80"/>
      <c r="L44" s="83">
        <v>2</v>
      </c>
    </row>
    <row r="45" spans="1:12">
      <c r="A45" s="209"/>
      <c r="B45" s="210"/>
      <c r="C45" s="79"/>
      <c r="D45" s="79"/>
      <c r="E45" s="80"/>
      <c r="F45" s="79"/>
      <c r="G45" s="79"/>
      <c r="H45" s="81"/>
      <c r="I45" s="207" t="s">
        <v>179</v>
      </c>
      <c r="J45" s="82">
        <v>1</v>
      </c>
      <c r="K45" s="80"/>
      <c r="L45" s="83">
        <v>2</v>
      </c>
    </row>
    <row r="46" spans="1:12">
      <c r="A46" s="209"/>
      <c r="B46" s="210"/>
      <c r="C46" s="79"/>
      <c r="D46" s="79"/>
      <c r="E46" s="80"/>
      <c r="F46" s="79" t="s">
        <v>180</v>
      </c>
      <c r="G46" s="79">
        <v>1</v>
      </c>
      <c r="H46" s="81" t="s">
        <v>181</v>
      </c>
      <c r="I46" s="207" t="s">
        <v>82</v>
      </c>
      <c r="J46" s="82">
        <v>1</v>
      </c>
      <c r="K46" s="80"/>
      <c r="L46" s="208">
        <v>5</v>
      </c>
    </row>
    <row r="47" spans="1:12">
      <c r="A47" s="209"/>
      <c r="B47" s="210"/>
      <c r="C47" s="79"/>
      <c r="D47" s="79"/>
      <c r="E47" s="80"/>
      <c r="F47" s="79"/>
      <c r="G47" s="79"/>
      <c r="H47" s="81"/>
      <c r="I47" s="207" t="s">
        <v>173</v>
      </c>
      <c r="J47" s="82">
        <v>0</v>
      </c>
      <c r="K47" s="80" t="s">
        <v>174</v>
      </c>
      <c r="L47" s="208">
        <v>0</v>
      </c>
    </row>
    <row r="48" spans="1:12">
      <c r="A48" s="209"/>
      <c r="B48" s="210"/>
      <c r="C48" s="79"/>
      <c r="D48" s="79"/>
      <c r="E48" s="80"/>
      <c r="F48" s="79"/>
      <c r="G48" s="79"/>
      <c r="H48" s="81"/>
      <c r="I48" s="207" t="s">
        <v>175</v>
      </c>
      <c r="J48" s="82">
        <v>1</v>
      </c>
      <c r="K48" s="80"/>
      <c r="L48" s="208">
        <v>4</v>
      </c>
    </row>
    <row r="49" spans="1:12">
      <c r="A49" s="209"/>
      <c r="B49" s="210"/>
      <c r="C49" s="79"/>
      <c r="D49" s="79"/>
      <c r="E49" s="80"/>
      <c r="F49" s="80" t="s">
        <v>182</v>
      </c>
      <c r="G49" s="79">
        <v>1</v>
      </c>
      <c r="H49" s="81" t="s">
        <v>183</v>
      </c>
      <c r="I49" s="207" t="s">
        <v>178</v>
      </c>
      <c r="J49" s="82">
        <v>1</v>
      </c>
      <c r="K49" s="80"/>
      <c r="L49" s="83">
        <v>3</v>
      </c>
    </row>
    <row r="50" spans="1:12">
      <c r="A50" s="209"/>
      <c r="B50" s="210"/>
      <c r="C50" s="79"/>
      <c r="D50" s="79"/>
      <c r="E50" s="80"/>
      <c r="F50" s="80"/>
      <c r="G50" s="79"/>
      <c r="H50" s="81"/>
      <c r="I50" s="207" t="s">
        <v>179</v>
      </c>
      <c r="J50" s="82">
        <v>1</v>
      </c>
      <c r="K50" s="80"/>
      <c r="L50" s="83">
        <v>3</v>
      </c>
    </row>
    <row r="51" spans="1:12">
      <c r="A51" s="209"/>
      <c r="B51" s="210"/>
      <c r="C51" s="79"/>
      <c r="D51" s="79"/>
      <c r="E51" s="86" t="s">
        <v>153</v>
      </c>
      <c r="F51" s="86"/>
      <c r="G51" s="86"/>
      <c r="H51" s="86"/>
      <c r="I51" s="86"/>
      <c r="J51" s="87"/>
      <c r="K51" s="88"/>
      <c r="L51" s="89">
        <f>SUM(L41:L50)</f>
        <v>21</v>
      </c>
    </row>
    <row r="52" ht="13.8" spans="1:12">
      <c r="A52" s="209"/>
      <c r="B52" s="210"/>
      <c r="C52" s="79"/>
      <c r="D52" s="79"/>
      <c r="E52" s="80" t="s">
        <v>154</v>
      </c>
      <c r="F52" s="80"/>
      <c r="G52" s="80"/>
      <c r="H52" s="211"/>
      <c r="I52" s="79"/>
      <c r="J52" s="91"/>
      <c r="K52" s="80"/>
      <c r="L52" s="83"/>
    </row>
    <row r="53" ht="15.6" spans="1:12">
      <c r="A53" s="212"/>
      <c r="B53" s="213"/>
      <c r="C53" s="79"/>
      <c r="D53" s="79"/>
      <c r="E53" s="80"/>
      <c r="F53" s="80"/>
      <c r="G53" s="80"/>
      <c r="H53" s="81"/>
      <c r="I53" s="80"/>
      <c r="J53" s="91"/>
      <c r="K53" s="80"/>
      <c r="L53" s="83"/>
    </row>
  </sheetData>
  <autoFilter xmlns:etc="http://www.wps.cn/officeDocument/2017/etCustomData" ref="A1:L40" etc:filterBottomFollowUsedRange="0">
    <extLst/>
  </autoFilter>
  <mergeCells count="62">
    <mergeCell ref="E15:H15"/>
    <mergeCell ref="E27:H27"/>
    <mergeCell ref="E32:H32"/>
    <mergeCell ref="E38:H38"/>
    <mergeCell ref="E51:H51"/>
    <mergeCell ref="A2:A17"/>
    <mergeCell ref="A18:A29"/>
    <mergeCell ref="A30:A34"/>
    <mergeCell ref="A35:A40"/>
    <mergeCell ref="A41:A53"/>
    <mergeCell ref="B2:B17"/>
    <mergeCell ref="B18:B29"/>
    <mergeCell ref="B30:B34"/>
    <mergeCell ref="B35:B40"/>
    <mergeCell ref="B41:B53"/>
    <mergeCell ref="C2:C17"/>
    <mergeCell ref="C18:C29"/>
    <mergeCell ref="C30:C34"/>
    <mergeCell ref="C35:C40"/>
    <mergeCell ref="C41:C53"/>
    <mergeCell ref="D2:D17"/>
    <mergeCell ref="D18:D29"/>
    <mergeCell ref="D30:D34"/>
    <mergeCell ref="D35:D40"/>
    <mergeCell ref="D41:D53"/>
    <mergeCell ref="E2:E14"/>
    <mergeCell ref="E16:E17"/>
    <mergeCell ref="E18:E26"/>
    <mergeCell ref="E28:E29"/>
    <mergeCell ref="E30:E31"/>
    <mergeCell ref="E33:E34"/>
    <mergeCell ref="E35:E37"/>
    <mergeCell ref="E39:E40"/>
    <mergeCell ref="E41:E50"/>
    <mergeCell ref="E52:E53"/>
    <mergeCell ref="F2:F14"/>
    <mergeCell ref="F16:F17"/>
    <mergeCell ref="F18:F20"/>
    <mergeCell ref="F22:F23"/>
    <mergeCell ref="F24:F26"/>
    <mergeCell ref="F28:F29"/>
    <mergeCell ref="F30:F31"/>
    <mergeCell ref="F33:F34"/>
    <mergeCell ref="F35:F37"/>
    <mergeCell ref="F39:F40"/>
    <mergeCell ref="F41:F43"/>
    <mergeCell ref="F44:F45"/>
    <mergeCell ref="F46:F48"/>
    <mergeCell ref="F49:F50"/>
    <mergeCell ref="F52:F53"/>
    <mergeCell ref="G12:G14"/>
    <mergeCell ref="G22:G23"/>
    <mergeCell ref="G41:G43"/>
    <mergeCell ref="G44:G45"/>
    <mergeCell ref="G46:G48"/>
    <mergeCell ref="G49:G50"/>
    <mergeCell ref="H12:H14"/>
    <mergeCell ref="H22:H23"/>
    <mergeCell ref="H41:H43"/>
    <mergeCell ref="H44:H45"/>
    <mergeCell ref="H46:H48"/>
    <mergeCell ref="H49:H50"/>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56"/>
  <sheetViews>
    <sheetView workbookViewId="0">
      <pane ySplit="1" topLeftCell="A11" activePane="bottomLeft" state="frozen"/>
      <selection/>
      <selection pane="bottomLeft" activeCell="H19" sqref="H19"/>
    </sheetView>
  </sheetViews>
  <sheetFormatPr defaultColWidth="9.11111111111111" defaultRowHeight="13.2"/>
  <cols>
    <col min="1" max="1" width="22.4444444444444" style="1" customWidth="1"/>
    <col min="2" max="2" width="11.6666666666667" style="1" customWidth="1"/>
    <col min="3" max="7" width="9.11111111111111" style="1"/>
    <col min="8" max="8" width="59.6666666666667" style="1" customWidth="1"/>
    <col min="9" max="11" width="9.11111111111111" style="1"/>
    <col min="12" max="12" width="19.5555555555556" style="2" customWidth="1"/>
    <col min="13" max="16384" width="9.11111111111111" style="1"/>
  </cols>
  <sheetData>
    <row r="1" ht="69.6" spans="1:26">
      <c r="A1" s="3" t="s">
        <v>126</v>
      </c>
      <c r="B1" s="4" t="s">
        <v>6</v>
      </c>
      <c r="C1" s="3" t="s">
        <v>127</v>
      </c>
      <c r="D1" s="3" t="s">
        <v>128</v>
      </c>
      <c r="E1" s="4" t="s">
        <v>129</v>
      </c>
      <c r="F1" s="3" t="s">
        <v>130</v>
      </c>
      <c r="G1" s="3" t="s">
        <v>1</v>
      </c>
      <c r="H1" s="5" t="s">
        <v>131</v>
      </c>
      <c r="I1" s="3" t="s">
        <v>132</v>
      </c>
      <c r="J1" s="6" t="s">
        <v>133</v>
      </c>
      <c r="K1" s="3" t="s">
        <v>134</v>
      </c>
      <c r="L1" s="7" t="s">
        <v>135</v>
      </c>
      <c r="M1" s="8"/>
      <c r="N1" s="8"/>
      <c r="O1" s="8"/>
      <c r="P1" s="8"/>
      <c r="Q1" s="8"/>
      <c r="R1" s="8"/>
      <c r="S1" s="8"/>
      <c r="T1" s="8"/>
      <c r="U1" s="8"/>
      <c r="V1" s="8"/>
      <c r="W1" s="8"/>
      <c r="X1" s="8"/>
      <c r="Y1" s="8"/>
      <c r="Z1" s="8"/>
    </row>
    <row r="2" ht="15.6" spans="1:26">
      <c r="A2" s="3" t="s">
        <v>184</v>
      </c>
      <c r="B2" s="9" t="s">
        <v>39</v>
      </c>
      <c r="C2" s="285" t="s">
        <v>185</v>
      </c>
      <c r="D2" s="10"/>
      <c r="E2" s="11" t="s">
        <v>138</v>
      </c>
      <c r="F2" s="10" t="s">
        <v>35</v>
      </c>
      <c r="G2" s="10">
        <v>1</v>
      </c>
      <c r="H2" s="12" t="s">
        <v>186</v>
      </c>
      <c r="I2" s="13" t="s">
        <v>39</v>
      </c>
      <c r="J2" s="14">
        <v>1</v>
      </c>
      <c r="K2" s="10"/>
      <c r="L2" s="9">
        <v>1</v>
      </c>
      <c r="M2" s="8"/>
      <c r="N2" s="8"/>
      <c r="O2" s="8"/>
      <c r="P2" s="8"/>
      <c r="Q2" s="8"/>
      <c r="R2" s="8"/>
      <c r="S2" s="8"/>
      <c r="T2" s="8"/>
      <c r="U2" s="8"/>
      <c r="V2" s="8"/>
      <c r="W2" s="8"/>
      <c r="X2" s="8"/>
      <c r="Y2" s="8"/>
      <c r="Z2" s="8"/>
    </row>
    <row r="3" ht="15.6" spans="1:26">
      <c r="A3" s="3"/>
      <c r="B3" s="9"/>
      <c r="C3" s="10"/>
      <c r="D3" s="10"/>
      <c r="E3" s="11"/>
      <c r="F3" s="10"/>
      <c r="G3" s="10">
        <v>2</v>
      </c>
      <c r="H3" s="15" t="s">
        <v>187</v>
      </c>
      <c r="I3" s="13" t="s">
        <v>39</v>
      </c>
      <c r="J3" s="14">
        <v>1</v>
      </c>
      <c r="K3" s="10"/>
      <c r="L3" s="9">
        <v>1</v>
      </c>
      <c r="M3" s="8"/>
      <c r="N3" s="8"/>
      <c r="O3" s="8"/>
      <c r="P3" s="8"/>
      <c r="Q3" s="8"/>
      <c r="R3" s="8"/>
      <c r="S3" s="8"/>
      <c r="T3" s="8"/>
      <c r="U3" s="8"/>
      <c r="V3" s="8"/>
      <c r="W3" s="8"/>
      <c r="X3" s="8"/>
      <c r="Y3" s="8"/>
      <c r="Z3" s="8"/>
    </row>
    <row r="4" ht="15.6" spans="1:26">
      <c r="A4" s="3"/>
      <c r="B4" s="9"/>
      <c r="C4" s="10"/>
      <c r="D4" s="10"/>
      <c r="E4" s="11"/>
      <c r="F4" s="10"/>
      <c r="G4" s="10">
        <v>3</v>
      </c>
      <c r="H4" s="12" t="s">
        <v>188</v>
      </c>
      <c r="I4" s="13" t="s">
        <v>39</v>
      </c>
      <c r="J4" s="14">
        <v>1</v>
      </c>
      <c r="K4" s="10"/>
      <c r="L4" s="9">
        <v>1</v>
      </c>
      <c r="M4" s="8"/>
      <c r="N4" s="8"/>
      <c r="O4" s="8"/>
      <c r="P4" s="8"/>
      <c r="Q4" s="8"/>
      <c r="R4" s="8"/>
      <c r="S4" s="8"/>
      <c r="T4" s="8"/>
      <c r="U4" s="8"/>
      <c r="V4" s="8"/>
      <c r="W4" s="8"/>
      <c r="X4" s="8"/>
      <c r="Y4" s="8"/>
      <c r="Z4" s="8"/>
    </row>
    <row r="5" ht="15.6" spans="1:26">
      <c r="A5" s="3"/>
      <c r="B5" s="9"/>
      <c r="C5" s="10"/>
      <c r="D5" s="10"/>
      <c r="E5" s="11"/>
      <c r="F5" s="10"/>
      <c r="G5" s="10">
        <v>4</v>
      </c>
      <c r="H5" s="12" t="s">
        <v>189</v>
      </c>
      <c r="I5" s="13" t="s">
        <v>39</v>
      </c>
      <c r="J5" s="14">
        <v>1</v>
      </c>
      <c r="K5" s="10"/>
      <c r="L5" s="9">
        <v>1</v>
      </c>
      <c r="M5" s="8"/>
      <c r="N5" s="8"/>
      <c r="O5" s="8"/>
      <c r="P5" s="8"/>
      <c r="Q5" s="8"/>
      <c r="R5" s="8"/>
      <c r="S5" s="8"/>
      <c r="T5" s="8"/>
      <c r="U5" s="8"/>
      <c r="V5" s="8"/>
      <c r="W5" s="8"/>
      <c r="X5" s="8"/>
      <c r="Y5" s="8"/>
      <c r="Z5" s="8"/>
    </row>
    <row r="6" ht="15" spans="1:26">
      <c r="A6" s="3"/>
      <c r="B6" s="9"/>
      <c r="C6" s="10"/>
      <c r="D6" s="10"/>
      <c r="E6" s="16" t="s">
        <v>153</v>
      </c>
      <c r="F6" s="16"/>
      <c r="G6" s="16"/>
      <c r="H6" s="16"/>
      <c r="I6" s="16"/>
      <c r="J6" s="17"/>
      <c r="K6" s="18"/>
      <c r="L6" s="19">
        <v>4</v>
      </c>
      <c r="M6" s="8"/>
      <c r="N6" s="8"/>
      <c r="O6" s="8"/>
      <c r="P6" s="8"/>
      <c r="Q6" s="8"/>
      <c r="R6" s="8"/>
      <c r="S6" s="8"/>
      <c r="T6" s="8"/>
      <c r="U6" s="8"/>
      <c r="V6" s="8"/>
      <c r="W6" s="8"/>
      <c r="X6" s="8"/>
      <c r="Y6" s="8"/>
      <c r="Z6" s="8"/>
    </row>
    <row r="7" ht="15.6" spans="1:26">
      <c r="A7" s="3"/>
      <c r="B7" s="9"/>
      <c r="C7" s="10"/>
      <c r="D7" s="10"/>
      <c r="E7" s="11" t="s">
        <v>154</v>
      </c>
      <c r="F7" s="11" t="s">
        <v>35</v>
      </c>
      <c r="G7" s="11">
        <v>1</v>
      </c>
      <c r="H7" s="20"/>
      <c r="I7" s="10"/>
      <c r="J7" s="21"/>
      <c r="K7" s="11"/>
      <c r="L7" s="22"/>
      <c r="M7" s="8"/>
      <c r="N7" s="8"/>
      <c r="O7" s="8"/>
      <c r="P7" s="8"/>
      <c r="Q7" s="8"/>
      <c r="R7" s="8"/>
      <c r="S7" s="8"/>
      <c r="T7" s="8"/>
      <c r="U7" s="8"/>
      <c r="V7" s="8"/>
      <c r="W7" s="8"/>
      <c r="X7" s="8"/>
      <c r="Y7" s="8"/>
      <c r="Z7" s="8"/>
    </row>
    <row r="8" ht="15.6" spans="1:26">
      <c r="A8" s="3"/>
      <c r="B8" s="9"/>
      <c r="C8" s="10"/>
      <c r="D8" s="10"/>
      <c r="E8" s="11"/>
      <c r="F8" s="11"/>
      <c r="G8" s="11">
        <v>2</v>
      </c>
      <c r="H8" s="20"/>
      <c r="I8" s="11"/>
      <c r="J8" s="21"/>
      <c r="K8" s="11"/>
      <c r="L8" s="22"/>
      <c r="M8" s="8"/>
      <c r="N8" s="8"/>
      <c r="O8" s="8"/>
      <c r="P8" s="8"/>
      <c r="Q8" s="8"/>
      <c r="R8" s="8"/>
      <c r="S8" s="8"/>
      <c r="T8" s="8"/>
      <c r="U8" s="8"/>
      <c r="V8" s="8"/>
      <c r="W8" s="8"/>
      <c r="X8" s="8"/>
      <c r="Y8" s="8"/>
      <c r="Z8" s="8"/>
    </row>
    <row r="9" ht="15" spans="1:26">
      <c r="A9" s="3" t="s">
        <v>48</v>
      </c>
      <c r="B9" s="9" t="s">
        <v>49</v>
      </c>
      <c r="C9" s="10"/>
      <c r="D9" s="10"/>
      <c r="E9" s="11" t="s">
        <v>138</v>
      </c>
      <c r="F9" s="10" t="s">
        <v>169</v>
      </c>
      <c r="G9" s="10">
        <v>1</v>
      </c>
      <c r="H9" s="183" t="s">
        <v>190</v>
      </c>
      <c r="I9" s="13" t="s">
        <v>49</v>
      </c>
      <c r="J9" s="14">
        <v>1</v>
      </c>
      <c r="K9" s="11"/>
      <c r="L9" s="22">
        <v>5</v>
      </c>
    </row>
    <row r="10" ht="15" spans="1:26">
      <c r="A10" s="3"/>
      <c r="B10" s="9"/>
      <c r="C10" s="10"/>
      <c r="D10" s="10"/>
      <c r="E10" s="16" t="s">
        <v>153</v>
      </c>
      <c r="F10" s="16"/>
      <c r="G10" s="16"/>
      <c r="H10" s="16"/>
      <c r="I10" s="16"/>
      <c r="J10" s="17"/>
      <c r="K10" s="18"/>
      <c r="L10" s="19">
        <v>5</v>
      </c>
    </row>
    <row r="11" ht="15.6" spans="1:26">
      <c r="A11" s="3"/>
      <c r="B11" s="9"/>
      <c r="C11" s="10"/>
      <c r="D11" s="10"/>
      <c r="E11" s="11" t="s">
        <v>154</v>
      </c>
      <c r="F11" s="11"/>
      <c r="G11" s="11"/>
      <c r="H11" s="20"/>
      <c r="I11" s="10"/>
      <c r="J11" s="21"/>
      <c r="K11" s="11"/>
      <c r="L11" s="22"/>
    </row>
    <row r="12" ht="15" spans="1:26">
      <c r="A12" s="3"/>
      <c r="B12" s="9"/>
      <c r="C12" s="10"/>
      <c r="D12" s="10"/>
      <c r="E12" s="11"/>
      <c r="F12" s="11"/>
      <c r="G12" s="11"/>
      <c r="H12" s="12"/>
      <c r="I12" s="11"/>
      <c r="J12" s="21"/>
      <c r="K12" s="11"/>
      <c r="L12" s="22"/>
    </row>
    <row r="13" s="1" customFormat="1" ht="15" spans="1:26">
      <c r="A13" s="3" t="s">
        <v>191</v>
      </c>
      <c r="B13" s="9" t="s">
        <v>42</v>
      </c>
      <c r="C13" s="10"/>
      <c r="D13" s="10"/>
      <c r="E13" s="11" t="s">
        <v>138</v>
      </c>
      <c r="F13" s="10" t="s">
        <v>169</v>
      </c>
      <c r="G13" s="10">
        <v>1</v>
      </c>
      <c r="H13" s="183" t="s">
        <v>192</v>
      </c>
      <c r="I13" s="13" t="s">
        <v>82</v>
      </c>
      <c r="J13" s="14">
        <v>1</v>
      </c>
      <c r="K13" s="11"/>
      <c r="L13" s="22">
        <v>3</v>
      </c>
    </row>
    <row r="14" s="1" customFormat="1" ht="15" spans="1:26">
      <c r="A14" s="3"/>
      <c r="B14" s="9"/>
      <c r="C14" s="10"/>
      <c r="D14" s="10"/>
      <c r="E14" s="11"/>
      <c r="F14" s="10"/>
      <c r="G14" s="10">
        <v>2</v>
      </c>
      <c r="H14" s="183" t="s">
        <v>192</v>
      </c>
      <c r="I14" s="13" t="s">
        <v>173</v>
      </c>
      <c r="J14" s="14">
        <v>1</v>
      </c>
      <c r="K14" s="11"/>
      <c r="L14" s="22">
        <v>2</v>
      </c>
    </row>
    <row r="15" s="1" customFormat="1" ht="15" spans="1:26">
      <c r="A15" s="3"/>
      <c r="B15" s="9"/>
      <c r="C15" s="10"/>
      <c r="D15" s="10"/>
      <c r="E15" s="11"/>
      <c r="F15" s="10"/>
      <c r="G15" s="10">
        <v>3</v>
      </c>
      <c r="H15" s="183" t="s">
        <v>192</v>
      </c>
      <c r="I15" s="13" t="s">
        <v>175</v>
      </c>
      <c r="J15" s="14">
        <v>1</v>
      </c>
      <c r="K15" s="11"/>
      <c r="L15" s="22">
        <v>2</v>
      </c>
    </row>
    <row r="16" s="1" customFormat="1" ht="15" spans="1:26">
      <c r="A16" s="3"/>
      <c r="B16" s="9"/>
      <c r="C16" s="10"/>
      <c r="D16" s="10"/>
      <c r="E16" s="11"/>
      <c r="F16" s="10"/>
      <c r="G16" s="10">
        <v>4</v>
      </c>
      <c r="H16" s="12" t="s">
        <v>193</v>
      </c>
      <c r="I16" s="13" t="s">
        <v>194</v>
      </c>
      <c r="J16" s="14">
        <v>1</v>
      </c>
      <c r="K16" s="11"/>
      <c r="L16" s="22">
        <v>5</v>
      </c>
    </row>
    <row r="17" s="1" customFormat="1" ht="15" spans="1:12">
      <c r="A17" s="3"/>
      <c r="B17" s="9"/>
      <c r="C17" s="10"/>
      <c r="D17" s="10"/>
      <c r="E17" s="11"/>
      <c r="F17" s="10"/>
      <c r="G17" s="10">
        <v>5</v>
      </c>
      <c r="H17" s="12"/>
      <c r="I17" s="13" t="s">
        <v>73</v>
      </c>
      <c r="J17" s="14">
        <v>1</v>
      </c>
      <c r="K17" s="11"/>
      <c r="L17" s="22">
        <v>2</v>
      </c>
    </row>
    <row r="18" s="1" customFormat="1" ht="45" spans="1:12">
      <c r="A18" s="3"/>
      <c r="B18" s="9"/>
      <c r="C18" s="10"/>
      <c r="D18" s="10"/>
      <c r="E18" s="11"/>
      <c r="F18" s="10"/>
      <c r="G18" s="10">
        <v>6</v>
      </c>
      <c r="H18" s="183" t="s">
        <v>195</v>
      </c>
      <c r="I18" s="13" t="s">
        <v>42</v>
      </c>
      <c r="J18" s="14">
        <v>1</v>
      </c>
      <c r="K18" s="11"/>
      <c r="L18" s="22">
        <v>4</v>
      </c>
    </row>
    <row r="19" s="1" customFormat="1" ht="120" spans="1:12">
      <c r="A19" s="3"/>
      <c r="B19" s="9"/>
      <c r="C19" s="10"/>
      <c r="D19" s="10"/>
      <c r="E19" s="11"/>
      <c r="F19" s="10"/>
      <c r="G19" s="10">
        <v>7</v>
      </c>
      <c r="H19" s="183" t="s">
        <v>196</v>
      </c>
      <c r="I19" s="13" t="s">
        <v>197</v>
      </c>
      <c r="J19" s="14">
        <v>1</v>
      </c>
      <c r="K19" s="11"/>
      <c r="L19" s="22">
        <v>2</v>
      </c>
    </row>
    <row r="20" s="1" customFormat="1" ht="15" spans="1:12">
      <c r="A20" s="3"/>
      <c r="B20" s="9"/>
      <c r="C20" s="10"/>
      <c r="D20" s="10"/>
      <c r="E20" s="16" t="s">
        <v>153</v>
      </c>
      <c r="F20" s="16"/>
      <c r="G20" s="16"/>
      <c r="H20" s="16"/>
      <c r="I20" s="16"/>
      <c r="J20" s="17"/>
      <c r="K20" s="18"/>
      <c r="L20" s="19">
        <f>SUM(L13:L19)</f>
        <v>20</v>
      </c>
    </row>
    <row r="21" s="1" customFormat="1" ht="15.6" spans="1:12">
      <c r="A21" s="3"/>
      <c r="B21" s="9"/>
      <c r="C21" s="10"/>
      <c r="D21" s="10"/>
      <c r="E21" s="11" t="s">
        <v>154</v>
      </c>
      <c r="F21" s="11"/>
      <c r="G21" s="11"/>
      <c r="H21" s="20"/>
      <c r="I21" s="10"/>
      <c r="J21" s="21"/>
      <c r="K21" s="11"/>
      <c r="L21" s="22"/>
    </row>
    <row r="22" s="1" customFormat="1" ht="15" spans="1:12">
      <c r="A22" s="3"/>
      <c r="B22" s="9"/>
      <c r="C22" s="10"/>
      <c r="D22" s="10"/>
      <c r="E22" s="11"/>
      <c r="F22" s="11"/>
      <c r="G22" s="11"/>
      <c r="H22" s="12"/>
      <c r="I22" s="11"/>
      <c r="J22" s="21"/>
      <c r="K22" s="11"/>
      <c r="L22" s="22"/>
    </row>
    <row r="23" s="1" customFormat="1" ht="60" spans="1:12">
      <c r="A23" s="3" t="s">
        <v>41</v>
      </c>
      <c r="B23" s="9" t="s">
        <v>42</v>
      </c>
      <c r="C23" s="10"/>
      <c r="D23" s="10"/>
      <c r="E23" s="11" t="s">
        <v>138</v>
      </c>
      <c r="F23" s="10" t="s">
        <v>169</v>
      </c>
      <c r="G23" s="10">
        <v>1</v>
      </c>
      <c r="H23" s="183" t="s">
        <v>198</v>
      </c>
      <c r="I23" s="13" t="s">
        <v>166</v>
      </c>
      <c r="J23" s="14">
        <v>1</v>
      </c>
      <c r="K23" s="11"/>
      <c r="L23" s="22">
        <v>4</v>
      </c>
    </row>
    <row r="24" s="1" customFormat="1" ht="45" spans="1:12">
      <c r="A24" s="3"/>
      <c r="B24" s="9"/>
      <c r="C24" s="10"/>
      <c r="D24" s="10"/>
      <c r="E24" s="11"/>
      <c r="F24" s="10"/>
      <c r="G24" s="10">
        <v>2</v>
      </c>
      <c r="H24" s="12" t="s">
        <v>199</v>
      </c>
      <c r="I24" s="13" t="s">
        <v>197</v>
      </c>
      <c r="J24" s="14">
        <v>1</v>
      </c>
      <c r="K24" s="11" t="s">
        <v>200</v>
      </c>
      <c r="L24" s="22">
        <v>3</v>
      </c>
    </row>
    <row r="25" s="1" customFormat="1" ht="30" spans="1:12">
      <c r="A25" s="3"/>
      <c r="B25" s="9"/>
      <c r="C25" s="10"/>
      <c r="D25" s="10"/>
      <c r="E25" s="11"/>
      <c r="F25" s="10"/>
      <c r="G25" s="10">
        <v>3</v>
      </c>
      <c r="H25" s="12" t="s">
        <v>201</v>
      </c>
      <c r="I25" s="13" t="s">
        <v>42</v>
      </c>
      <c r="J25" s="14">
        <v>1</v>
      </c>
      <c r="K25" s="11"/>
      <c r="L25" s="22">
        <v>1</v>
      </c>
    </row>
    <row r="26" s="1" customFormat="1" ht="15" spans="1:12">
      <c r="A26" s="3"/>
      <c r="B26" s="9"/>
      <c r="C26" s="10"/>
      <c r="D26" s="10"/>
      <c r="E26" s="11"/>
      <c r="F26" s="10"/>
      <c r="G26" s="10">
        <v>4</v>
      </c>
      <c r="H26" s="12"/>
      <c r="I26" s="13"/>
      <c r="J26" s="14"/>
      <c r="K26" s="11"/>
      <c r="L26" s="22"/>
    </row>
    <row r="27" s="1" customFormat="1" ht="15" spans="1:12">
      <c r="A27" s="3"/>
      <c r="B27" s="9"/>
      <c r="C27" s="10"/>
      <c r="D27" s="10"/>
      <c r="E27" s="11"/>
      <c r="F27" s="10"/>
      <c r="G27" s="10">
        <v>5</v>
      </c>
      <c r="H27" s="12"/>
      <c r="I27" s="13"/>
      <c r="J27" s="14"/>
      <c r="K27" s="11"/>
      <c r="L27" s="22"/>
    </row>
    <row r="28" s="1" customFormat="1" ht="15" spans="1:12">
      <c r="A28" s="3"/>
      <c r="B28" s="9"/>
      <c r="C28" s="10"/>
      <c r="D28" s="10"/>
      <c r="E28" s="11"/>
      <c r="F28" s="10"/>
      <c r="G28" s="10">
        <v>6</v>
      </c>
      <c r="H28" s="183"/>
      <c r="I28" s="13"/>
      <c r="J28" s="14"/>
      <c r="K28" s="11"/>
      <c r="L28" s="22"/>
    </row>
    <row r="29" s="1" customFormat="1" ht="15" spans="1:12">
      <c r="A29" s="3"/>
      <c r="B29" s="9"/>
      <c r="C29" s="10"/>
      <c r="D29" s="10"/>
      <c r="E29" s="11"/>
      <c r="F29" s="10"/>
      <c r="G29" s="10">
        <v>7</v>
      </c>
      <c r="H29" s="183"/>
      <c r="I29" s="13"/>
      <c r="J29" s="14"/>
      <c r="K29" s="11"/>
      <c r="L29" s="22"/>
    </row>
    <row r="30" s="1" customFormat="1" ht="15" spans="1:12">
      <c r="A30" s="3"/>
      <c r="B30" s="9"/>
      <c r="C30" s="10"/>
      <c r="D30" s="10"/>
      <c r="E30" s="16" t="s">
        <v>153</v>
      </c>
      <c r="F30" s="16"/>
      <c r="G30" s="16"/>
      <c r="H30" s="16"/>
      <c r="I30" s="16"/>
      <c r="J30" s="17"/>
      <c r="K30" s="18"/>
      <c r="L30" s="19">
        <f>SUM(L23:L29)</f>
        <v>8</v>
      </c>
    </row>
    <row r="31" s="1" customFormat="1" ht="15.6" spans="1:12">
      <c r="A31" s="3"/>
      <c r="B31" s="9"/>
      <c r="C31" s="10"/>
      <c r="D31" s="10"/>
      <c r="E31" s="11" t="s">
        <v>154</v>
      </c>
      <c r="F31" s="11"/>
      <c r="G31" s="11"/>
      <c r="H31" s="20"/>
      <c r="I31" s="10"/>
      <c r="J31" s="21"/>
      <c r="K31" s="11"/>
      <c r="L31" s="22"/>
    </row>
    <row r="32" s="1" customFormat="1" ht="15" spans="1:12">
      <c r="A32" s="3"/>
      <c r="B32" s="9"/>
      <c r="C32" s="10"/>
      <c r="D32" s="10"/>
      <c r="E32" s="11"/>
      <c r="F32" s="11"/>
      <c r="G32" s="11"/>
      <c r="H32" s="12"/>
      <c r="I32" s="11"/>
      <c r="J32" s="21"/>
      <c r="K32" s="11"/>
      <c r="L32" s="22"/>
    </row>
    <row r="33" ht="15" spans="1:12">
      <c r="A33" s="3" t="s">
        <v>84</v>
      </c>
      <c r="B33" s="9" t="s">
        <v>51</v>
      </c>
      <c r="C33" s="10"/>
      <c r="D33" s="10"/>
      <c r="E33" s="182" t="s">
        <v>138</v>
      </c>
      <c r="F33" s="141" t="s">
        <v>169</v>
      </c>
      <c r="G33" s="10">
        <v>1</v>
      </c>
      <c r="H33" s="183" t="s">
        <v>202</v>
      </c>
      <c r="I33" s="13" t="s">
        <v>203</v>
      </c>
      <c r="J33" s="14">
        <v>1</v>
      </c>
      <c r="K33" s="11"/>
      <c r="L33" s="22">
        <v>5</v>
      </c>
    </row>
    <row r="34" ht="15" spans="1:12">
      <c r="A34" s="3"/>
      <c r="B34" s="9"/>
      <c r="C34" s="10"/>
      <c r="D34" s="10"/>
      <c r="E34" s="188"/>
      <c r="F34" s="187"/>
      <c r="G34" s="10">
        <v>2</v>
      </c>
      <c r="H34" s="183" t="s">
        <v>204</v>
      </c>
      <c r="I34" s="13" t="s">
        <v>205</v>
      </c>
      <c r="J34" s="14">
        <v>1</v>
      </c>
      <c r="K34" s="11"/>
      <c r="L34" s="22">
        <v>4</v>
      </c>
    </row>
    <row r="35" ht="15" spans="1:12">
      <c r="A35" s="3"/>
      <c r="B35" s="9"/>
      <c r="C35" s="10"/>
      <c r="D35" s="10"/>
      <c r="E35" s="188"/>
      <c r="F35" s="187"/>
      <c r="G35" s="10">
        <v>3</v>
      </c>
      <c r="H35" s="183" t="s">
        <v>206</v>
      </c>
      <c r="I35" s="13" t="s">
        <v>51</v>
      </c>
      <c r="J35" s="14">
        <v>1</v>
      </c>
      <c r="K35" s="11"/>
      <c r="L35" s="22">
        <v>3.5</v>
      </c>
    </row>
    <row r="36" ht="15" spans="1:12">
      <c r="A36" s="3"/>
      <c r="B36" s="9"/>
      <c r="C36" s="10"/>
      <c r="D36" s="10"/>
      <c r="E36" s="189"/>
      <c r="F36" s="126"/>
      <c r="G36" s="10">
        <v>5</v>
      </c>
      <c r="H36" s="183" t="s">
        <v>207</v>
      </c>
      <c r="I36" s="13" t="s">
        <v>208</v>
      </c>
      <c r="J36" s="14">
        <v>1</v>
      </c>
      <c r="K36" s="11"/>
      <c r="L36" s="22">
        <v>5</v>
      </c>
    </row>
    <row r="37" ht="15" spans="1:12">
      <c r="A37" s="3"/>
      <c r="B37" s="9"/>
      <c r="C37" s="10"/>
      <c r="D37" s="10"/>
      <c r="E37" s="189"/>
      <c r="F37" s="126"/>
      <c r="G37" s="10"/>
      <c r="H37" s="183"/>
      <c r="I37" s="13"/>
      <c r="J37" s="14"/>
      <c r="K37" s="11"/>
      <c r="L37" s="22"/>
    </row>
    <row r="38" ht="15" spans="1:12">
      <c r="A38" s="3"/>
      <c r="B38" s="9"/>
      <c r="C38" s="10"/>
      <c r="D38" s="10"/>
      <c r="E38" s="16" t="s">
        <v>153</v>
      </c>
      <c r="F38" s="16"/>
      <c r="G38" s="16"/>
      <c r="H38" s="16"/>
      <c r="I38" s="16"/>
      <c r="J38" s="17"/>
      <c r="K38" s="18"/>
      <c r="L38" s="19">
        <f>SUM(L33:L36)</f>
        <v>17.5</v>
      </c>
    </row>
    <row r="39" ht="15.6" spans="1:12">
      <c r="A39" s="3"/>
      <c r="B39" s="9"/>
      <c r="C39" s="10"/>
      <c r="D39" s="10"/>
      <c r="E39" s="11" t="s">
        <v>154</v>
      </c>
      <c r="F39" s="11"/>
      <c r="G39" s="11"/>
      <c r="H39" s="20"/>
      <c r="I39" s="10"/>
      <c r="J39" s="21"/>
      <c r="K39" s="11"/>
      <c r="L39" s="22"/>
    </row>
    <row r="40" ht="15" spans="1:12">
      <c r="A40" s="3"/>
      <c r="B40" s="9"/>
      <c r="C40" s="10"/>
      <c r="D40" s="10"/>
      <c r="E40" s="11"/>
      <c r="F40" s="11"/>
      <c r="G40" s="11"/>
      <c r="H40" s="12"/>
      <c r="I40" s="11"/>
      <c r="J40" s="21"/>
      <c r="K40" s="11"/>
      <c r="L40" s="22"/>
    </row>
    <row r="41" ht="15" spans="1:12">
      <c r="A41" s="3" t="s">
        <v>50</v>
      </c>
      <c r="B41" s="9" t="s">
        <v>51</v>
      </c>
      <c r="C41" s="10"/>
      <c r="D41" s="10"/>
      <c r="E41" s="182" t="s">
        <v>138</v>
      </c>
      <c r="F41" s="141" t="s">
        <v>35</v>
      </c>
      <c r="G41" s="141">
        <v>1</v>
      </c>
      <c r="H41" s="183" t="s">
        <v>209</v>
      </c>
      <c r="I41" s="191" t="s">
        <v>210</v>
      </c>
      <c r="J41" s="14">
        <v>1</v>
      </c>
      <c r="K41" s="11"/>
      <c r="L41" s="22">
        <v>0.5</v>
      </c>
    </row>
    <row r="42" ht="15" spans="1:12">
      <c r="A42" s="3"/>
      <c r="B42" s="9"/>
      <c r="C42" s="10"/>
      <c r="D42" s="10"/>
      <c r="E42" s="188"/>
      <c r="F42" s="187"/>
      <c r="G42" s="126"/>
      <c r="H42" s="183" t="s">
        <v>211</v>
      </c>
      <c r="I42" s="192"/>
      <c r="J42" s="14">
        <v>1</v>
      </c>
      <c r="K42" s="11"/>
      <c r="L42" s="22">
        <v>1</v>
      </c>
    </row>
    <row r="43" ht="15" spans="1:12">
      <c r="A43" s="3"/>
      <c r="B43" s="9"/>
      <c r="C43" s="10"/>
      <c r="D43" s="10"/>
      <c r="E43" s="188"/>
      <c r="F43" s="187"/>
      <c r="G43" s="10">
        <v>2</v>
      </c>
      <c r="H43" s="183" t="s">
        <v>212</v>
      </c>
      <c r="I43" s="13" t="s">
        <v>213</v>
      </c>
      <c r="J43" s="14">
        <v>0.9</v>
      </c>
      <c r="K43" s="11"/>
      <c r="L43" s="22">
        <v>5</v>
      </c>
    </row>
    <row r="44" ht="45" spans="1:12">
      <c r="A44" s="3"/>
      <c r="B44" s="9"/>
      <c r="C44" s="10"/>
      <c r="D44" s="10"/>
      <c r="E44" s="188"/>
      <c r="F44" s="187"/>
      <c r="G44" s="10">
        <v>3</v>
      </c>
      <c r="H44" s="183" t="s">
        <v>214</v>
      </c>
      <c r="I44" s="13" t="s">
        <v>215</v>
      </c>
      <c r="J44" s="190">
        <v>1</v>
      </c>
      <c r="K44" s="11"/>
      <c r="L44" s="22">
        <v>4</v>
      </c>
    </row>
    <row r="45" ht="15" spans="1:12">
      <c r="A45" s="3"/>
      <c r="B45" s="9"/>
      <c r="C45" s="10"/>
      <c r="D45" s="10"/>
      <c r="E45" s="189"/>
      <c r="F45" s="126"/>
      <c r="G45" s="10"/>
      <c r="H45" s="183"/>
      <c r="I45" s="13"/>
      <c r="J45" s="14"/>
      <c r="K45" s="11"/>
      <c r="L45" s="22"/>
    </row>
    <row r="46" ht="15" spans="1:12">
      <c r="A46" s="3"/>
      <c r="B46" s="9"/>
      <c r="C46" s="10"/>
      <c r="D46" s="10"/>
      <c r="E46" s="16" t="s">
        <v>153</v>
      </c>
      <c r="F46" s="16"/>
      <c r="G46" s="16"/>
      <c r="H46" s="16"/>
      <c r="I46" s="16"/>
      <c r="J46" s="17"/>
      <c r="K46" s="18"/>
      <c r="L46" s="19">
        <f>SUM(L41:L45)</f>
        <v>10.5</v>
      </c>
    </row>
    <row r="47" ht="15.6" spans="1:12">
      <c r="A47" s="3"/>
      <c r="B47" s="9"/>
      <c r="C47" s="10"/>
      <c r="D47" s="10"/>
      <c r="E47" s="11"/>
      <c r="F47" s="11"/>
      <c r="G47" s="11"/>
      <c r="H47" s="20"/>
      <c r="I47" s="10"/>
      <c r="J47" s="21"/>
      <c r="K47" s="11"/>
      <c r="L47" s="22"/>
    </row>
    <row r="48" ht="15" spans="1:12">
      <c r="A48" s="3"/>
      <c r="B48" s="9"/>
      <c r="C48" s="10"/>
      <c r="D48" s="10"/>
      <c r="E48" s="11"/>
      <c r="F48" s="11"/>
      <c r="G48" s="11"/>
      <c r="H48" s="12"/>
      <c r="I48" s="11"/>
      <c r="J48" s="21"/>
      <c r="K48" s="11"/>
      <c r="L48" s="22"/>
    </row>
    <row r="49" ht="15" spans="1:12">
      <c r="A49" s="179" t="s">
        <v>85</v>
      </c>
      <c r="B49" s="9"/>
      <c r="C49" s="10"/>
      <c r="D49" s="10"/>
      <c r="E49" s="188"/>
      <c r="F49" s="187"/>
      <c r="G49" s="10">
        <v>1</v>
      </c>
      <c r="H49" s="183" t="s">
        <v>216</v>
      </c>
      <c r="I49" s="13" t="s">
        <v>217</v>
      </c>
      <c r="J49" s="14" t="s">
        <v>217</v>
      </c>
      <c r="K49" s="11"/>
      <c r="L49" s="22"/>
    </row>
    <row r="50" ht="30" spans="1:12">
      <c r="A50" s="184"/>
      <c r="B50" s="9"/>
      <c r="C50" s="10"/>
      <c r="D50" s="10"/>
      <c r="E50" s="188"/>
      <c r="F50" s="187"/>
      <c r="G50" s="10">
        <v>2</v>
      </c>
      <c r="H50" s="183" t="s">
        <v>218</v>
      </c>
      <c r="I50" s="13" t="s">
        <v>219</v>
      </c>
      <c r="J50" s="14">
        <v>1</v>
      </c>
      <c r="K50" s="11"/>
      <c r="L50" s="22">
        <v>5</v>
      </c>
    </row>
    <row r="51" ht="15" spans="1:12">
      <c r="A51" s="184"/>
      <c r="B51" s="9"/>
      <c r="C51" s="10"/>
      <c r="D51" s="10"/>
      <c r="E51" s="188"/>
      <c r="F51" s="187"/>
      <c r="G51" s="10">
        <v>3</v>
      </c>
      <c r="H51" s="183" t="s">
        <v>220</v>
      </c>
      <c r="I51" s="13" t="s">
        <v>221</v>
      </c>
      <c r="J51" s="14">
        <v>1</v>
      </c>
      <c r="K51" s="11"/>
      <c r="L51" s="22">
        <v>3</v>
      </c>
    </row>
    <row r="52" ht="15" spans="1:12">
      <c r="A52" s="184"/>
      <c r="B52" s="9"/>
      <c r="C52" s="10"/>
      <c r="D52" s="10"/>
      <c r="E52" s="188"/>
      <c r="F52" s="187"/>
      <c r="G52" s="10">
        <v>4</v>
      </c>
      <c r="H52" s="183" t="s">
        <v>222</v>
      </c>
      <c r="I52" s="13" t="s">
        <v>223</v>
      </c>
      <c r="J52" s="14">
        <v>1</v>
      </c>
      <c r="K52" s="11"/>
      <c r="L52" s="22">
        <v>5</v>
      </c>
    </row>
    <row r="53" ht="15" spans="1:12">
      <c r="A53" s="184"/>
      <c r="B53" s="9"/>
      <c r="C53" s="10"/>
      <c r="D53" s="10"/>
      <c r="E53" s="188"/>
      <c r="F53" s="187"/>
      <c r="G53" s="10">
        <v>5</v>
      </c>
      <c r="H53" s="183" t="s">
        <v>224</v>
      </c>
      <c r="I53" s="13" t="s">
        <v>58</v>
      </c>
      <c r="J53" s="14"/>
      <c r="K53" s="11"/>
      <c r="L53" s="22">
        <v>2</v>
      </c>
    </row>
    <row r="54" ht="15" spans="1:12">
      <c r="A54" s="184"/>
      <c r="B54" s="9"/>
      <c r="C54" s="10"/>
      <c r="D54" s="10"/>
      <c r="E54" s="16" t="s">
        <v>153</v>
      </c>
      <c r="F54" s="16"/>
      <c r="G54" s="16"/>
      <c r="H54" s="16"/>
      <c r="I54" s="16"/>
      <c r="J54" s="17"/>
      <c r="K54" s="18"/>
      <c r="L54" s="19">
        <f>SUM(L49:L53)</f>
        <v>15</v>
      </c>
    </row>
    <row r="55" ht="15.6" spans="1:12">
      <c r="A55" s="184"/>
      <c r="B55" s="9"/>
      <c r="C55" s="10"/>
      <c r="D55" s="10"/>
      <c r="E55" s="11" t="s">
        <v>154</v>
      </c>
      <c r="F55" s="11"/>
      <c r="G55" s="11"/>
      <c r="H55" s="20"/>
      <c r="I55" s="10"/>
      <c r="J55" s="21"/>
      <c r="K55" s="11"/>
      <c r="L55" s="22"/>
    </row>
    <row r="56" ht="15" spans="1:12">
      <c r="A56" s="193"/>
      <c r="B56" s="9"/>
      <c r="C56" s="10"/>
      <c r="D56" s="10"/>
      <c r="E56" s="11"/>
      <c r="F56" s="11"/>
      <c r="G56" s="11"/>
      <c r="H56" s="12"/>
      <c r="I56" s="11"/>
      <c r="J56" s="21"/>
      <c r="K56" s="11"/>
      <c r="L56" s="22"/>
    </row>
  </sheetData>
  <mergeCells count="63">
    <mergeCell ref="E6:H6"/>
    <mergeCell ref="E10:H10"/>
    <mergeCell ref="E20:H20"/>
    <mergeCell ref="E30:H30"/>
    <mergeCell ref="E38:H38"/>
    <mergeCell ref="E46:H46"/>
    <mergeCell ref="E54:H54"/>
    <mergeCell ref="A2:A8"/>
    <mergeCell ref="A9:A12"/>
    <mergeCell ref="A13:A22"/>
    <mergeCell ref="A23:A32"/>
    <mergeCell ref="A33:A40"/>
    <mergeCell ref="A41:A48"/>
    <mergeCell ref="A49:A56"/>
    <mergeCell ref="B2:B8"/>
    <mergeCell ref="B9:B12"/>
    <mergeCell ref="B13:B22"/>
    <mergeCell ref="B23:B32"/>
    <mergeCell ref="B33:B40"/>
    <mergeCell ref="B41:B48"/>
    <mergeCell ref="B49:B56"/>
    <mergeCell ref="C2:C8"/>
    <mergeCell ref="C9:C12"/>
    <mergeCell ref="C13:C22"/>
    <mergeCell ref="C23:C32"/>
    <mergeCell ref="C33:C40"/>
    <mergeCell ref="C41:C48"/>
    <mergeCell ref="C49:C56"/>
    <mergeCell ref="D2:D8"/>
    <mergeCell ref="D9:D12"/>
    <mergeCell ref="D13:D22"/>
    <mergeCell ref="D23:D32"/>
    <mergeCell ref="D33:D40"/>
    <mergeCell ref="D41:D48"/>
    <mergeCell ref="D49:D56"/>
    <mergeCell ref="E2:E5"/>
    <mergeCell ref="E7:E8"/>
    <mergeCell ref="E11:E12"/>
    <mergeCell ref="E13:E19"/>
    <mergeCell ref="E21:E22"/>
    <mergeCell ref="E23:E29"/>
    <mergeCell ref="E31:E32"/>
    <mergeCell ref="E33:E36"/>
    <mergeCell ref="E39:E40"/>
    <mergeCell ref="E41:E45"/>
    <mergeCell ref="E47:E48"/>
    <mergeCell ref="E49:E53"/>
    <mergeCell ref="E55:E56"/>
    <mergeCell ref="F2:F5"/>
    <mergeCell ref="F7:F8"/>
    <mergeCell ref="F11:F12"/>
    <mergeCell ref="F13:F19"/>
    <mergeCell ref="F21:F22"/>
    <mergeCell ref="F23:F29"/>
    <mergeCell ref="F31:F32"/>
    <mergeCell ref="F33:F36"/>
    <mergeCell ref="F39:F40"/>
    <mergeCell ref="F41:F45"/>
    <mergeCell ref="F47:F48"/>
    <mergeCell ref="F49:F53"/>
    <mergeCell ref="F55:F56"/>
    <mergeCell ref="G41:G42"/>
    <mergeCell ref="I41:I42"/>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20"/>
  <sheetViews>
    <sheetView workbookViewId="0">
      <pane ySplit="1" topLeftCell="A2" activePane="bottomLeft" state="frozen"/>
      <selection/>
      <selection pane="bottomLeft" activeCell="A16" sqref="A16:A20"/>
    </sheetView>
  </sheetViews>
  <sheetFormatPr defaultColWidth="9.13888888888889" defaultRowHeight="13.2"/>
  <cols>
    <col min="1" max="1" width="22.4259259259259" style="1" customWidth="1"/>
    <col min="2" max="2" width="11.712962962963" style="1" customWidth="1"/>
    <col min="3" max="7" width="9.13888888888889" style="1"/>
    <col min="8" max="8" width="59.712962962963" style="1" customWidth="1"/>
    <col min="9" max="11" width="9.13888888888889" style="1"/>
    <col min="12" max="12" width="19.5740740740741" style="2" customWidth="1"/>
    <col min="13" max="16384" width="9.13888888888889" style="1"/>
  </cols>
  <sheetData>
    <row r="1" ht="69.6" spans="1:26">
      <c r="A1" s="3" t="s">
        <v>126</v>
      </c>
      <c r="B1" s="4" t="s">
        <v>6</v>
      </c>
      <c r="C1" s="3" t="s">
        <v>127</v>
      </c>
      <c r="D1" s="3" t="s">
        <v>128</v>
      </c>
      <c r="E1" s="4" t="s">
        <v>129</v>
      </c>
      <c r="F1" s="3" t="s">
        <v>130</v>
      </c>
      <c r="G1" s="3" t="s">
        <v>1</v>
      </c>
      <c r="H1" s="5" t="s">
        <v>131</v>
      </c>
      <c r="I1" s="3" t="s">
        <v>132</v>
      </c>
      <c r="J1" s="6" t="s">
        <v>133</v>
      </c>
      <c r="K1" s="3" t="s">
        <v>134</v>
      </c>
      <c r="L1" s="7" t="s">
        <v>135</v>
      </c>
      <c r="M1" s="8"/>
      <c r="N1" s="8"/>
      <c r="O1" s="8"/>
      <c r="P1" s="8"/>
      <c r="Q1" s="8"/>
      <c r="R1" s="8"/>
      <c r="S1" s="8"/>
      <c r="T1" s="8"/>
      <c r="U1" s="8"/>
      <c r="V1" s="8"/>
      <c r="W1" s="8"/>
      <c r="X1" s="8"/>
      <c r="Y1" s="8"/>
      <c r="Z1" s="8"/>
    </row>
    <row r="2" ht="30" customHeight="1" spans="1:26">
      <c r="A2" s="3" t="s">
        <v>225</v>
      </c>
      <c r="B2" s="9" t="s">
        <v>56</v>
      </c>
      <c r="C2" s="14">
        <v>1</v>
      </c>
      <c r="D2" s="10"/>
      <c r="E2" s="11" t="s">
        <v>138</v>
      </c>
      <c r="F2" s="10" t="s">
        <v>169</v>
      </c>
      <c r="G2" s="10">
        <v>1</v>
      </c>
      <c r="H2" s="12" t="s">
        <v>226</v>
      </c>
      <c r="I2" s="13" t="s">
        <v>227</v>
      </c>
      <c r="J2" s="14">
        <v>0.9</v>
      </c>
      <c r="K2" s="11"/>
      <c r="L2" s="9">
        <v>8.5</v>
      </c>
    </row>
    <row r="3" ht="27" customHeight="1" spans="1:26">
      <c r="A3" s="3"/>
      <c r="B3" s="9"/>
      <c r="C3" s="10"/>
      <c r="D3" s="10"/>
      <c r="E3" s="16" t="s">
        <v>153</v>
      </c>
      <c r="F3" s="16"/>
      <c r="G3" s="16"/>
      <c r="H3" s="16"/>
      <c r="I3" s="16"/>
      <c r="J3" s="17"/>
      <c r="K3" s="18"/>
      <c r="L3" s="19">
        <f>SUM(L2)</f>
        <v>8.5</v>
      </c>
    </row>
    <row r="4" ht="46" customHeight="1" spans="1:26">
      <c r="A4" s="3"/>
      <c r="B4" s="9"/>
      <c r="C4" s="10"/>
      <c r="D4" s="10"/>
      <c r="E4" s="11" t="s">
        <v>154</v>
      </c>
      <c r="F4" s="11" t="s">
        <v>169</v>
      </c>
      <c r="G4" s="11">
        <v>1</v>
      </c>
      <c r="H4" s="20" t="s">
        <v>228</v>
      </c>
      <c r="I4" s="10" t="s">
        <v>227</v>
      </c>
      <c r="J4" s="21"/>
      <c r="K4" s="11"/>
      <c r="L4" s="22"/>
    </row>
    <row r="5" ht="15" spans="1:26">
      <c r="A5" s="179" t="s">
        <v>229</v>
      </c>
      <c r="B5" s="180" t="s">
        <v>58</v>
      </c>
      <c r="C5" s="181">
        <v>0.85</v>
      </c>
      <c r="D5" s="141"/>
      <c r="E5" s="182" t="s">
        <v>138</v>
      </c>
      <c r="F5" s="141" t="s">
        <v>35</v>
      </c>
      <c r="G5" s="10">
        <v>1</v>
      </c>
      <c r="H5" s="183" t="s">
        <v>230</v>
      </c>
      <c r="I5" s="13" t="s">
        <v>231</v>
      </c>
      <c r="J5" s="14">
        <v>0.95</v>
      </c>
      <c r="K5" s="11"/>
      <c r="L5" s="22">
        <v>4</v>
      </c>
    </row>
    <row r="6" ht="15" spans="1:26">
      <c r="A6" s="184"/>
      <c r="B6" s="185"/>
      <c r="C6" s="186"/>
      <c r="D6" s="187"/>
      <c r="E6" s="188"/>
      <c r="F6" s="187"/>
      <c r="G6" s="10">
        <v>2</v>
      </c>
      <c r="H6" s="183" t="s">
        <v>232</v>
      </c>
      <c r="I6" s="13" t="s">
        <v>233</v>
      </c>
      <c r="J6" s="14">
        <v>0.9</v>
      </c>
      <c r="K6" s="11"/>
      <c r="L6" s="22">
        <v>5</v>
      </c>
    </row>
    <row r="7" ht="15" spans="1:26">
      <c r="A7" s="184"/>
      <c r="B7" s="185"/>
      <c r="C7" s="186"/>
      <c r="D7" s="187"/>
      <c r="E7" s="188"/>
      <c r="F7" s="187"/>
      <c r="G7" s="10">
        <v>3</v>
      </c>
      <c r="H7" s="183" t="s">
        <v>234</v>
      </c>
      <c r="I7" s="13" t="s">
        <v>235</v>
      </c>
      <c r="J7" s="14">
        <v>1</v>
      </c>
      <c r="K7" s="11"/>
      <c r="L7" s="22">
        <v>1</v>
      </c>
    </row>
    <row r="8" ht="15" spans="1:26">
      <c r="A8" s="184"/>
      <c r="B8" s="185"/>
      <c r="C8" s="186"/>
      <c r="D8" s="187"/>
      <c r="E8" s="188"/>
      <c r="F8" s="187"/>
      <c r="G8" s="10">
        <v>4</v>
      </c>
      <c r="H8" s="183" t="s">
        <v>236</v>
      </c>
      <c r="I8" s="13" t="s">
        <v>235</v>
      </c>
      <c r="J8" s="14">
        <v>0.85</v>
      </c>
      <c r="K8" s="11"/>
      <c r="L8" s="22">
        <v>4</v>
      </c>
    </row>
    <row r="9" ht="15" spans="1:26">
      <c r="A9" s="184"/>
      <c r="B9" s="185"/>
      <c r="C9" s="186"/>
      <c r="D9" s="187"/>
      <c r="E9" s="188"/>
      <c r="F9" s="187"/>
      <c r="G9" s="10">
        <v>5</v>
      </c>
      <c r="H9" s="183" t="s">
        <v>237</v>
      </c>
      <c r="I9" s="13" t="s">
        <v>238</v>
      </c>
      <c r="J9" s="14">
        <v>1</v>
      </c>
      <c r="K9" s="11"/>
      <c r="L9" s="22">
        <v>3.5</v>
      </c>
    </row>
    <row r="10" ht="15" spans="1:26">
      <c r="A10" s="184"/>
      <c r="B10" s="185"/>
      <c r="C10" s="186"/>
      <c r="D10" s="187"/>
      <c r="E10" s="189"/>
      <c r="F10" s="126"/>
      <c r="G10" s="10">
        <v>6</v>
      </c>
      <c r="H10" s="183" t="s">
        <v>239</v>
      </c>
      <c r="I10" s="13" t="s">
        <v>240</v>
      </c>
      <c r="J10" s="14">
        <v>0.95</v>
      </c>
      <c r="K10" s="11"/>
      <c r="L10" s="22">
        <v>5</v>
      </c>
    </row>
    <row r="11" ht="15" spans="1:26">
      <c r="A11" s="184"/>
      <c r="B11" s="185"/>
      <c r="C11" s="186"/>
      <c r="D11" s="187"/>
      <c r="E11" s="16" t="s">
        <v>153</v>
      </c>
      <c r="F11" s="16"/>
      <c r="G11" s="16"/>
      <c r="H11" s="16"/>
      <c r="I11" s="16"/>
      <c r="J11" s="17"/>
      <c r="K11" s="18"/>
      <c r="L11" s="19">
        <f>SUM(L5:L10)</f>
        <v>22.5</v>
      </c>
    </row>
    <row r="12" ht="18" customHeight="1" spans="1:26">
      <c r="A12" s="184"/>
      <c r="B12" s="185"/>
      <c r="C12" s="186"/>
      <c r="D12" s="187"/>
      <c r="E12" s="182" t="s">
        <v>154</v>
      </c>
      <c r="F12" s="141" t="s">
        <v>35</v>
      </c>
      <c r="G12" s="10">
        <v>1</v>
      </c>
      <c r="H12" s="183" t="s">
        <v>241</v>
      </c>
      <c r="I12" s="13" t="s">
        <v>231</v>
      </c>
      <c r="J12" s="190"/>
      <c r="K12" s="11"/>
      <c r="L12" s="22"/>
    </row>
    <row r="13" ht="18" customHeight="1" spans="1:26">
      <c r="A13" s="184"/>
      <c r="B13" s="185"/>
      <c r="C13" s="186"/>
      <c r="D13" s="187"/>
      <c r="E13" s="188"/>
      <c r="F13" s="187"/>
      <c r="G13" s="10">
        <v>2</v>
      </c>
      <c r="H13" s="183" t="s">
        <v>232</v>
      </c>
      <c r="I13" s="13" t="s">
        <v>233</v>
      </c>
      <c r="J13" s="190"/>
      <c r="K13" s="11"/>
      <c r="L13" s="22"/>
    </row>
    <row r="14" ht="18" customHeight="1" spans="1:26">
      <c r="A14" s="184"/>
      <c r="B14" s="185"/>
      <c r="C14" s="186"/>
      <c r="D14" s="187"/>
      <c r="E14" s="188"/>
      <c r="F14" s="187"/>
      <c r="G14" s="10">
        <v>3</v>
      </c>
      <c r="H14" s="183" t="s">
        <v>242</v>
      </c>
      <c r="I14" s="13" t="s">
        <v>235</v>
      </c>
      <c r="J14" s="190"/>
      <c r="K14" s="11"/>
      <c r="L14" s="22"/>
    </row>
    <row r="15" ht="15" spans="1:26">
      <c r="A15" s="184"/>
      <c r="B15" s="185"/>
      <c r="C15" s="186"/>
      <c r="D15" s="187"/>
      <c r="E15" s="188"/>
      <c r="F15" s="187"/>
      <c r="G15" s="10">
        <v>4</v>
      </c>
      <c r="H15" s="183" t="s">
        <v>243</v>
      </c>
      <c r="I15" s="13" t="s">
        <v>240</v>
      </c>
      <c r="J15" s="14"/>
      <c r="K15" s="11"/>
      <c r="L15" s="22"/>
    </row>
    <row r="16" ht="15" spans="1:26">
      <c r="A16" s="3" t="s">
        <v>244</v>
      </c>
      <c r="B16" s="9" t="s">
        <v>62</v>
      </c>
      <c r="C16" s="10"/>
      <c r="D16" s="10"/>
      <c r="E16" s="11" t="s">
        <v>138</v>
      </c>
      <c r="F16" s="10" t="s">
        <v>53</v>
      </c>
      <c r="G16" s="10">
        <v>1</v>
      </c>
      <c r="H16" s="183" t="s">
        <v>245</v>
      </c>
      <c r="I16" s="13" t="s">
        <v>56</v>
      </c>
      <c r="J16" s="14">
        <v>0.95</v>
      </c>
      <c r="K16" s="11"/>
      <c r="L16" s="22">
        <v>4</v>
      </c>
    </row>
    <row r="17" ht="30" spans="1:12">
      <c r="A17" s="3"/>
      <c r="B17" s="9"/>
      <c r="C17" s="10"/>
      <c r="D17" s="10"/>
      <c r="E17" s="11"/>
      <c r="F17" s="10"/>
      <c r="G17" s="10">
        <v>2</v>
      </c>
      <c r="H17" s="12" t="s">
        <v>246</v>
      </c>
      <c r="I17" s="13" t="s">
        <v>247</v>
      </c>
      <c r="J17" s="14">
        <v>0.9</v>
      </c>
      <c r="K17" s="11"/>
      <c r="L17" s="22">
        <v>4</v>
      </c>
    </row>
    <row r="18" ht="15" spans="1:12">
      <c r="A18" s="3"/>
      <c r="B18" s="9"/>
      <c r="C18" s="10"/>
      <c r="D18" s="10"/>
      <c r="E18" s="16" t="s">
        <v>153</v>
      </c>
      <c r="F18" s="16"/>
      <c r="G18" s="16"/>
      <c r="H18" s="16"/>
      <c r="I18" s="16"/>
      <c r="J18" s="17"/>
      <c r="K18" s="18"/>
      <c r="L18" s="19">
        <f>SUM(L16:L17)</f>
        <v>8</v>
      </c>
    </row>
    <row r="19" ht="15" spans="1:12">
      <c r="A19" s="3"/>
      <c r="B19" s="9"/>
      <c r="C19" s="10"/>
      <c r="D19" s="10"/>
      <c r="E19" s="11" t="s">
        <v>154</v>
      </c>
      <c r="F19" s="11" t="s">
        <v>53</v>
      </c>
      <c r="G19" s="10">
        <v>1</v>
      </c>
      <c r="H19" s="183" t="s">
        <v>248</v>
      </c>
      <c r="I19" s="13" t="s">
        <v>56</v>
      </c>
      <c r="J19" s="21"/>
      <c r="K19" s="11"/>
      <c r="L19" s="22"/>
    </row>
    <row r="20" ht="31" customHeight="1" spans="1:12">
      <c r="A20" s="3"/>
      <c r="B20" s="9"/>
      <c r="C20" s="10"/>
      <c r="D20" s="10"/>
      <c r="E20" s="11"/>
      <c r="F20" s="11"/>
      <c r="G20" s="10">
        <v>2</v>
      </c>
      <c r="H20" s="12" t="s">
        <v>249</v>
      </c>
      <c r="I20" s="13" t="s">
        <v>247</v>
      </c>
      <c r="J20" s="21"/>
      <c r="K20" s="11"/>
      <c r="L20" s="22"/>
    </row>
  </sheetData>
  <mergeCells count="23">
    <mergeCell ref="E3:H3"/>
    <mergeCell ref="E11:H11"/>
    <mergeCell ref="E18:H18"/>
    <mergeCell ref="A2:A4"/>
    <mergeCell ref="A5:A15"/>
    <mergeCell ref="A16:A20"/>
    <mergeCell ref="B2:B4"/>
    <mergeCell ref="B5:B15"/>
    <mergeCell ref="B16:B20"/>
    <mergeCell ref="C2:C4"/>
    <mergeCell ref="C5:C15"/>
    <mergeCell ref="C16:C20"/>
    <mergeCell ref="D2:D4"/>
    <mergeCell ref="D5:D15"/>
    <mergeCell ref="D16:D20"/>
    <mergeCell ref="E5:E10"/>
    <mergeCell ref="E12:E15"/>
    <mergeCell ref="E16:E17"/>
    <mergeCell ref="E19:E20"/>
    <mergeCell ref="F5:F10"/>
    <mergeCell ref="F12:F15"/>
    <mergeCell ref="F16:F17"/>
    <mergeCell ref="F19:F20"/>
  </mergeCell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29"/>
  <sheetViews>
    <sheetView workbookViewId="0">
      <pane ySplit="1" topLeftCell="A2" activePane="bottomLeft" state="frozen"/>
      <selection/>
      <selection pane="bottomLeft" activeCell="A24" sqref="A24:A29"/>
    </sheetView>
  </sheetViews>
  <sheetFormatPr defaultColWidth="9.13888888888889" defaultRowHeight="13.2"/>
  <cols>
    <col min="1" max="1" width="22.4259259259259" style="1" customWidth="1"/>
    <col min="2" max="2" width="11.712962962963" style="1" customWidth="1"/>
    <col min="3" max="7" width="9.13888888888889" style="1"/>
    <col min="8" max="8" width="59.712962962963" style="1" customWidth="1"/>
    <col min="9" max="11" width="9.13888888888889" style="1"/>
    <col min="12" max="12" width="19.5740740740741" style="2" customWidth="1"/>
    <col min="13" max="16384" width="9.13888888888889" style="1"/>
  </cols>
  <sheetData>
    <row r="1" ht="51.75" customHeight="1" spans="1:26">
      <c r="A1" s="3" t="s">
        <v>126</v>
      </c>
      <c r="B1" s="4" t="s">
        <v>6</v>
      </c>
      <c r="C1" s="3" t="s">
        <v>127</v>
      </c>
      <c r="D1" s="3" t="s">
        <v>128</v>
      </c>
      <c r="E1" s="4" t="s">
        <v>129</v>
      </c>
      <c r="F1" s="3" t="s">
        <v>130</v>
      </c>
      <c r="G1" s="3" t="s">
        <v>1</v>
      </c>
      <c r="H1" s="5" t="s">
        <v>131</v>
      </c>
      <c r="I1" s="3" t="s">
        <v>132</v>
      </c>
      <c r="J1" s="6" t="s">
        <v>133</v>
      </c>
      <c r="K1" s="3" t="s">
        <v>134</v>
      </c>
      <c r="L1" s="7" t="s">
        <v>135</v>
      </c>
      <c r="M1" s="8"/>
      <c r="N1" s="8"/>
      <c r="O1" s="8"/>
      <c r="P1" s="8"/>
      <c r="Q1" s="8"/>
      <c r="R1" s="8"/>
      <c r="S1" s="8"/>
      <c r="T1" s="8"/>
      <c r="U1" s="8"/>
      <c r="V1" s="8"/>
      <c r="W1" s="8"/>
      <c r="X1" s="8"/>
      <c r="Y1" s="8"/>
      <c r="Z1" s="8"/>
    </row>
    <row r="2" ht="15" spans="1:26">
      <c r="A2" s="122" t="s">
        <v>250</v>
      </c>
      <c r="B2" s="123" t="s">
        <v>66</v>
      </c>
      <c r="C2" s="124"/>
      <c r="D2" s="124"/>
      <c r="E2" s="125" t="s">
        <v>138</v>
      </c>
      <c r="F2" s="124" t="s">
        <v>35</v>
      </c>
      <c r="G2" s="126">
        <v>1</v>
      </c>
      <c r="H2" s="127" t="s">
        <v>251</v>
      </c>
      <c r="I2" s="128" t="s">
        <v>163</v>
      </c>
      <c r="J2" s="129">
        <v>1</v>
      </c>
      <c r="K2" s="124"/>
      <c r="L2" s="130">
        <v>0.5</v>
      </c>
    </row>
    <row r="3" ht="15" spans="1:26">
      <c r="A3" s="131"/>
      <c r="B3" s="132"/>
      <c r="C3" s="133"/>
      <c r="D3" s="133"/>
      <c r="E3" s="134"/>
      <c r="F3" s="133"/>
      <c r="G3" s="10">
        <v>2</v>
      </c>
      <c r="H3" s="135"/>
      <c r="I3" s="136" t="s">
        <v>73</v>
      </c>
      <c r="J3" s="137">
        <v>1</v>
      </c>
      <c r="K3" s="133"/>
      <c r="L3" s="138">
        <v>0.5</v>
      </c>
    </row>
    <row r="4" ht="15" spans="1:26">
      <c r="A4" s="131"/>
      <c r="B4" s="132"/>
      <c r="C4" s="133"/>
      <c r="D4" s="133"/>
      <c r="E4" s="139"/>
      <c r="F4" s="140"/>
      <c r="G4" s="141">
        <v>3</v>
      </c>
      <c r="H4" s="142"/>
      <c r="I4" s="136"/>
      <c r="J4" s="137"/>
      <c r="K4" s="136"/>
      <c r="L4" s="138"/>
    </row>
    <row r="5" ht="15" spans="1:26">
      <c r="A5" s="131"/>
      <c r="B5" s="132"/>
      <c r="C5" s="133"/>
      <c r="D5" s="133"/>
      <c r="E5" s="143" t="s">
        <v>153</v>
      </c>
      <c r="F5" s="144"/>
      <c r="G5" s="144"/>
      <c r="H5" s="145"/>
      <c r="I5" s="146"/>
      <c r="J5" s="147"/>
      <c r="K5" s="148"/>
      <c r="L5" s="149">
        <f>SUM(L2:L4)</f>
        <v>1</v>
      </c>
    </row>
    <row r="6" ht="15.6" spans="1:26">
      <c r="A6" s="131"/>
      <c r="B6" s="132"/>
      <c r="C6" s="133"/>
      <c r="D6" s="133"/>
      <c r="E6" s="125" t="s">
        <v>154</v>
      </c>
      <c r="F6" s="150" t="s">
        <v>35</v>
      </c>
      <c r="G6" s="126">
        <v>1</v>
      </c>
      <c r="H6" s="151"/>
      <c r="I6" s="133"/>
      <c r="J6" s="152"/>
      <c r="K6" s="134"/>
      <c r="L6" s="138"/>
    </row>
    <row r="7" ht="15.6" spans="1:26">
      <c r="A7" s="131"/>
      <c r="B7" s="132"/>
      <c r="C7" s="133"/>
      <c r="D7" s="133"/>
      <c r="E7" s="134"/>
      <c r="F7" s="153"/>
      <c r="G7" s="10">
        <v>2</v>
      </c>
      <c r="H7" s="154"/>
      <c r="I7" s="134"/>
      <c r="J7" s="152"/>
      <c r="K7" s="134"/>
      <c r="L7" s="138"/>
    </row>
    <row r="8" ht="15" spans="1:26">
      <c r="A8" s="122" t="s">
        <v>252</v>
      </c>
      <c r="B8" s="123" t="s">
        <v>66</v>
      </c>
      <c r="C8" s="124"/>
      <c r="D8" s="124"/>
      <c r="E8" s="125" t="s">
        <v>138</v>
      </c>
      <c r="F8" s="124" t="s">
        <v>35</v>
      </c>
      <c r="G8" s="10">
        <v>1</v>
      </c>
      <c r="H8" s="155" t="s">
        <v>253</v>
      </c>
      <c r="I8" s="156" t="s">
        <v>66</v>
      </c>
      <c r="J8" s="137">
        <v>1</v>
      </c>
      <c r="K8" s="133"/>
      <c r="L8" s="138">
        <v>1.5</v>
      </c>
    </row>
    <row r="9" ht="15" spans="1:26">
      <c r="A9" s="122"/>
      <c r="B9" s="123"/>
      <c r="C9" s="124"/>
      <c r="D9" s="124"/>
      <c r="E9" s="125"/>
      <c r="F9" s="124"/>
      <c r="G9" s="10">
        <v>2</v>
      </c>
      <c r="H9" s="157" t="s">
        <v>254</v>
      </c>
      <c r="I9" s="156" t="s">
        <v>73</v>
      </c>
      <c r="J9" s="137">
        <v>1</v>
      </c>
      <c r="K9" s="133"/>
      <c r="L9" s="138">
        <v>0.8</v>
      </c>
    </row>
    <row r="10" ht="15" spans="1:26">
      <c r="A10" s="122"/>
      <c r="B10" s="123"/>
      <c r="C10" s="124"/>
      <c r="D10" s="124"/>
      <c r="E10" s="125"/>
      <c r="F10" s="124"/>
      <c r="G10" s="10">
        <v>3</v>
      </c>
      <c r="H10" s="158"/>
      <c r="I10" s="156"/>
      <c r="J10" s="137"/>
      <c r="K10" s="133"/>
      <c r="L10" s="138"/>
    </row>
    <row r="11" ht="15" spans="1:26">
      <c r="A11" s="122"/>
      <c r="B11" s="123"/>
      <c r="C11" s="124"/>
      <c r="D11" s="124"/>
      <c r="E11" s="125"/>
      <c r="F11" s="124"/>
      <c r="G11" s="10">
        <v>4</v>
      </c>
      <c r="H11" s="155"/>
      <c r="I11" s="156"/>
      <c r="J11" s="137"/>
      <c r="K11" s="133"/>
      <c r="L11" s="138"/>
    </row>
    <row r="12" ht="15" spans="1:26">
      <c r="A12" s="122"/>
      <c r="B12" s="123"/>
      <c r="C12" s="124"/>
      <c r="D12" s="124"/>
      <c r="E12" s="125"/>
      <c r="F12" s="124"/>
      <c r="G12" s="10">
        <v>5</v>
      </c>
      <c r="H12" s="159"/>
      <c r="I12" s="156"/>
      <c r="J12" s="137"/>
      <c r="K12" s="133"/>
      <c r="L12" s="138"/>
    </row>
    <row r="13" ht="15" spans="1:26">
      <c r="A13" s="122"/>
      <c r="B13" s="123"/>
      <c r="C13" s="124"/>
      <c r="D13" s="124"/>
      <c r="E13" s="160" t="s">
        <v>153</v>
      </c>
      <c r="F13" s="160"/>
      <c r="G13" s="160"/>
      <c r="H13" s="160"/>
      <c r="I13" s="160"/>
      <c r="J13" s="147"/>
      <c r="K13" s="148"/>
      <c r="L13" s="149">
        <f>SUM(L8:L12)</f>
        <v>2.3</v>
      </c>
    </row>
    <row r="14" ht="15" spans="1:26">
      <c r="A14" s="122"/>
      <c r="B14" s="123"/>
      <c r="C14" s="124"/>
      <c r="D14" s="124"/>
      <c r="E14" s="134" t="s">
        <v>154</v>
      </c>
      <c r="F14" s="134" t="s">
        <v>35</v>
      </c>
      <c r="G14" s="10">
        <v>1</v>
      </c>
      <c r="H14" s="161"/>
      <c r="I14" s="156"/>
      <c r="J14" s="162"/>
      <c r="K14" s="134"/>
      <c r="L14" s="138"/>
    </row>
    <row r="15" ht="15" spans="1:26">
      <c r="A15" s="122"/>
      <c r="B15" s="123"/>
      <c r="C15" s="124"/>
      <c r="D15" s="124"/>
      <c r="E15" s="134"/>
      <c r="F15" s="134"/>
      <c r="G15" s="10">
        <v>2</v>
      </c>
      <c r="H15" s="161"/>
      <c r="I15" s="156"/>
      <c r="J15" s="162"/>
      <c r="K15" s="134"/>
      <c r="L15" s="138"/>
    </row>
    <row r="16" ht="15" spans="1:26">
      <c r="A16" s="131" t="s">
        <v>255</v>
      </c>
      <c r="B16" s="132" t="s">
        <v>66</v>
      </c>
      <c r="C16" s="133"/>
      <c r="D16" s="133"/>
      <c r="E16" s="139" t="s">
        <v>138</v>
      </c>
      <c r="F16" s="140" t="s">
        <v>35</v>
      </c>
      <c r="G16" s="10">
        <v>1</v>
      </c>
      <c r="H16" s="163" t="s">
        <v>256</v>
      </c>
      <c r="I16" s="156" t="s">
        <v>257</v>
      </c>
      <c r="J16" s="137">
        <v>0.5</v>
      </c>
      <c r="K16" s="133"/>
      <c r="L16" s="138">
        <v>3</v>
      </c>
    </row>
    <row r="17" ht="15" spans="1:12">
      <c r="A17" s="131"/>
      <c r="B17" s="132"/>
      <c r="C17" s="133"/>
      <c r="D17" s="133"/>
      <c r="E17" s="139"/>
      <c r="F17" s="140"/>
      <c r="G17" s="10">
        <v>2</v>
      </c>
      <c r="H17" s="38"/>
      <c r="I17" s="156" t="s">
        <v>163</v>
      </c>
      <c r="J17" s="137">
        <v>0.5</v>
      </c>
      <c r="K17" s="133"/>
      <c r="L17" s="138">
        <v>3</v>
      </c>
    </row>
    <row r="18" ht="15" spans="1:12">
      <c r="A18" s="131"/>
      <c r="B18" s="132"/>
      <c r="C18" s="133"/>
      <c r="D18" s="133"/>
      <c r="E18" s="139"/>
      <c r="F18" s="140"/>
      <c r="G18" s="10">
        <v>3</v>
      </c>
      <c r="H18" s="164" t="s">
        <v>258</v>
      </c>
      <c r="I18" s="156" t="s">
        <v>66</v>
      </c>
      <c r="J18" s="137">
        <v>1</v>
      </c>
      <c r="K18" s="133"/>
      <c r="L18" s="138">
        <v>0.5</v>
      </c>
    </row>
    <row r="19" ht="15" spans="1:12">
      <c r="A19" s="131"/>
      <c r="B19" s="132"/>
      <c r="C19" s="133"/>
      <c r="D19" s="133"/>
      <c r="E19" s="139"/>
      <c r="F19" s="140"/>
      <c r="G19" s="10">
        <v>4</v>
      </c>
      <c r="H19" s="63" t="s">
        <v>259</v>
      </c>
      <c r="I19" s="156" t="s">
        <v>66</v>
      </c>
      <c r="J19" s="137">
        <v>0.5</v>
      </c>
      <c r="K19" s="133"/>
      <c r="L19" s="138">
        <v>2.5</v>
      </c>
    </row>
    <row r="20" ht="36" customHeight="1" spans="1:12">
      <c r="A20" s="131"/>
      <c r="B20" s="132"/>
      <c r="C20" s="133"/>
      <c r="D20" s="133"/>
      <c r="E20" s="139"/>
      <c r="F20" s="140"/>
      <c r="G20" s="10">
        <v>5</v>
      </c>
      <c r="H20" s="164"/>
      <c r="I20" s="156" t="s">
        <v>260</v>
      </c>
      <c r="J20" s="137">
        <v>0.5</v>
      </c>
      <c r="K20" s="133"/>
      <c r="L20" s="138">
        <v>5</v>
      </c>
    </row>
    <row r="21" ht="15" spans="1:12">
      <c r="A21" s="131"/>
      <c r="B21" s="132"/>
      <c r="C21" s="133"/>
      <c r="D21" s="133"/>
      <c r="E21" s="160" t="s">
        <v>153</v>
      </c>
      <c r="F21" s="160"/>
      <c r="G21" s="160"/>
      <c r="H21" s="160"/>
      <c r="I21" s="160"/>
      <c r="J21" s="147"/>
      <c r="K21" s="148"/>
      <c r="L21" s="149">
        <f>SUM(L16:L20)</f>
        <v>14</v>
      </c>
    </row>
    <row r="22" ht="15" spans="1:12">
      <c r="A22" s="131"/>
      <c r="B22" s="132"/>
      <c r="C22" s="133"/>
      <c r="D22" s="133"/>
      <c r="E22" s="134" t="s">
        <v>154</v>
      </c>
      <c r="F22" s="134" t="s">
        <v>35</v>
      </c>
      <c r="G22" s="10">
        <v>1</v>
      </c>
      <c r="H22" s="161"/>
      <c r="I22" s="156"/>
      <c r="J22" s="162"/>
      <c r="K22" s="134"/>
      <c r="L22" s="138"/>
    </row>
    <row r="23" ht="15" spans="1:12">
      <c r="A23" s="131"/>
      <c r="B23" s="132"/>
      <c r="C23" s="133"/>
      <c r="D23" s="133"/>
      <c r="E23" s="134"/>
      <c r="F23" s="134"/>
      <c r="G23" s="10">
        <v>2</v>
      </c>
      <c r="H23" s="165"/>
      <c r="I23" s="156"/>
      <c r="J23" s="162"/>
      <c r="K23" s="134"/>
      <c r="L23" s="138"/>
    </row>
    <row r="24" ht="15" spans="1:12">
      <c r="A24" s="166" t="s">
        <v>261</v>
      </c>
      <c r="B24" s="167" t="s">
        <v>73</v>
      </c>
      <c r="C24" s="168"/>
      <c r="D24" s="168"/>
      <c r="E24" s="169" t="s">
        <v>138</v>
      </c>
      <c r="F24" s="168" t="s">
        <v>35</v>
      </c>
      <c r="G24" s="10">
        <v>1</v>
      </c>
      <c r="H24" s="170" t="s">
        <v>262</v>
      </c>
      <c r="I24" s="156" t="s">
        <v>66</v>
      </c>
      <c r="J24" s="59">
        <v>1</v>
      </c>
      <c r="K24" s="171"/>
      <c r="L24" s="61">
        <v>0.5</v>
      </c>
    </row>
    <row r="25" ht="15" spans="1:12">
      <c r="A25" s="166"/>
      <c r="B25" s="167"/>
      <c r="C25" s="168"/>
      <c r="D25" s="168"/>
      <c r="E25" s="169"/>
      <c r="F25" s="168"/>
      <c r="G25" s="10">
        <v>2</v>
      </c>
      <c r="H25" s="172"/>
      <c r="I25" s="156" t="s">
        <v>163</v>
      </c>
      <c r="J25" s="59">
        <v>1</v>
      </c>
      <c r="K25" s="171"/>
      <c r="L25" s="61">
        <v>0.5</v>
      </c>
    </row>
    <row r="26" ht="15" spans="1:12">
      <c r="A26" s="166"/>
      <c r="B26" s="167"/>
      <c r="C26" s="168"/>
      <c r="D26" s="168"/>
      <c r="E26" s="169"/>
      <c r="F26" s="168"/>
      <c r="G26" s="10">
        <v>3</v>
      </c>
      <c r="H26" s="173"/>
      <c r="I26" s="156" t="s">
        <v>73</v>
      </c>
      <c r="J26" s="59">
        <v>1</v>
      </c>
      <c r="K26" s="171"/>
      <c r="L26" s="61">
        <v>1.3</v>
      </c>
    </row>
    <row r="27" ht="15" spans="1:12">
      <c r="A27" s="166"/>
      <c r="B27" s="167"/>
      <c r="C27" s="168"/>
      <c r="D27" s="168"/>
      <c r="E27" s="174" t="s">
        <v>153</v>
      </c>
      <c r="F27" s="144"/>
      <c r="G27" s="144"/>
      <c r="H27" s="175"/>
      <c r="I27" s="17"/>
      <c r="J27" s="17"/>
      <c r="K27" s="176"/>
      <c r="L27" s="19">
        <f>SUM(L24:L26)</f>
        <v>2.3</v>
      </c>
    </row>
    <row r="28" ht="15" spans="1:12">
      <c r="A28" s="166"/>
      <c r="B28" s="167"/>
      <c r="C28" s="168"/>
      <c r="D28" s="168"/>
      <c r="E28" s="169" t="s">
        <v>154</v>
      </c>
      <c r="F28" s="169" t="s">
        <v>35</v>
      </c>
      <c r="G28" s="10">
        <v>1</v>
      </c>
      <c r="H28" s="177"/>
      <c r="I28" s="156"/>
      <c r="J28" s="59"/>
      <c r="K28" s="169"/>
      <c r="L28" s="61"/>
    </row>
    <row r="29" ht="15" spans="1:12">
      <c r="A29" s="166"/>
      <c r="B29" s="167"/>
      <c r="C29" s="168"/>
      <c r="D29" s="168"/>
      <c r="E29" s="169"/>
      <c r="F29" s="169"/>
      <c r="G29" s="10">
        <v>2</v>
      </c>
      <c r="H29" s="178"/>
      <c r="I29" s="156"/>
      <c r="J29" s="59"/>
      <c r="K29" s="169"/>
      <c r="L29" s="61"/>
    </row>
  </sheetData>
  <mergeCells count="40">
    <mergeCell ref="E5:H5"/>
    <mergeCell ref="E13:H13"/>
    <mergeCell ref="E21:H21"/>
    <mergeCell ref="E27:H27"/>
    <mergeCell ref="A2:A7"/>
    <mergeCell ref="A8:A15"/>
    <mergeCell ref="A16:A23"/>
    <mergeCell ref="A24:A29"/>
    <mergeCell ref="B2:B7"/>
    <mergeCell ref="B8:B15"/>
    <mergeCell ref="B16:B23"/>
    <mergeCell ref="B24:B29"/>
    <mergeCell ref="C2:C7"/>
    <mergeCell ref="C8:C15"/>
    <mergeCell ref="C16:C23"/>
    <mergeCell ref="C24:C29"/>
    <mergeCell ref="D2:D7"/>
    <mergeCell ref="D8:D15"/>
    <mergeCell ref="D16:D23"/>
    <mergeCell ref="D24:D29"/>
    <mergeCell ref="E2:E4"/>
    <mergeCell ref="E6:E7"/>
    <mergeCell ref="E8:E12"/>
    <mergeCell ref="E14:E15"/>
    <mergeCell ref="E16:E20"/>
    <mergeCell ref="E22:E23"/>
    <mergeCell ref="E24:E26"/>
    <mergeCell ref="E28:E29"/>
    <mergeCell ref="F2:F4"/>
    <mergeCell ref="F6:F7"/>
    <mergeCell ref="F8:F12"/>
    <mergeCell ref="F14:F15"/>
    <mergeCell ref="F16:F20"/>
    <mergeCell ref="F22:F23"/>
    <mergeCell ref="F24:F26"/>
    <mergeCell ref="F28:F29"/>
    <mergeCell ref="H2:H3"/>
    <mergeCell ref="H16:H17"/>
    <mergeCell ref="H19:H20"/>
    <mergeCell ref="H24:H26"/>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8"/>
  <sheetViews>
    <sheetView workbookViewId="0">
      <pane ySplit="1" topLeftCell="A2" activePane="bottomLeft" state="frozen"/>
      <selection/>
      <selection pane="bottomLeft" activeCell="M3" sqref="M3"/>
    </sheetView>
  </sheetViews>
  <sheetFormatPr defaultColWidth="9.16666666666667" defaultRowHeight="13.2" outlineLevelRow="7"/>
  <cols>
    <col min="1" max="1" width="22.4166666666667" style="98" customWidth="1"/>
    <col min="2" max="2" width="11.75" style="98" customWidth="1"/>
    <col min="3" max="7" width="9.16666666666667" style="98"/>
    <col min="8" max="8" width="59.75" style="98" customWidth="1"/>
    <col min="9" max="11" width="9.16666666666667" style="98"/>
    <col min="12" max="12" width="19.5833333333333" style="99" customWidth="1"/>
    <col min="13" max="16384" width="9.16666666666667" style="98"/>
  </cols>
  <sheetData>
    <row r="1" ht="69.6" spans="1:26">
      <c r="A1" s="100" t="s">
        <v>126</v>
      </c>
      <c r="B1" s="101" t="s">
        <v>6</v>
      </c>
      <c r="C1" s="100" t="s">
        <v>127</v>
      </c>
      <c r="D1" s="100" t="s">
        <v>128</v>
      </c>
      <c r="E1" s="101" t="s">
        <v>129</v>
      </c>
      <c r="F1" s="100" t="s">
        <v>130</v>
      </c>
      <c r="G1" s="100" t="s">
        <v>1</v>
      </c>
      <c r="H1" s="102" t="s">
        <v>131</v>
      </c>
      <c r="I1" s="100" t="s">
        <v>132</v>
      </c>
      <c r="J1" s="103" t="s">
        <v>133</v>
      </c>
      <c r="K1" s="100" t="s">
        <v>134</v>
      </c>
      <c r="L1" s="104" t="s">
        <v>135</v>
      </c>
      <c r="M1" s="105"/>
      <c r="N1" s="105"/>
      <c r="O1" s="105"/>
      <c r="P1" s="105"/>
      <c r="Q1" s="105"/>
      <c r="R1" s="105"/>
      <c r="S1" s="105"/>
      <c r="T1" s="105"/>
      <c r="U1" s="105"/>
      <c r="V1" s="105"/>
      <c r="W1" s="105"/>
      <c r="X1" s="105"/>
      <c r="Y1" s="105"/>
      <c r="Z1" s="105"/>
    </row>
    <row r="2" ht="30" customHeight="1" spans="1:26">
      <c r="A2" s="100" t="s">
        <v>78</v>
      </c>
      <c r="B2" s="106" t="s">
        <v>77</v>
      </c>
      <c r="C2" s="107"/>
      <c r="D2" s="108"/>
      <c r="E2" s="109" t="s">
        <v>138</v>
      </c>
      <c r="F2" s="110" t="s">
        <v>169</v>
      </c>
      <c r="G2" s="108">
        <v>1</v>
      </c>
      <c r="H2" s="111" t="s">
        <v>263</v>
      </c>
      <c r="I2" s="112" t="s">
        <v>77</v>
      </c>
      <c r="J2" s="107">
        <v>0.95</v>
      </c>
      <c r="K2" s="113"/>
      <c r="L2" s="106">
        <v>6.5</v>
      </c>
    </row>
    <row r="3" ht="27" customHeight="1" spans="1:26">
      <c r="A3" s="100"/>
      <c r="B3" s="106"/>
      <c r="C3" s="108"/>
      <c r="D3" s="108"/>
      <c r="E3" s="114" t="s">
        <v>153</v>
      </c>
      <c r="F3" s="114"/>
      <c r="G3" s="114"/>
      <c r="H3" s="114"/>
      <c r="I3" s="114"/>
      <c r="J3" s="115"/>
      <c r="K3" s="116"/>
      <c r="L3" s="117">
        <f>SUM(L2)</f>
        <v>6.5</v>
      </c>
    </row>
    <row r="4" ht="25.5" customHeight="1" spans="1:26">
      <c r="A4" s="100"/>
      <c r="B4" s="106"/>
      <c r="C4" s="108"/>
      <c r="D4" s="108"/>
      <c r="E4" s="113" t="s">
        <v>154</v>
      </c>
      <c r="F4" s="113" t="s">
        <v>169</v>
      </c>
      <c r="G4" s="113">
        <v>1</v>
      </c>
      <c r="H4" s="111" t="s">
        <v>264</v>
      </c>
      <c r="I4" s="108" t="s">
        <v>77</v>
      </c>
      <c r="J4" s="118">
        <v>1</v>
      </c>
      <c r="K4" s="113"/>
      <c r="L4" s="119"/>
    </row>
    <row r="5" ht="26" customHeight="1" spans="1:26">
      <c r="A5" s="100" t="s">
        <v>265</v>
      </c>
      <c r="B5" s="106" t="s">
        <v>77</v>
      </c>
      <c r="C5" s="108"/>
      <c r="D5" s="108"/>
      <c r="E5" s="109" t="s">
        <v>138</v>
      </c>
      <c r="F5" s="110" t="s">
        <v>169</v>
      </c>
      <c r="G5" s="108">
        <v>1</v>
      </c>
      <c r="H5" s="120" t="s">
        <v>266</v>
      </c>
      <c r="I5" s="112" t="s">
        <v>267</v>
      </c>
      <c r="J5" s="107"/>
      <c r="K5" s="113"/>
      <c r="L5" s="119">
        <v>5</v>
      </c>
    </row>
    <row r="6" ht="26" customHeight="1" spans="1:26">
      <c r="A6" s="100"/>
      <c r="B6" s="106"/>
      <c r="C6" s="108"/>
      <c r="D6" s="108"/>
      <c r="E6" s="121"/>
      <c r="F6" s="108" t="s">
        <v>30</v>
      </c>
      <c r="G6" s="108">
        <v>2</v>
      </c>
      <c r="H6" s="120" t="s">
        <v>268</v>
      </c>
      <c r="I6" s="108" t="s">
        <v>77</v>
      </c>
      <c r="J6" s="107">
        <v>1</v>
      </c>
      <c r="K6" s="113"/>
      <c r="L6" s="119">
        <v>0.5</v>
      </c>
    </row>
    <row r="7" ht="15" spans="1:26">
      <c r="A7" s="100"/>
      <c r="B7" s="106"/>
      <c r="C7" s="108"/>
      <c r="D7" s="108"/>
      <c r="E7" s="114" t="s">
        <v>153</v>
      </c>
      <c r="F7" s="114"/>
      <c r="G7" s="114"/>
      <c r="H7" s="114"/>
      <c r="I7" s="114"/>
      <c r="J7" s="115"/>
      <c r="K7" s="116"/>
      <c r="L7" s="117">
        <f>SUM(L5:L6)</f>
        <v>5.5</v>
      </c>
    </row>
    <row r="8" ht="22.5" customHeight="1" spans="1:26">
      <c r="A8" s="100"/>
      <c r="B8" s="106"/>
      <c r="C8" s="108"/>
      <c r="D8" s="108"/>
      <c r="E8" s="113" t="s">
        <v>154</v>
      </c>
      <c r="F8" s="113" t="s">
        <v>53</v>
      </c>
      <c r="G8" s="108">
        <v>1</v>
      </c>
      <c r="H8" s="120" t="s">
        <v>266</v>
      </c>
      <c r="I8" s="112" t="s">
        <v>267</v>
      </c>
      <c r="J8" s="118"/>
      <c r="K8" s="113"/>
      <c r="L8" s="119"/>
    </row>
  </sheetData>
  <mergeCells count="11">
    <mergeCell ref="E3:H3"/>
    <mergeCell ref="E7:H7"/>
    <mergeCell ref="A2:A4"/>
    <mergeCell ref="A5:A8"/>
    <mergeCell ref="B2:B4"/>
    <mergeCell ref="B5:B8"/>
    <mergeCell ref="C2:C4"/>
    <mergeCell ref="C5:C8"/>
    <mergeCell ref="D2:D4"/>
    <mergeCell ref="D5:D8"/>
    <mergeCell ref="E5:E6"/>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29"/>
  <sheetViews>
    <sheetView workbookViewId="0">
      <pane ySplit="1" topLeftCell="A12" activePane="bottomLeft" state="frozen"/>
      <selection/>
      <selection pane="bottomLeft" activeCell="A9" sqref="A9:K20"/>
    </sheetView>
  </sheetViews>
  <sheetFormatPr defaultColWidth="9.13888888888889" defaultRowHeight="13.2"/>
  <cols>
    <col min="1" max="1" width="22.4259259259259" style="69" customWidth="1"/>
    <col min="2" max="2" width="11.712962962963" style="69" customWidth="1"/>
    <col min="3" max="5" width="9.13888888888889" style="69"/>
    <col min="6" max="6" width="23.287037037037" style="69" customWidth="1"/>
    <col min="7" max="7" width="9.13888888888889" style="69"/>
    <col min="8" max="8" width="59.712962962963" style="69" customWidth="1"/>
    <col min="9" max="11" width="9.13888888888889" style="69"/>
    <col min="12" max="12" width="19.5740740740741" style="70" customWidth="1"/>
    <col min="13" max="16384" width="9.13888888888889" style="69"/>
  </cols>
  <sheetData>
    <row r="1" ht="62.4" spans="1:26">
      <c r="A1" s="71" t="s">
        <v>126</v>
      </c>
      <c r="B1" s="72" t="s">
        <v>6</v>
      </c>
      <c r="C1" s="71" t="s">
        <v>127</v>
      </c>
      <c r="D1" s="71" t="s">
        <v>128</v>
      </c>
      <c r="E1" s="72" t="s">
        <v>129</v>
      </c>
      <c r="F1" s="71" t="s">
        <v>130</v>
      </c>
      <c r="G1" s="71" t="s">
        <v>1</v>
      </c>
      <c r="H1" s="73" t="s">
        <v>131</v>
      </c>
      <c r="I1" s="71" t="s">
        <v>132</v>
      </c>
      <c r="J1" s="74" t="s">
        <v>133</v>
      </c>
      <c r="K1" s="71" t="s">
        <v>134</v>
      </c>
      <c r="L1" s="75" t="s">
        <v>135</v>
      </c>
      <c r="M1" s="76"/>
      <c r="N1" s="76"/>
      <c r="O1" s="76"/>
      <c r="P1" s="76"/>
      <c r="Q1" s="76"/>
      <c r="R1" s="76"/>
      <c r="S1" s="76"/>
      <c r="T1" s="76"/>
      <c r="U1" s="76"/>
      <c r="V1" s="76"/>
      <c r="W1" s="76"/>
      <c r="X1" s="76"/>
      <c r="Y1" s="76"/>
      <c r="Z1" s="76"/>
    </row>
    <row r="2" spans="1:26">
      <c r="A2" s="77" t="s">
        <v>269</v>
      </c>
      <c r="B2" s="78" t="s">
        <v>270</v>
      </c>
      <c r="C2" s="79">
        <v>10</v>
      </c>
      <c r="D2" s="79"/>
      <c r="E2" s="80" t="s">
        <v>138</v>
      </c>
      <c r="F2" s="79" t="s">
        <v>35</v>
      </c>
      <c r="G2" s="79">
        <v>1</v>
      </c>
      <c r="H2" s="81" t="s">
        <v>271</v>
      </c>
      <c r="I2" s="79" t="s">
        <v>270</v>
      </c>
      <c r="J2" s="82">
        <v>0.4</v>
      </c>
      <c r="K2" s="79"/>
      <c r="L2" s="83">
        <v>3</v>
      </c>
    </row>
    <row r="3" spans="1:26">
      <c r="A3" s="77"/>
      <c r="B3" s="78"/>
      <c r="C3" s="79"/>
      <c r="D3" s="79"/>
      <c r="E3" s="80"/>
      <c r="F3" s="79"/>
      <c r="G3" s="80">
        <v>2</v>
      </c>
      <c r="H3" s="84" t="s">
        <v>272</v>
      </c>
      <c r="I3" s="79" t="s">
        <v>270</v>
      </c>
      <c r="J3" s="82">
        <v>0.2</v>
      </c>
      <c r="K3" s="79"/>
      <c r="L3" s="83">
        <v>1</v>
      </c>
    </row>
    <row r="4" spans="1:26">
      <c r="A4" s="77"/>
      <c r="B4" s="78"/>
      <c r="C4" s="79"/>
      <c r="D4" s="79"/>
      <c r="E4" s="80"/>
      <c r="F4" s="79"/>
      <c r="G4" s="79">
        <v>3</v>
      </c>
      <c r="H4" s="85"/>
      <c r="I4" s="79"/>
      <c r="J4" s="82"/>
      <c r="K4" s="79"/>
      <c r="L4" s="83"/>
    </row>
    <row r="5" spans="1:26">
      <c r="A5" s="77"/>
      <c r="B5" s="78"/>
      <c r="C5" s="79"/>
      <c r="D5" s="79"/>
      <c r="E5" s="80"/>
      <c r="F5" s="79"/>
      <c r="G5" s="79">
        <v>4</v>
      </c>
      <c r="H5" s="85"/>
      <c r="I5" s="79"/>
      <c r="J5" s="82"/>
      <c r="K5" s="79"/>
      <c r="L5" s="83"/>
    </row>
    <row r="6" spans="1:26">
      <c r="A6" s="77"/>
      <c r="B6" s="78"/>
      <c r="C6" s="79"/>
      <c r="D6" s="79"/>
      <c r="E6" s="86" t="s">
        <v>153</v>
      </c>
      <c r="F6" s="86"/>
      <c r="G6" s="86"/>
      <c r="H6" s="86"/>
      <c r="I6" s="86"/>
      <c r="J6" s="87"/>
      <c r="K6" s="88"/>
      <c r="L6" s="89">
        <v>4</v>
      </c>
    </row>
    <row r="7" ht="13.8" spans="1:26">
      <c r="A7" s="77"/>
      <c r="B7" s="78"/>
      <c r="C7" s="79"/>
      <c r="D7" s="79"/>
      <c r="E7" s="80" t="s">
        <v>154</v>
      </c>
      <c r="F7" s="80" t="s">
        <v>35</v>
      </c>
      <c r="G7" s="80">
        <v>1</v>
      </c>
      <c r="H7" s="90"/>
      <c r="I7" s="79"/>
      <c r="J7" s="91"/>
      <c r="K7" s="80"/>
      <c r="L7" s="83"/>
    </row>
    <row r="8" spans="1:26">
      <c r="A8" s="77"/>
      <c r="B8" s="78"/>
      <c r="C8" s="79"/>
      <c r="D8" s="79"/>
      <c r="E8" s="80"/>
      <c r="F8" s="80"/>
      <c r="G8" s="80">
        <v>2</v>
      </c>
      <c r="H8" s="92"/>
      <c r="I8" s="80"/>
      <c r="J8" s="91"/>
      <c r="K8" s="80"/>
      <c r="L8" s="83"/>
    </row>
    <row r="9" spans="1:26">
      <c r="A9" s="93" t="s">
        <v>273</v>
      </c>
      <c r="B9" s="78"/>
      <c r="C9" s="79"/>
      <c r="D9" s="79"/>
      <c r="E9" s="80" t="s">
        <v>138</v>
      </c>
      <c r="F9" s="79" t="s">
        <v>35</v>
      </c>
      <c r="G9" s="80">
        <v>1</v>
      </c>
      <c r="H9" s="94" t="s">
        <v>274</v>
      </c>
      <c r="I9" s="95" t="s">
        <v>275</v>
      </c>
      <c r="J9" s="82">
        <v>1</v>
      </c>
      <c r="K9" s="79"/>
      <c r="L9" s="83">
        <v>0.6</v>
      </c>
    </row>
    <row r="10" ht="24" spans="1:26">
      <c r="A10" s="93"/>
      <c r="B10" s="78"/>
      <c r="C10" s="79"/>
      <c r="D10" s="79"/>
      <c r="E10" s="80"/>
      <c r="F10" s="79"/>
      <c r="G10" s="80">
        <v>2</v>
      </c>
      <c r="H10" s="94" t="s">
        <v>276</v>
      </c>
      <c r="I10" s="95" t="s">
        <v>275</v>
      </c>
      <c r="J10" s="82">
        <v>1</v>
      </c>
      <c r="K10" s="79"/>
      <c r="L10" s="83">
        <v>2</v>
      </c>
    </row>
    <row r="11" ht="24" spans="1:26">
      <c r="A11" s="93"/>
      <c r="B11" s="78"/>
      <c r="C11" s="79"/>
      <c r="D11" s="79"/>
      <c r="E11" s="80"/>
      <c r="F11" s="79"/>
      <c r="G11" s="80">
        <v>3</v>
      </c>
      <c r="H11" s="94" t="s">
        <v>277</v>
      </c>
      <c r="I11" s="95" t="s">
        <v>275</v>
      </c>
      <c r="J11" s="82">
        <v>1</v>
      </c>
      <c r="K11" s="79"/>
      <c r="L11" s="83">
        <v>1</v>
      </c>
    </row>
    <row r="12" ht="24" spans="1:26">
      <c r="A12" s="93"/>
      <c r="B12" s="78"/>
      <c r="C12" s="79"/>
      <c r="D12" s="79"/>
      <c r="E12" s="80"/>
      <c r="F12" s="79"/>
      <c r="G12" s="80">
        <v>4</v>
      </c>
      <c r="H12" s="94" t="s">
        <v>278</v>
      </c>
      <c r="I12" s="95" t="s">
        <v>275</v>
      </c>
      <c r="J12" s="82">
        <v>1</v>
      </c>
      <c r="K12" s="79"/>
      <c r="L12" s="83">
        <v>1</v>
      </c>
    </row>
    <row r="13" spans="1:26">
      <c r="A13" s="93"/>
      <c r="B13" s="78"/>
      <c r="C13" s="79"/>
      <c r="D13" s="79"/>
      <c r="E13" s="80"/>
      <c r="F13" s="79"/>
      <c r="G13" s="80">
        <v>5</v>
      </c>
      <c r="H13" s="94" t="s">
        <v>279</v>
      </c>
      <c r="I13" s="95" t="s">
        <v>275</v>
      </c>
      <c r="J13" s="82">
        <v>1</v>
      </c>
      <c r="K13" s="79"/>
      <c r="L13" s="83">
        <v>0.4</v>
      </c>
    </row>
    <row r="14" spans="1:26">
      <c r="A14" s="93"/>
      <c r="B14" s="78"/>
      <c r="C14" s="79"/>
      <c r="D14" s="79"/>
      <c r="E14" s="80"/>
      <c r="F14" s="79"/>
      <c r="G14" s="80">
        <v>6</v>
      </c>
      <c r="H14" s="94" t="s">
        <v>280</v>
      </c>
      <c r="I14" s="95" t="s">
        <v>33</v>
      </c>
      <c r="J14" s="82">
        <v>1</v>
      </c>
      <c r="K14" s="79"/>
      <c r="L14" s="83">
        <v>0.4</v>
      </c>
    </row>
    <row r="15" spans="1:26">
      <c r="A15" s="93"/>
      <c r="B15" s="78"/>
      <c r="C15" s="79"/>
      <c r="D15" s="79"/>
      <c r="E15" s="80"/>
      <c r="F15" s="79"/>
      <c r="G15" s="80">
        <v>7</v>
      </c>
      <c r="H15" s="94" t="s">
        <v>281</v>
      </c>
      <c r="I15" s="95" t="s">
        <v>33</v>
      </c>
      <c r="J15" s="82">
        <v>1</v>
      </c>
      <c r="K15" s="79"/>
      <c r="L15" s="83">
        <v>0.3</v>
      </c>
    </row>
    <row r="16" ht="24" spans="1:26">
      <c r="A16" s="93"/>
      <c r="B16" s="78"/>
      <c r="C16" s="79"/>
      <c r="D16" s="79"/>
      <c r="E16" s="80"/>
      <c r="F16" s="79"/>
      <c r="G16" s="80">
        <v>8</v>
      </c>
      <c r="H16" s="94" t="s">
        <v>282</v>
      </c>
      <c r="I16" s="95" t="s">
        <v>33</v>
      </c>
      <c r="J16" s="82">
        <v>1</v>
      </c>
      <c r="K16" s="79"/>
      <c r="L16" s="83">
        <v>1.7</v>
      </c>
    </row>
    <row r="17" spans="1:12">
      <c r="A17" s="93"/>
      <c r="B17" s="78"/>
      <c r="C17" s="79"/>
      <c r="D17" s="79"/>
      <c r="E17" s="80"/>
      <c r="F17" s="79"/>
      <c r="G17" s="80">
        <v>9</v>
      </c>
      <c r="H17" s="94" t="s">
        <v>283</v>
      </c>
      <c r="I17" s="95" t="s">
        <v>33</v>
      </c>
      <c r="J17" s="82">
        <v>1</v>
      </c>
      <c r="K17" s="79"/>
      <c r="L17" s="83">
        <v>0.4</v>
      </c>
    </row>
    <row r="18" spans="1:12">
      <c r="A18" s="93"/>
      <c r="B18" s="78"/>
      <c r="C18" s="79"/>
      <c r="D18" s="79"/>
      <c r="E18" s="80"/>
      <c r="F18" s="79"/>
      <c r="G18" s="80">
        <v>10</v>
      </c>
      <c r="H18" s="94" t="s">
        <v>284</v>
      </c>
      <c r="I18" s="95" t="s">
        <v>33</v>
      </c>
      <c r="J18" s="82">
        <v>0.8</v>
      </c>
      <c r="K18" s="79"/>
      <c r="L18" s="83">
        <v>1.6</v>
      </c>
    </row>
    <row r="19" spans="1:12">
      <c r="A19" s="93"/>
      <c r="B19" s="78"/>
      <c r="C19" s="79"/>
      <c r="D19" s="79"/>
      <c r="E19" s="86" t="s">
        <v>153</v>
      </c>
      <c r="F19" s="86"/>
      <c r="G19" s="86"/>
      <c r="H19" s="86"/>
      <c r="I19" s="86"/>
      <c r="J19" s="87"/>
      <c r="K19" s="88"/>
      <c r="L19" s="89">
        <v>9.4</v>
      </c>
    </row>
    <row r="20" spans="1:12">
      <c r="A20" s="93"/>
      <c r="B20" s="78"/>
      <c r="C20" s="79"/>
      <c r="D20" s="79"/>
      <c r="E20" s="80" t="s">
        <v>154</v>
      </c>
      <c r="F20" s="80" t="s">
        <v>35</v>
      </c>
      <c r="G20" s="80">
        <v>1</v>
      </c>
      <c r="H20" s="96"/>
      <c r="I20" s="95"/>
      <c r="J20" s="91"/>
      <c r="K20" s="80"/>
      <c r="L20" s="83"/>
    </row>
    <row r="21" ht="48" spans="1:12">
      <c r="A21" s="93" t="s">
        <v>285</v>
      </c>
      <c r="B21" s="78"/>
      <c r="C21" s="79"/>
      <c r="D21" s="79"/>
      <c r="E21" s="80" t="s">
        <v>138</v>
      </c>
      <c r="F21" s="79" t="s">
        <v>35</v>
      </c>
      <c r="G21" s="80">
        <v>1</v>
      </c>
      <c r="H21" s="94" t="s">
        <v>286</v>
      </c>
      <c r="I21" s="95" t="s">
        <v>287</v>
      </c>
      <c r="J21" s="82">
        <v>1</v>
      </c>
      <c r="K21" s="79"/>
      <c r="L21" s="83">
        <v>3</v>
      </c>
    </row>
    <row r="22" ht="24" spans="1:12">
      <c r="A22" s="93"/>
      <c r="B22" s="78"/>
      <c r="C22" s="79"/>
      <c r="D22" s="79"/>
      <c r="E22" s="80"/>
      <c r="F22" s="79"/>
      <c r="G22" s="80">
        <v>2</v>
      </c>
      <c r="H22" s="94" t="s">
        <v>288</v>
      </c>
      <c r="I22" s="95" t="s">
        <v>287</v>
      </c>
      <c r="J22" s="82">
        <v>1</v>
      </c>
      <c r="K22" s="79"/>
      <c r="L22" s="83">
        <v>2</v>
      </c>
    </row>
    <row r="23" ht="72" spans="1:12">
      <c r="A23" s="93"/>
      <c r="B23" s="78"/>
      <c r="C23" s="79"/>
      <c r="D23" s="79"/>
      <c r="E23" s="80"/>
      <c r="F23" s="79"/>
      <c r="G23" s="80">
        <v>3</v>
      </c>
      <c r="H23" s="94" t="s">
        <v>289</v>
      </c>
      <c r="I23" s="95" t="s">
        <v>290</v>
      </c>
      <c r="J23" s="82">
        <v>1</v>
      </c>
      <c r="K23" s="82"/>
      <c r="L23" s="83">
        <v>3</v>
      </c>
    </row>
    <row r="24" spans="1:12">
      <c r="A24" s="93"/>
      <c r="B24" s="78"/>
      <c r="C24" s="79"/>
      <c r="D24" s="79"/>
      <c r="E24" s="80"/>
      <c r="F24" s="79"/>
      <c r="G24" s="80">
        <v>4</v>
      </c>
      <c r="H24" s="97" t="s">
        <v>291</v>
      </c>
      <c r="I24" s="95" t="s">
        <v>290</v>
      </c>
      <c r="J24" s="82">
        <v>0.05</v>
      </c>
      <c r="K24" s="82"/>
      <c r="L24" s="83">
        <v>2</v>
      </c>
    </row>
    <row r="25" ht="36" spans="1:12">
      <c r="A25" s="93"/>
      <c r="B25" s="78"/>
      <c r="C25" s="79"/>
      <c r="D25" s="79"/>
      <c r="E25" s="80"/>
      <c r="F25" s="79"/>
      <c r="G25" s="80">
        <v>5</v>
      </c>
      <c r="H25" s="94" t="s">
        <v>292</v>
      </c>
      <c r="I25" s="95" t="s">
        <v>293</v>
      </c>
      <c r="J25" s="82">
        <v>1</v>
      </c>
      <c r="K25" s="79"/>
      <c r="L25" s="83">
        <v>3</v>
      </c>
    </row>
    <row r="26" ht="79.2" spans="1:12">
      <c r="A26" s="93"/>
      <c r="B26" s="78"/>
      <c r="C26" s="79"/>
      <c r="D26" s="79"/>
      <c r="E26" s="80"/>
      <c r="F26" s="79"/>
      <c r="G26" s="80">
        <v>6</v>
      </c>
      <c r="H26" s="94" t="s">
        <v>294</v>
      </c>
      <c r="I26" s="95" t="s">
        <v>295</v>
      </c>
      <c r="J26" s="82">
        <v>0.6</v>
      </c>
      <c r="K26" s="79" t="s">
        <v>296</v>
      </c>
      <c r="L26" s="83">
        <v>1.5</v>
      </c>
    </row>
    <row r="27" ht="79.2" spans="1:12">
      <c r="A27" s="93"/>
      <c r="B27" s="78"/>
      <c r="C27" s="79"/>
      <c r="D27" s="79"/>
      <c r="E27" s="80"/>
      <c r="F27" s="79"/>
      <c r="G27" s="80">
        <v>7</v>
      </c>
      <c r="H27" s="94" t="s">
        <v>297</v>
      </c>
      <c r="I27" s="95" t="s">
        <v>295</v>
      </c>
      <c r="J27" s="82">
        <v>0.4</v>
      </c>
      <c r="K27" s="79" t="s">
        <v>298</v>
      </c>
      <c r="L27" s="83">
        <v>3</v>
      </c>
    </row>
    <row r="28" spans="1:12">
      <c r="A28" s="93"/>
      <c r="B28" s="78"/>
      <c r="C28" s="79"/>
      <c r="D28" s="79"/>
      <c r="E28" s="86" t="s">
        <v>153</v>
      </c>
      <c r="F28" s="86"/>
      <c r="G28" s="86"/>
      <c r="H28" s="86"/>
      <c r="I28" s="86"/>
      <c r="J28" s="87"/>
      <c r="K28" s="88"/>
      <c r="L28" s="89">
        <v>17.5</v>
      </c>
    </row>
    <row r="29" spans="1:12">
      <c r="A29" s="93"/>
      <c r="B29" s="78"/>
      <c r="C29" s="79"/>
      <c r="D29" s="79"/>
      <c r="E29" s="80" t="s">
        <v>154</v>
      </c>
      <c r="F29" s="80" t="s">
        <v>35</v>
      </c>
      <c r="G29" s="80">
        <v>1</v>
      </c>
      <c r="H29" s="96"/>
      <c r="I29" s="95"/>
      <c r="J29" s="91"/>
      <c r="K29" s="80"/>
      <c r="L29" s="83"/>
    </row>
  </sheetData>
  <mergeCells count="23">
    <mergeCell ref="E6:H6"/>
    <mergeCell ref="E19:H19"/>
    <mergeCell ref="E28:H28"/>
    <mergeCell ref="A2:A8"/>
    <mergeCell ref="A9:A20"/>
    <mergeCell ref="A21:A29"/>
    <mergeCell ref="B2:B8"/>
    <mergeCell ref="B9:B20"/>
    <mergeCell ref="B21:B29"/>
    <mergeCell ref="C2:C8"/>
    <mergeCell ref="C9:C20"/>
    <mergeCell ref="C21:C29"/>
    <mergeCell ref="D2:D8"/>
    <mergeCell ref="D9:D20"/>
    <mergeCell ref="D21:D29"/>
    <mergeCell ref="E2:E5"/>
    <mergeCell ref="E7:E8"/>
    <mergeCell ref="E9:E18"/>
    <mergeCell ref="E21:E27"/>
    <mergeCell ref="F2:F5"/>
    <mergeCell ref="F7:F8"/>
    <mergeCell ref="F9:F18"/>
    <mergeCell ref="F21:F27"/>
  </mergeCell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88"/>
  <sheetViews>
    <sheetView workbookViewId="0">
      <pane ySplit="1" topLeftCell="A59" activePane="bottomLeft" state="frozen"/>
      <selection/>
      <selection pane="bottomLeft" activeCell="H78" sqref="H78"/>
    </sheetView>
  </sheetViews>
  <sheetFormatPr defaultColWidth="9.13888888888889" defaultRowHeight="13.8"/>
  <cols>
    <col min="1" max="1" width="22.4259259259259" style="24" customWidth="1"/>
    <col min="2" max="2" width="11.712962962963" style="24" customWidth="1"/>
    <col min="3" max="7" width="9.13888888888889" style="24"/>
    <col min="8" max="8" width="59.712962962963" style="24" customWidth="1"/>
    <col min="9" max="11" width="9.13888888888889" style="24"/>
    <col min="12" max="12" width="19.5740740740741" style="25" customWidth="1"/>
    <col min="13" max="26" width="9.13888888888889" style="24"/>
    <col min="27" max="16384" width="9.13888888888889" style="26"/>
  </cols>
  <sheetData>
    <row r="1" ht="69.6" spans="1:26">
      <c r="A1" s="27" t="s">
        <v>126</v>
      </c>
      <c r="B1" s="28" t="s">
        <v>6</v>
      </c>
      <c r="C1" s="27" t="s">
        <v>127</v>
      </c>
      <c r="D1" s="27" t="s">
        <v>128</v>
      </c>
      <c r="E1" s="28" t="s">
        <v>129</v>
      </c>
      <c r="F1" s="27" t="s">
        <v>130</v>
      </c>
      <c r="G1" s="27" t="s">
        <v>1</v>
      </c>
      <c r="H1" s="29" t="s">
        <v>131</v>
      </c>
      <c r="I1" s="27" t="s">
        <v>132</v>
      </c>
      <c r="J1" s="30" t="s">
        <v>133</v>
      </c>
      <c r="K1" s="27" t="s">
        <v>134</v>
      </c>
      <c r="L1" s="31" t="s">
        <v>135</v>
      </c>
      <c r="M1" s="32"/>
      <c r="N1" s="32"/>
      <c r="O1" s="32"/>
      <c r="P1" s="32"/>
      <c r="Q1" s="32"/>
      <c r="R1" s="32"/>
      <c r="S1" s="32"/>
      <c r="T1" s="32"/>
      <c r="U1" s="32"/>
      <c r="V1" s="32"/>
      <c r="W1" s="32"/>
      <c r="X1" s="32"/>
      <c r="Y1" s="32"/>
      <c r="Z1" s="32"/>
    </row>
    <row r="2" ht="60" spans="1:26">
      <c r="A2" s="27" t="s">
        <v>299</v>
      </c>
      <c r="B2" s="33" t="s">
        <v>104</v>
      </c>
      <c r="C2" s="34">
        <v>0.92</v>
      </c>
      <c r="D2" s="35"/>
      <c r="E2" s="36" t="s">
        <v>138</v>
      </c>
      <c r="F2" s="37" t="s">
        <v>35</v>
      </c>
      <c r="G2" s="35">
        <v>1</v>
      </c>
      <c r="H2" s="38" t="s">
        <v>300</v>
      </c>
      <c r="I2" s="13" t="s">
        <v>301</v>
      </c>
      <c r="J2" s="34">
        <v>0.9</v>
      </c>
      <c r="K2" s="36"/>
      <c r="L2" s="39">
        <v>5</v>
      </c>
    </row>
    <row r="3" ht="90" spans="1:26">
      <c r="A3" s="27"/>
      <c r="B3" s="33"/>
      <c r="C3" s="35"/>
      <c r="D3" s="35"/>
      <c r="E3" s="36"/>
      <c r="F3" s="40"/>
      <c r="G3" s="41">
        <v>2</v>
      </c>
      <c r="H3" s="42" t="s">
        <v>302</v>
      </c>
      <c r="I3" s="13" t="s">
        <v>303</v>
      </c>
      <c r="J3" s="43">
        <v>1</v>
      </c>
      <c r="K3" s="44"/>
      <c r="L3" s="39">
        <v>3.75</v>
      </c>
    </row>
    <row r="4" ht="45" spans="1:26">
      <c r="A4" s="27"/>
      <c r="B4" s="33"/>
      <c r="C4" s="35"/>
      <c r="D4" s="35"/>
      <c r="E4" s="36"/>
      <c r="F4" s="40"/>
      <c r="G4" s="41">
        <v>3</v>
      </c>
      <c r="H4" s="42" t="s">
        <v>304</v>
      </c>
      <c r="I4" s="41" t="s">
        <v>305</v>
      </c>
      <c r="J4" s="43">
        <v>1</v>
      </c>
      <c r="K4" s="44"/>
      <c r="L4" s="39">
        <v>3</v>
      </c>
    </row>
    <row r="5" ht="30" spans="1:26">
      <c r="A5" s="27"/>
      <c r="B5" s="33"/>
      <c r="C5" s="35"/>
      <c r="D5" s="35"/>
      <c r="E5" s="36"/>
      <c r="F5" s="40"/>
      <c r="G5" s="41">
        <v>4</v>
      </c>
      <c r="H5" s="42" t="s">
        <v>306</v>
      </c>
      <c r="I5" s="41" t="s">
        <v>307</v>
      </c>
      <c r="J5" s="43">
        <v>1</v>
      </c>
      <c r="K5" s="44"/>
      <c r="L5" s="39">
        <v>2</v>
      </c>
    </row>
    <row r="6" ht="30" spans="1:26">
      <c r="A6" s="27"/>
      <c r="B6" s="33"/>
      <c r="C6" s="35"/>
      <c r="D6" s="35"/>
      <c r="E6" s="36"/>
      <c r="F6" s="40"/>
      <c r="G6" s="41">
        <v>5</v>
      </c>
      <c r="H6" s="42" t="s">
        <v>308</v>
      </c>
      <c r="I6" s="41" t="s">
        <v>257</v>
      </c>
      <c r="J6" s="43">
        <v>1</v>
      </c>
      <c r="K6" s="44"/>
      <c r="L6" s="39">
        <v>2</v>
      </c>
    </row>
    <row r="7" ht="193.2" spans="1:26">
      <c r="A7" s="27"/>
      <c r="B7" s="33"/>
      <c r="C7" s="35"/>
      <c r="D7" s="35"/>
      <c r="E7" s="36"/>
      <c r="F7" s="40"/>
      <c r="G7" s="41">
        <v>6</v>
      </c>
      <c r="H7" s="45" t="s">
        <v>309</v>
      </c>
      <c r="I7" s="41" t="s">
        <v>310</v>
      </c>
      <c r="J7" s="43">
        <v>1</v>
      </c>
      <c r="K7" s="44"/>
      <c r="L7" s="39">
        <v>1.6</v>
      </c>
    </row>
    <row r="8" ht="45" spans="1:26">
      <c r="A8" s="27"/>
      <c r="B8" s="33"/>
      <c r="C8" s="35"/>
      <c r="D8" s="35"/>
      <c r="E8" s="36"/>
      <c r="F8" s="40"/>
      <c r="G8" s="41">
        <v>7</v>
      </c>
      <c r="H8" s="42" t="s">
        <v>311</v>
      </c>
      <c r="I8" s="13" t="s">
        <v>312</v>
      </c>
      <c r="J8" s="43">
        <v>0.05</v>
      </c>
      <c r="K8" s="44"/>
      <c r="L8" s="39">
        <v>1.5</v>
      </c>
    </row>
    <row r="9" ht="15" spans="1:26">
      <c r="A9" s="27"/>
      <c r="B9" s="33"/>
      <c r="C9" s="35"/>
      <c r="D9" s="35"/>
      <c r="E9" s="36"/>
      <c r="F9" s="40"/>
      <c r="G9" s="41">
        <v>8</v>
      </c>
      <c r="H9" s="42" t="s">
        <v>313</v>
      </c>
      <c r="I9" s="41" t="s">
        <v>314</v>
      </c>
      <c r="J9" s="43">
        <v>0.05</v>
      </c>
      <c r="K9" s="44"/>
      <c r="L9" s="39">
        <v>1</v>
      </c>
    </row>
    <row r="10" ht="15" spans="1:26">
      <c r="A10" s="27"/>
      <c r="B10" s="33"/>
      <c r="C10" s="35"/>
      <c r="D10" s="35"/>
      <c r="E10" s="36"/>
      <c r="F10" s="40"/>
      <c r="G10" s="41">
        <v>9</v>
      </c>
      <c r="H10" s="46" t="s">
        <v>315</v>
      </c>
      <c r="I10" s="41" t="s">
        <v>316</v>
      </c>
      <c r="J10" s="43">
        <v>1</v>
      </c>
      <c r="K10" s="44"/>
      <c r="L10" s="39">
        <v>1</v>
      </c>
    </row>
    <row r="11" ht="15" spans="1:26">
      <c r="A11" s="27"/>
      <c r="B11" s="33"/>
      <c r="C11" s="35"/>
      <c r="D11" s="35"/>
      <c r="E11" s="36"/>
      <c r="F11" s="40"/>
      <c r="G11" s="47">
        <v>10</v>
      </c>
      <c r="H11" s="48"/>
      <c r="I11" s="49"/>
      <c r="J11" s="50"/>
      <c r="K11" s="44"/>
      <c r="L11" s="39"/>
    </row>
    <row r="12" ht="84" customHeight="1" spans="1:26">
      <c r="A12" s="27"/>
      <c r="B12" s="33"/>
      <c r="C12" s="35"/>
      <c r="D12" s="35"/>
      <c r="E12" s="36"/>
      <c r="F12" s="40"/>
      <c r="G12" s="47">
        <v>11</v>
      </c>
      <c r="H12" s="48" t="s">
        <v>317</v>
      </c>
      <c r="I12" s="51" t="s">
        <v>104</v>
      </c>
      <c r="J12" s="52">
        <v>1</v>
      </c>
      <c r="K12" s="53"/>
      <c r="L12" s="39">
        <v>4.5</v>
      </c>
    </row>
    <row r="13" ht="90" spans="1:26">
      <c r="A13" s="27"/>
      <c r="B13" s="33"/>
      <c r="C13" s="35"/>
      <c r="D13" s="35"/>
      <c r="E13" s="36"/>
      <c r="F13" s="54"/>
      <c r="G13" s="47">
        <v>12</v>
      </c>
      <c r="H13" s="55" t="s">
        <v>318</v>
      </c>
      <c r="I13" s="51" t="s">
        <v>106</v>
      </c>
      <c r="J13" s="52">
        <v>1</v>
      </c>
      <c r="K13" s="53"/>
      <c r="L13" s="39">
        <v>2</v>
      </c>
    </row>
    <row r="14" ht="15" spans="1:26">
      <c r="A14" s="27"/>
      <c r="B14" s="33"/>
      <c r="C14" s="35"/>
      <c r="D14" s="35"/>
      <c r="E14" s="16" t="s">
        <v>153</v>
      </c>
      <c r="F14" s="16"/>
      <c r="G14" s="16"/>
      <c r="H14" s="56"/>
      <c r="I14" s="16"/>
      <c r="J14" s="57"/>
      <c r="K14" s="18"/>
      <c r="L14" s="19">
        <f>SUM(L2:L13)</f>
        <v>27.35</v>
      </c>
    </row>
    <row r="15" ht="15.6" spans="1:26">
      <c r="A15" s="27"/>
      <c r="B15" s="33"/>
      <c r="C15" s="35"/>
      <c r="D15" s="35"/>
      <c r="E15" s="36" t="s">
        <v>154</v>
      </c>
      <c r="F15" s="36" t="s">
        <v>35</v>
      </c>
      <c r="G15" s="36">
        <v>1</v>
      </c>
      <c r="H15" s="58"/>
      <c r="I15" s="35"/>
      <c r="J15" s="59"/>
      <c r="K15" s="36"/>
      <c r="L15" s="39"/>
    </row>
    <row r="16" ht="15" spans="1:26">
      <c r="A16" s="27"/>
      <c r="B16" s="33"/>
      <c r="C16" s="35"/>
      <c r="D16" s="35"/>
      <c r="E16" s="36"/>
      <c r="F16" s="36"/>
      <c r="G16" s="36">
        <v>2</v>
      </c>
      <c r="H16" s="38"/>
      <c r="I16" s="36"/>
      <c r="J16" s="59"/>
      <c r="K16" s="36"/>
      <c r="L16" s="39"/>
    </row>
    <row r="17" ht="45" spans="1:12">
      <c r="A17" s="27" t="s">
        <v>319</v>
      </c>
      <c r="B17" s="33" t="s">
        <v>106</v>
      </c>
      <c r="C17" s="34">
        <v>0.95</v>
      </c>
      <c r="D17" s="35"/>
      <c r="E17" s="36" t="s">
        <v>138</v>
      </c>
      <c r="F17" s="35" t="s">
        <v>35</v>
      </c>
      <c r="G17" s="35">
        <v>1</v>
      </c>
      <c r="H17" s="38" t="s">
        <v>320</v>
      </c>
      <c r="I17" s="13" t="s">
        <v>316</v>
      </c>
      <c r="J17" s="34">
        <v>1</v>
      </c>
      <c r="K17" s="35"/>
      <c r="L17" s="39">
        <v>4</v>
      </c>
    </row>
    <row r="18" ht="360" spans="1:12">
      <c r="A18" s="27"/>
      <c r="B18" s="33"/>
      <c r="C18" s="35"/>
      <c r="D18" s="35"/>
      <c r="E18" s="36"/>
      <c r="F18" s="35"/>
      <c r="G18" s="35">
        <v>2</v>
      </c>
      <c r="H18" s="38" t="s">
        <v>321</v>
      </c>
      <c r="I18" s="13" t="s">
        <v>310</v>
      </c>
      <c r="J18" s="34">
        <v>1</v>
      </c>
      <c r="K18" s="35"/>
      <c r="L18" s="39">
        <v>3.4</v>
      </c>
    </row>
    <row r="19" ht="60" spans="1:12">
      <c r="A19" s="27"/>
      <c r="B19" s="33"/>
      <c r="C19" s="35"/>
      <c r="D19" s="35"/>
      <c r="E19" s="36"/>
      <c r="F19" s="35"/>
      <c r="G19" s="35">
        <v>3</v>
      </c>
      <c r="H19" s="38" t="s">
        <v>322</v>
      </c>
      <c r="I19" s="13" t="s">
        <v>303</v>
      </c>
      <c r="J19" s="34">
        <v>1</v>
      </c>
      <c r="K19" s="35"/>
      <c r="L19" s="39">
        <v>0.25</v>
      </c>
    </row>
    <row r="20" ht="15" spans="1:12">
      <c r="A20" s="27"/>
      <c r="B20" s="33"/>
      <c r="C20" s="35"/>
      <c r="D20" s="35"/>
      <c r="E20" s="36"/>
      <c r="F20" s="35"/>
      <c r="G20" s="35"/>
      <c r="H20" s="38"/>
      <c r="I20" s="13"/>
      <c r="J20" s="34"/>
      <c r="K20" s="35"/>
      <c r="L20" s="39"/>
    </row>
    <row r="21" ht="15" spans="1:12">
      <c r="A21" s="27"/>
      <c r="B21" s="33"/>
      <c r="C21" s="35"/>
      <c r="D21" s="35"/>
      <c r="E21" s="36"/>
      <c r="F21" s="35"/>
      <c r="G21" s="35"/>
      <c r="H21" s="38"/>
      <c r="I21" s="13"/>
      <c r="J21" s="34"/>
      <c r="K21" s="35"/>
      <c r="L21" s="39"/>
    </row>
    <row r="22" ht="15" spans="1:12">
      <c r="A22" s="27"/>
      <c r="B22" s="33"/>
      <c r="C22" s="35"/>
      <c r="D22" s="35"/>
      <c r="E22" s="36"/>
      <c r="F22" s="35"/>
      <c r="G22" s="35"/>
      <c r="H22" s="60"/>
      <c r="I22" s="35"/>
      <c r="J22" s="34"/>
      <c r="K22" s="35"/>
      <c r="L22" s="39"/>
    </row>
    <row r="23" ht="15" spans="1:12">
      <c r="A23" s="27"/>
      <c r="B23" s="33"/>
      <c r="C23" s="35"/>
      <c r="D23" s="35"/>
      <c r="E23" s="36"/>
      <c r="F23" s="35"/>
      <c r="G23" s="36"/>
      <c r="H23" s="38"/>
      <c r="I23" s="35"/>
      <c r="J23" s="34"/>
      <c r="K23" s="35"/>
      <c r="L23" s="39"/>
    </row>
    <row r="24" ht="15" spans="1:12">
      <c r="A24" s="27"/>
      <c r="B24" s="33"/>
      <c r="C24" s="35"/>
      <c r="D24" s="35"/>
      <c r="E24" s="36"/>
      <c r="F24" s="35"/>
      <c r="G24" s="35"/>
      <c r="H24" s="38"/>
      <c r="I24" s="35"/>
      <c r="J24" s="34"/>
      <c r="K24" s="35"/>
      <c r="L24" s="39"/>
    </row>
    <row r="25" ht="15" spans="1:12">
      <c r="A25" s="27"/>
      <c r="B25" s="33"/>
      <c r="C25" s="35"/>
      <c r="D25" s="35"/>
      <c r="E25" s="36"/>
      <c r="F25" s="35"/>
      <c r="G25" s="35"/>
      <c r="H25" s="38"/>
      <c r="I25" s="35"/>
      <c r="J25" s="34"/>
      <c r="K25" s="35"/>
      <c r="L25" s="39"/>
    </row>
    <row r="26" ht="15" spans="1:12">
      <c r="A26" s="27"/>
      <c r="B26" s="33"/>
      <c r="C26" s="35"/>
      <c r="D26" s="35"/>
      <c r="E26" s="16" t="s">
        <v>153</v>
      </c>
      <c r="F26" s="16"/>
      <c r="G26" s="16"/>
      <c r="H26" s="16"/>
      <c r="I26" s="16"/>
      <c r="J26" s="17"/>
      <c r="K26" s="18"/>
      <c r="L26" s="19">
        <f>SUM(L17:L25)</f>
        <v>7.65</v>
      </c>
    </row>
    <row r="27" ht="15.6" spans="1:12">
      <c r="A27" s="27"/>
      <c r="B27" s="33"/>
      <c r="C27" s="35"/>
      <c r="D27" s="35"/>
      <c r="E27" s="36" t="s">
        <v>154</v>
      </c>
      <c r="F27" s="36" t="s">
        <v>35</v>
      </c>
      <c r="G27" s="36">
        <v>1</v>
      </c>
      <c r="H27" s="58"/>
      <c r="I27" s="35"/>
      <c r="J27" s="59"/>
      <c r="K27" s="36"/>
      <c r="L27" s="61"/>
    </row>
    <row r="28" ht="15.6" spans="1:12">
      <c r="A28" s="27"/>
      <c r="B28" s="33"/>
      <c r="C28" s="35"/>
      <c r="D28" s="35"/>
      <c r="E28" s="36"/>
      <c r="F28" s="36"/>
      <c r="G28" s="36">
        <v>2</v>
      </c>
      <c r="H28" s="58"/>
      <c r="I28" s="36"/>
      <c r="J28" s="59"/>
      <c r="K28" s="36"/>
      <c r="L28" s="61"/>
    </row>
    <row r="29" ht="15.6" spans="1:12">
      <c r="A29" s="27" t="s">
        <v>323</v>
      </c>
      <c r="B29" s="33" t="s">
        <v>106</v>
      </c>
      <c r="C29" s="35" t="s">
        <v>137</v>
      </c>
      <c r="D29" s="35"/>
      <c r="E29" s="36" t="s">
        <v>138</v>
      </c>
      <c r="F29" s="35" t="s">
        <v>35</v>
      </c>
      <c r="G29" s="35">
        <v>1</v>
      </c>
      <c r="H29" s="38" t="s">
        <v>324</v>
      </c>
      <c r="I29" s="13" t="s">
        <v>104</v>
      </c>
      <c r="J29" s="34">
        <v>1</v>
      </c>
      <c r="K29" s="35"/>
      <c r="L29" s="33">
        <v>0.5</v>
      </c>
    </row>
    <row r="30" ht="15.6" spans="1:12">
      <c r="A30" s="27"/>
      <c r="B30" s="33"/>
      <c r="C30" s="35"/>
      <c r="D30" s="35"/>
      <c r="E30" s="36"/>
      <c r="F30" s="35"/>
      <c r="G30" s="35">
        <v>2</v>
      </c>
      <c r="H30" s="60"/>
      <c r="I30" s="13"/>
      <c r="J30" s="34"/>
      <c r="K30" s="35"/>
      <c r="L30" s="33"/>
    </row>
    <row r="31" ht="15.6" spans="1:12">
      <c r="A31" s="27"/>
      <c r="B31" s="33"/>
      <c r="C31" s="35"/>
      <c r="D31" s="35"/>
      <c r="E31" s="36"/>
      <c r="F31" s="35"/>
      <c r="G31" s="35">
        <v>3</v>
      </c>
      <c r="H31" s="38"/>
      <c r="I31" s="13"/>
      <c r="J31" s="34"/>
      <c r="K31" s="35"/>
      <c r="L31" s="33"/>
    </row>
    <row r="32" ht="15.6" spans="1:12">
      <c r="A32" s="27"/>
      <c r="B32" s="33"/>
      <c r="C32" s="35"/>
      <c r="D32" s="35"/>
      <c r="E32" s="36"/>
      <c r="F32" s="35"/>
      <c r="G32" s="35"/>
      <c r="H32" s="38"/>
      <c r="I32" s="13"/>
      <c r="J32" s="34"/>
      <c r="K32" s="35"/>
      <c r="L32" s="33"/>
    </row>
    <row r="33" ht="15.6" spans="1:12">
      <c r="A33" s="27"/>
      <c r="B33" s="33"/>
      <c r="C33" s="35"/>
      <c r="D33" s="35"/>
      <c r="E33" s="36"/>
      <c r="F33" s="35"/>
      <c r="G33" s="35"/>
      <c r="H33" s="38"/>
      <c r="I33" s="13"/>
      <c r="J33" s="34"/>
      <c r="K33" s="35"/>
      <c r="L33" s="33"/>
    </row>
    <row r="34" ht="15.6" spans="1:12">
      <c r="A34" s="27"/>
      <c r="B34" s="33"/>
      <c r="C34" s="35"/>
      <c r="D34" s="35"/>
      <c r="E34" s="36"/>
      <c r="F34" s="35"/>
      <c r="G34" s="35"/>
      <c r="H34" s="60"/>
      <c r="I34" s="35"/>
      <c r="J34" s="34"/>
      <c r="K34" s="35"/>
      <c r="L34" s="33"/>
    </row>
    <row r="35" ht="15.6" spans="1:12">
      <c r="A35" s="27"/>
      <c r="B35" s="33"/>
      <c r="C35" s="35"/>
      <c r="D35" s="35"/>
      <c r="E35" s="36"/>
      <c r="F35" s="35"/>
      <c r="G35" s="36"/>
      <c r="H35" s="38"/>
      <c r="I35" s="35"/>
      <c r="J35" s="34"/>
      <c r="K35" s="35"/>
      <c r="L35" s="33"/>
    </row>
    <row r="36" ht="15.6" spans="1:12">
      <c r="A36" s="27"/>
      <c r="B36" s="33"/>
      <c r="C36" s="35"/>
      <c r="D36" s="35"/>
      <c r="E36" s="36"/>
      <c r="F36" s="35"/>
      <c r="G36" s="35"/>
      <c r="H36" s="38"/>
      <c r="I36" s="35"/>
      <c r="J36" s="34"/>
      <c r="K36" s="35"/>
      <c r="L36" s="33"/>
    </row>
    <row r="37" ht="15.6" spans="1:12">
      <c r="A37" s="27"/>
      <c r="B37" s="33"/>
      <c r="C37" s="35"/>
      <c r="D37" s="35"/>
      <c r="E37" s="36"/>
      <c r="F37" s="35"/>
      <c r="G37" s="35"/>
      <c r="H37" s="38"/>
      <c r="I37" s="35"/>
      <c r="J37" s="34"/>
      <c r="K37" s="35"/>
      <c r="L37" s="33"/>
    </row>
    <row r="38" ht="15" spans="1:12">
      <c r="A38" s="27"/>
      <c r="B38" s="33"/>
      <c r="C38" s="35"/>
      <c r="D38" s="35"/>
      <c r="E38" s="16" t="s">
        <v>153</v>
      </c>
      <c r="F38" s="16"/>
      <c r="G38" s="16"/>
      <c r="H38" s="16"/>
      <c r="I38" s="16"/>
      <c r="J38" s="17"/>
      <c r="K38" s="18"/>
      <c r="L38" s="19">
        <f>SUM(L29:L37)</f>
        <v>0.5</v>
      </c>
    </row>
    <row r="39" ht="15.6" spans="1:12">
      <c r="A39" s="27"/>
      <c r="B39" s="33"/>
      <c r="C39" s="35"/>
      <c r="D39" s="35"/>
      <c r="E39" s="36" t="s">
        <v>154</v>
      </c>
      <c r="F39" s="36" t="s">
        <v>35</v>
      </c>
      <c r="G39" s="36">
        <v>1</v>
      </c>
      <c r="H39" s="58"/>
      <c r="I39" s="35"/>
      <c r="J39" s="59"/>
      <c r="K39" s="36"/>
      <c r="L39" s="61"/>
    </row>
    <row r="40" ht="15.6" spans="1:12">
      <c r="A40" s="27"/>
      <c r="B40" s="33"/>
      <c r="C40" s="35"/>
      <c r="D40" s="35"/>
      <c r="E40" s="36"/>
      <c r="F40" s="36"/>
      <c r="G40" s="36">
        <v>2</v>
      </c>
      <c r="H40" s="58"/>
      <c r="I40" s="36"/>
      <c r="J40" s="59"/>
      <c r="K40" s="36"/>
      <c r="L40" s="39"/>
    </row>
    <row r="41" ht="60" spans="1:12">
      <c r="A41" s="27" t="s">
        <v>325</v>
      </c>
      <c r="B41" s="33" t="s">
        <v>106</v>
      </c>
      <c r="C41" s="34">
        <v>0.95</v>
      </c>
      <c r="D41" s="35"/>
      <c r="E41" s="36" t="s">
        <v>138</v>
      </c>
      <c r="F41" s="37" t="s">
        <v>35</v>
      </c>
      <c r="G41" s="35">
        <v>1</v>
      </c>
      <c r="H41" s="38" t="s">
        <v>326</v>
      </c>
      <c r="I41" s="38" t="s">
        <v>327</v>
      </c>
      <c r="J41" s="34">
        <v>1</v>
      </c>
      <c r="K41" s="35"/>
      <c r="L41" s="39">
        <v>5</v>
      </c>
    </row>
    <row r="42" ht="15" spans="1:12">
      <c r="A42" s="27"/>
      <c r="B42" s="33"/>
      <c r="C42" s="35"/>
      <c r="D42" s="35"/>
      <c r="E42" s="36"/>
      <c r="F42" s="40"/>
      <c r="G42" s="35">
        <v>2</v>
      </c>
      <c r="H42" s="38" t="s">
        <v>328</v>
      </c>
      <c r="I42" s="60" t="s">
        <v>329</v>
      </c>
      <c r="J42" s="34">
        <v>1</v>
      </c>
      <c r="K42" s="35"/>
      <c r="L42" s="39">
        <v>3</v>
      </c>
    </row>
    <row r="43" ht="15" spans="1:12">
      <c r="A43" s="27"/>
      <c r="B43" s="33"/>
      <c r="C43" s="35"/>
      <c r="D43" s="35"/>
      <c r="E43" s="36"/>
      <c r="F43" s="40"/>
      <c r="G43" s="35">
        <v>3</v>
      </c>
      <c r="H43" s="62"/>
      <c r="I43" s="38" t="s">
        <v>305</v>
      </c>
      <c r="J43" s="34">
        <v>1</v>
      </c>
      <c r="K43" s="35"/>
      <c r="L43" s="39">
        <v>2</v>
      </c>
    </row>
    <row r="44" ht="75" spans="1:12">
      <c r="A44" s="27"/>
      <c r="B44" s="33"/>
      <c r="C44" s="35"/>
      <c r="D44" s="35"/>
      <c r="E44" s="36"/>
      <c r="F44" s="40"/>
      <c r="G44" s="35">
        <v>3</v>
      </c>
      <c r="H44" s="38" t="s">
        <v>330</v>
      </c>
      <c r="I44" s="38" t="s">
        <v>106</v>
      </c>
      <c r="J44" s="34">
        <v>1</v>
      </c>
      <c r="K44" s="35"/>
      <c r="L44" s="39">
        <v>2.5</v>
      </c>
    </row>
    <row r="45" ht="15" spans="1:12">
      <c r="A45" s="27"/>
      <c r="B45" s="33"/>
      <c r="C45" s="35"/>
      <c r="D45" s="35"/>
      <c r="E45" s="36"/>
      <c r="F45" s="40"/>
      <c r="G45" s="35">
        <v>4</v>
      </c>
      <c r="H45" s="38"/>
      <c r="I45" s="38"/>
      <c r="J45" s="34"/>
      <c r="K45" s="35"/>
      <c r="L45" s="39"/>
    </row>
    <row r="46" ht="15" spans="1:12">
      <c r="A46" s="27"/>
      <c r="B46" s="33"/>
      <c r="C46" s="35"/>
      <c r="D46" s="35"/>
      <c r="E46" s="36"/>
      <c r="F46" s="54"/>
      <c r="G46" s="35">
        <v>5</v>
      </c>
      <c r="H46" s="60"/>
      <c r="I46" s="60"/>
      <c r="J46" s="34"/>
      <c r="K46" s="35"/>
      <c r="L46" s="39"/>
    </row>
    <row r="47" ht="15" spans="1:12">
      <c r="A47" s="27"/>
      <c r="B47" s="33"/>
      <c r="C47" s="35"/>
      <c r="D47" s="35"/>
      <c r="E47" s="36"/>
      <c r="F47" s="37" t="s">
        <v>331</v>
      </c>
      <c r="G47" s="36">
        <v>1</v>
      </c>
      <c r="H47" s="63" t="s">
        <v>332</v>
      </c>
      <c r="I47" s="38" t="s">
        <v>312</v>
      </c>
      <c r="J47" s="64">
        <v>1</v>
      </c>
      <c r="K47" s="35"/>
      <c r="L47" s="39">
        <v>3</v>
      </c>
    </row>
    <row r="48" ht="15" spans="1:12">
      <c r="A48" s="27"/>
      <c r="B48" s="33"/>
      <c r="C48" s="35"/>
      <c r="D48" s="35"/>
      <c r="E48" s="36"/>
      <c r="F48" s="40"/>
      <c r="G48" s="35">
        <v>2</v>
      </c>
      <c r="H48" s="65"/>
      <c r="I48" s="38" t="s">
        <v>314</v>
      </c>
      <c r="J48" s="66"/>
      <c r="K48" s="35"/>
      <c r="L48" s="39">
        <v>3</v>
      </c>
    </row>
    <row r="49" ht="15" spans="1:12">
      <c r="A49" s="27"/>
      <c r="B49" s="33"/>
      <c r="C49" s="35"/>
      <c r="D49" s="35"/>
      <c r="E49" s="36"/>
      <c r="F49" s="54"/>
      <c r="G49" s="35">
        <v>3</v>
      </c>
      <c r="H49" s="38"/>
      <c r="I49" s="35"/>
      <c r="J49" s="34"/>
      <c r="K49" s="35"/>
      <c r="L49" s="39"/>
    </row>
    <row r="50" ht="15" spans="1:12">
      <c r="A50" s="27"/>
      <c r="B50" s="33"/>
      <c r="C50" s="35"/>
      <c r="D50" s="35"/>
      <c r="E50" s="16" t="s">
        <v>153</v>
      </c>
      <c r="F50" s="16"/>
      <c r="G50" s="16"/>
      <c r="H50" s="16"/>
      <c r="I50" s="16"/>
      <c r="J50" s="17"/>
      <c r="K50" s="18"/>
      <c r="L50" s="19">
        <f>SUM(L41:L49)</f>
        <v>18.5</v>
      </c>
    </row>
    <row r="51" ht="15.6" spans="1:12">
      <c r="A51" s="27"/>
      <c r="B51" s="33"/>
      <c r="C51" s="35"/>
      <c r="D51" s="35"/>
      <c r="E51" s="36" t="s">
        <v>154</v>
      </c>
      <c r="F51" s="36" t="s">
        <v>35</v>
      </c>
      <c r="G51" s="36">
        <v>1</v>
      </c>
      <c r="H51" s="58"/>
      <c r="I51" s="35"/>
      <c r="J51" s="59"/>
      <c r="K51" s="36"/>
      <c r="L51" s="61"/>
    </row>
    <row r="52" ht="15.6" spans="1:12">
      <c r="A52" s="27"/>
      <c r="B52" s="33"/>
      <c r="C52" s="35"/>
      <c r="D52" s="35"/>
      <c r="E52" s="36"/>
      <c r="F52" s="36"/>
      <c r="G52" s="36">
        <v>2</v>
      </c>
      <c r="H52" s="58"/>
      <c r="I52" s="36"/>
      <c r="J52" s="59"/>
      <c r="K52" s="36"/>
      <c r="L52" s="61"/>
    </row>
    <row r="53" ht="15" spans="1:12">
      <c r="A53" s="27" t="s">
        <v>333</v>
      </c>
      <c r="B53" s="33" t="s">
        <v>106</v>
      </c>
      <c r="C53" s="35" t="s">
        <v>137</v>
      </c>
      <c r="D53" s="35"/>
      <c r="E53" s="36" t="s">
        <v>138</v>
      </c>
      <c r="F53" s="35" t="s">
        <v>35</v>
      </c>
      <c r="G53" s="35">
        <v>1</v>
      </c>
      <c r="H53" s="38"/>
      <c r="I53" s="13"/>
      <c r="J53" s="34"/>
      <c r="K53" s="35"/>
      <c r="L53" s="39"/>
    </row>
    <row r="54" ht="15" spans="1:12">
      <c r="A54" s="27"/>
      <c r="B54" s="33"/>
      <c r="C54" s="35"/>
      <c r="D54" s="35"/>
      <c r="E54" s="36"/>
      <c r="F54" s="35"/>
      <c r="G54" s="35">
        <v>2</v>
      </c>
      <c r="H54" s="60"/>
      <c r="I54" s="13"/>
      <c r="J54" s="34"/>
      <c r="K54" s="35"/>
      <c r="L54" s="39"/>
    </row>
    <row r="55" ht="15" spans="1:12">
      <c r="A55" s="27"/>
      <c r="B55" s="33"/>
      <c r="C55" s="35"/>
      <c r="D55" s="35"/>
      <c r="E55" s="36"/>
      <c r="F55" s="35"/>
      <c r="G55" s="35">
        <v>3</v>
      </c>
      <c r="H55" s="38"/>
      <c r="I55" s="13"/>
      <c r="J55" s="34"/>
      <c r="K55" s="35"/>
      <c r="L55" s="39"/>
    </row>
    <row r="56" ht="15" spans="1:12">
      <c r="A56" s="27"/>
      <c r="B56" s="33"/>
      <c r="C56" s="35"/>
      <c r="D56" s="35"/>
      <c r="E56" s="36"/>
      <c r="F56" s="35"/>
      <c r="G56" s="35"/>
      <c r="H56" s="38"/>
      <c r="I56" s="13"/>
      <c r="J56" s="34"/>
      <c r="K56" s="35"/>
      <c r="L56" s="39"/>
    </row>
    <row r="57" ht="15" spans="1:12">
      <c r="A57" s="27"/>
      <c r="B57" s="33"/>
      <c r="C57" s="35"/>
      <c r="D57" s="35"/>
      <c r="E57" s="36"/>
      <c r="F57" s="35"/>
      <c r="G57" s="35"/>
      <c r="H57" s="38"/>
      <c r="I57" s="13"/>
      <c r="J57" s="34"/>
      <c r="K57" s="35"/>
      <c r="L57" s="39"/>
    </row>
    <row r="58" ht="15" spans="1:12">
      <c r="A58" s="27"/>
      <c r="B58" s="33"/>
      <c r="C58" s="35"/>
      <c r="D58" s="35"/>
      <c r="E58" s="36"/>
      <c r="F58" s="35"/>
      <c r="G58" s="35"/>
      <c r="H58" s="60"/>
      <c r="I58" s="35"/>
      <c r="J58" s="34"/>
      <c r="K58" s="35"/>
      <c r="L58" s="39"/>
    </row>
    <row r="59" ht="15" spans="1:12">
      <c r="A59" s="27"/>
      <c r="B59" s="33"/>
      <c r="C59" s="35"/>
      <c r="D59" s="35"/>
      <c r="E59" s="36"/>
      <c r="F59" s="35"/>
      <c r="G59" s="36"/>
      <c r="H59" s="38"/>
      <c r="I59" s="35"/>
      <c r="J59" s="34"/>
      <c r="K59" s="35"/>
      <c r="L59" s="39"/>
    </row>
    <row r="60" ht="15" spans="1:12">
      <c r="A60" s="27"/>
      <c r="B60" s="33"/>
      <c r="C60" s="35"/>
      <c r="D60" s="35"/>
      <c r="E60" s="36"/>
      <c r="F60" s="35"/>
      <c r="G60" s="35"/>
      <c r="H60" s="38"/>
      <c r="I60" s="35"/>
      <c r="J60" s="34"/>
      <c r="K60" s="35"/>
      <c r="L60" s="39"/>
    </row>
    <row r="61" ht="15" spans="1:12">
      <c r="A61" s="27"/>
      <c r="B61" s="33"/>
      <c r="C61" s="35"/>
      <c r="D61" s="35"/>
      <c r="E61" s="36"/>
      <c r="F61" s="35"/>
      <c r="G61" s="35"/>
      <c r="H61" s="38"/>
      <c r="I61" s="35"/>
      <c r="J61" s="34"/>
      <c r="K61" s="35"/>
      <c r="L61" s="39"/>
    </row>
    <row r="62" ht="15" spans="1:12">
      <c r="A62" s="27"/>
      <c r="B62" s="33"/>
      <c r="C62" s="35"/>
      <c r="D62" s="35"/>
      <c r="E62" s="16" t="s">
        <v>153</v>
      </c>
      <c r="F62" s="16"/>
      <c r="G62" s="16"/>
      <c r="H62" s="16"/>
      <c r="I62" s="16"/>
      <c r="J62" s="17"/>
      <c r="K62" s="18"/>
      <c r="L62" s="19">
        <f>SUM(L53:L61)</f>
        <v>0</v>
      </c>
    </row>
    <row r="63" ht="15.6" spans="1:12">
      <c r="A63" s="27"/>
      <c r="B63" s="33"/>
      <c r="C63" s="35"/>
      <c r="D63" s="35"/>
      <c r="E63" s="36" t="s">
        <v>154</v>
      </c>
      <c r="F63" s="36" t="s">
        <v>35</v>
      </c>
      <c r="G63" s="36">
        <v>1</v>
      </c>
      <c r="H63" s="58"/>
      <c r="I63" s="35"/>
      <c r="J63" s="59"/>
      <c r="K63" s="36"/>
      <c r="L63" s="39"/>
    </row>
    <row r="64" ht="15.6" spans="1:12">
      <c r="A64" s="27"/>
      <c r="B64" s="33"/>
      <c r="C64" s="35"/>
      <c r="D64" s="35"/>
      <c r="E64" s="36"/>
      <c r="F64" s="36"/>
      <c r="G64" s="36">
        <v>2</v>
      </c>
      <c r="H64" s="58"/>
      <c r="I64" s="36"/>
      <c r="J64" s="59"/>
      <c r="K64" s="36"/>
      <c r="L64" s="39"/>
    </row>
    <row r="65" ht="15" spans="1:12">
      <c r="A65" s="27" t="s">
        <v>334</v>
      </c>
      <c r="B65" s="33" t="s">
        <v>327</v>
      </c>
      <c r="C65" s="35" t="s">
        <v>137</v>
      </c>
      <c r="D65" s="35"/>
      <c r="E65" s="36" t="s">
        <v>138</v>
      </c>
      <c r="F65" s="35" t="s">
        <v>35</v>
      </c>
      <c r="G65" s="35">
        <v>1</v>
      </c>
      <c r="H65" s="38"/>
      <c r="I65" s="13"/>
      <c r="J65" s="34"/>
      <c r="K65" s="35"/>
      <c r="L65" s="39"/>
    </row>
    <row r="66" ht="15" spans="1:12">
      <c r="A66" s="27"/>
      <c r="B66" s="33"/>
      <c r="C66" s="35"/>
      <c r="D66" s="35"/>
      <c r="E66" s="36"/>
      <c r="F66" s="35"/>
      <c r="G66" s="35">
        <v>2</v>
      </c>
      <c r="H66" s="60"/>
      <c r="I66" s="13"/>
      <c r="J66" s="34"/>
      <c r="K66" s="35"/>
      <c r="L66" s="39"/>
    </row>
    <row r="67" ht="15" spans="1:12">
      <c r="A67" s="27"/>
      <c r="B67" s="33"/>
      <c r="C67" s="35"/>
      <c r="D67" s="35"/>
      <c r="E67" s="36"/>
      <c r="F67" s="35"/>
      <c r="G67" s="35">
        <v>3</v>
      </c>
      <c r="H67" s="38"/>
      <c r="I67" s="13"/>
      <c r="J67" s="34"/>
      <c r="K67" s="35"/>
      <c r="L67" s="39"/>
    </row>
    <row r="68" ht="15" spans="1:12">
      <c r="A68" s="27"/>
      <c r="B68" s="33"/>
      <c r="C68" s="35"/>
      <c r="D68" s="35"/>
      <c r="E68" s="36"/>
      <c r="F68" s="35"/>
      <c r="G68" s="35"/>
      <c r="H68" s="38"/>
      <c r="I68" s="13"/>
      <c r="J68" s="34"/>
      <c r="K68" s="35"/>
      <c r="L68" s="39"/>
    </row>
    <row r="69" ht="15" spans="1:12">
      <c r="A69" s="27"/>
      <c r="B69" s="33"/>
      <c r="C69" s="35"/>
      <c r="D69" s="35"/>
      <c r="E69" s="36"/>
      <c r="F69" s="35"/>
      <c r="G69" s="35"/>
      <c r="H69" s="38"/>
      <c r="I69" s="13"/>
      <c r="J69" s="34"/>
      <c r="K69" s="35"/>
      <c r="L69" s="39"/>
    </row>
    <row r="70" ht="15" spans="1:12">
      <c r="A70" s="27"/>
      <c r="B70" s="33"/>
      <c r="C70" s="35"/>
      <c r="D70" s="35"/>
      <c r="E70" s="36"/>
      <c r="F70" s="35"/>
      <c r="G70" s="35"/>
      <c r="H70" s="60"/>
      <c r="I70" s="35"/>
      <c r="J70" s="34"/>
      <c r="K70" s="35"/>
      <c r="L70" s="39"/>
    </row>
    <row r="71" ht="15" spans="1:12">
      <c r="A71" s="27"/>
      <c r="B71" s="33"/>
      <c r="C71" s="35"/>
      <c r="D71" s="35"/>
      <c r="E71" s="36"/>
      <c r="F71" s="35"/>
      <c r="G71" s="36"/>
      <c r="H71" s="38"/>
      <c r="I71" s="35"/>
      <c r="J71" s="34"/>
      <c r="K71" s="35"/>
      <c r="L71" s="39"/>
    </row>
    <row r="72" ht="15" spans="1:12">
      <c r="A72" s="27"/>
      <c r="B72" s="33"/>
      <c r="C72" s="35"/>
      <c r="D72" s="35"/>
      <c r="E72" s="36"/>
      <c r="F72" s="35"/>
      <c r="G72" s="35"/>
      <c r="H72" s="38"/>
      <c r="I72" s="35"/>
      <c r="J72" s="34"/>
      <c r="K72" s="35"/>
      <c r="L72" s="39"/>
    </row>
    <row r="73" ht="15" spans="1:12">
      <c r="A73" s="27"/>
      <c r="B73" s="33"/>
      <c r="C73" s="35"/>
      <c r="D73" s="35"/>
      <c r="E73" s="36"/>
      <c r="F73" s="35"/>
      <c r="G73" s="35"/>
      <c r="H73" s="38"/>
      <c r="I73" s="35"/>
      <c r="J73" s="34"/>
      <c r="K73" s="35"/>
      <c r="L73" s="39"/>
    </row>
    <row r="74" ht="15" spans="1:12">
      <c r="A74" s="27"/>
      <c r="B74" s="33"/>
      <c r="C74" s="35"/>
      <c r="D74" s="35"/>
      <c r="E74" s="16" t="s">
        <v>153</v>
      </c>
      <c r="F74" s="16"/>
      <c r="G74" s="16"/>
      <c r="H74" s="16"/>
      <c r="I74" s="16"/>
      <c r="J74" s="17"/>
      <c r="K74" s="18"/>
      <c r="L74" s="19">
        <f>SUM(L65:L73)</f>
        <v>0</v>
      </c>
    </row>
    <row r="75" ht="15.6" spans="1:12">
      <c r="A75" s="27"/>
      <c r="B75" s="33"/>
      <c r="C75" s="35"/>
      <c r="D75" s="35"/>
      <c r="E75" s="36" t="s">
        <v>154</v>
      </c>
      <c r="F75" s="36" t="s">
        <v>35</v>
      </c>
      <c r="G75" s="36">
        <v>1</v>
      </c>
      <c r="H75" s="58"/>
      <c r="I75" s="35"/>
      <c r="J75" s="59"/>
      <c r="K75" s="36"/>
      <c r="L75" s="61"/>
    </row>
    <row r="76" ht="15.6" spans="1:12">
      <c r="A76" s="27"/>
      <c r="B76" s="33"/>
      <c r="C76" s="35"/>
      <c r="D76" s="35"/>
      <c r="E76" s="36"/>
      <c r="F76" s="36"/>
      <c r="G76" s="36">
        <v>2</v>
      </c>
      <c r="H76" s="58"/>
      <c r="I76" s="36"/>
      <c r="J76" s="59"/>
      <c r="K76" s="36"/>
      <c r="L76" s="61"/>
    </row>
    <row r="77" ht="30" spans="1:12">
      <c r="A77" s="3" t="s">
        <v>335</v>
      </c>
      <c r="B77" s="9"/>
      <c r="C77" s="10" t="s">
        <v>137</v>
      </c>
      <c r="D77" s="10"/>
      <c r="E77" s="11" t="s">
        <v>138</v>
      </c>
      <c r="F77" s="10" t="s">
        <v>35</v>
      </c>
      <c r="G77" s="10">
        <v>1</v>
      </c>
      <c r="H77" s="67" t="s">
        <v>336</v>
      </c>
      <c r="I77" s="13" t="s">
        <v>303</v>
      </c>
      <c r="J77" s="14">
        <v>0.8</v>
      </c>
      <c r="K77" s="10"/>
      <c r="L77" s="39">
        <v>2</v>
      </c>
    </row>
    <row r="78" ht="30" spans="1:12">
      <c r="A78" s="3"/>
      <c r="B78" s="9"/>
      <c r="C78" s="10"/>
      <c r="D78" s="10"/>
      <c r="E78" s="11"/>
      <c r="F78" s="10"/>
      <c r="G78" s="10">
        <v>2</v>
      </c>
      <c r="H78" s="68" t="s">
        <v>337</v>
      </c>
      <c r="I78" s="13" t="s">
        <v>329</v>
      </c>
      <c r="J78" s="14">
        <v>0.8</v>
      </c>
      <c r="K78" s="10"/>
      <c r="L78" s="39">
        <v>2</v>
      </c>
    </row>
    <row r="79" ht="15" spans="1:12">
      <c r="A79" s="3"/>
      <c r="B79" s="9"/>
      <c r="C79" s="10"/>
      <c r="D79" s="10"/>
      <c r="E79" s="11"/>
      <c r="F79" s="10"/>
      <c r="G79" s="10">
        <v>3</v>
      </c>
      <c r="H79" s="12"/>
      <c r="I79" s="13"/>
      <c r="J79" s="14"/>
      <c r="K79" s="10"/>
      <c r="L79" s="39"/>
    </row>
    <row r="80" ht="15" spans="1:12">
      <c r="A80" s="3"/>
      <c r="B80" s="9"/>
      <c r="C80" s="10"/>
      <c r="D80" s="10"/>
      <c r="E80" s="11"/>
      <c r="F80" s="10"/>
      <c r="G80" s="10"/>
      <c r="H80" s="12"/>
      <c r="I80" s="13"/>
      <c r="J80" s="14"/>
      <c r="K80" s="10"/>
      <c r="L80" s="39"/>
    </row>
    <row r="81" ht="15" spans="1:12">
      <c r="A81" s="3"/>
      <c r="B81" s="9"/>
      <c r="C81" s="10"/>
      <c r="D81" s="10"/>
      <c r="E81" s="11"/>
      <c r="F81" s="10"/>
      <c r="G81" s="10"/>
      <c r="H81" s="12"/>
      <c r="I81" s="13"/>
      <c r="J81" s="14"/>
      <c r="K81" s="10"/>
      <c r="L81" s="39"/>
    </row>
    <row r="82" ht="15" spans="1:12">
      <c r="A82" s="3"/>
      <c r="B82" s="9"/>
      <c r="C82" s="10"/>
      <c r="D82" s="10"/>
      <c r="E82" s="11"/>
      <c r="F82" s="10"/>
      <c r="G82" s="10"/>
      <c r="H82" s="15"/>
      <c r="I82" s="10"/>
      <c r="J82" s="14"/>
      <c r="K82" s="10"/>
      <c r="L82" s="39"/>
    </row>
    <row r="83" ht="15" spans="1:12">
      <c r="A83" s="3"/>
      <c r="B83" s="9"/>
      <c r="C83" s="10"/>
      <c r="D83" s="10"/>
      <c r="E83" s="11"/>
      <c r="F83" s="10"/>
      <c r="G83" s="11"/>
      <c r="H83" s="12"/>
      <c r="I83" s="10"/>
      <c r="J83" s="14"/>
      <c r="K83" s="10"/>
      <c r="L83" s="39"/>
    </row>
    <row r="84" ht="15" spans="1:12">
      <c r="A84" s="3"/>
      <c r="B84" s="9"/>
      <c r="C84" s="10"/>
      <c r="D84" s="10"/>
      <c r="E84" s="11"/>
      <c r="F84" s="10"/>
      <c r="G84" s="10"/>
      <c r="H84" s="12"/>
      <c r="I84" s="10"/>
      <c r="J84" s="14"/>
      <c r="K84" s="10"/>
      <c r="L84" s="39"/>
    </row>
    <row r="85" ht="15" spans="1:12">
      <c r="A85" s="3"/>
      <c r="B85" s="9"/>
      <c r="C85" s="10"/>
      <c r="D85" s="10"/>
      <c r="E85" s="11"/>
      <c r="F85" s="10"/>
      <c r="G85" s="10"/>
      <c r="H85" s="12"/>
      <c r="I85" s="10"/>
      <c r="J85" s="14"/>
      <c r="K85" s="10"/>
      <c r="L85" s="39"/>
    </row>
    <row r="86" ht="15" spans="1:12">
      <c r="A86" s="3"/>
      <c r="B86" s="9"/>
      <c r="C86" s="10"/>
      <c r="D86" s="10"/>
      <c r="E86" s="16" t="s">
        <v>153</v>
      </c>
      <c r="F86" s="16"/>
      <c r="G86" s="16"/>
      <c r="H86" s="16"/>
      <c r="I86" s="16"/>
      <c r="J86" s="17"/>
      <c r="K86" s="18"/>
      <c r="L86" s="19">
        <f>SUM(L77:L85)</f>
        <v>4</v>
      </c>
    </row>
    <row r="87" ht="15.6" spans="1:12">
      <c r="A87" s="3"/>
      <c r="B87" s="9"/>
      <c r="C87" s="10"/>
      <c r="D87" s="10"/>
      <c r="E87" s="11" t="s">
        <v>154</v>
      </c>
      <c r="F87" s="11" t="s">
        <v>35</v>
      </c>
      <c r="G87" s="11">
        <v>1</v>
      </c>
      <c r="H87" s="20"/>
      <c r="I87" s="10"/>
      <c r="J87" s="21"/>
      <c r="K87" s="11"/>
      <c r="L87" s="22"/>
    </row>
    <row r="88" ht="15.6" spans="1:12">
      <c r="A88" s="3"/>
      <c r="B88" s="9"/>
      <c r="C88" s="10"/>
      <c r="D88" s="10"/>
      <c r="E88" s="11"/>
      <c r="F88" s="11"/>
      <c r="G88" s="11">
        <v>2</v>
      </c>
      <c r="H88" s="20"/>
      <c r="I88" s="11"/>
      <c r="J88" s="21"/>
      <c r="K88" s="11"/>
      <c r="L88" s="22"/>
    </row>
  </sheetData>
  <mergeCells count="67">
    <mergeCell ref="E14:H14"/>
    <mergeCell ref="E26:H26"/>
    <mergeCell ref="E38:H38"/>
    <mergeCell ref="E50:H50"/>
    <mergeCell ref="E62:H62"/>
    <mergeCell ref="E74:H74"/>
    <mergeCell ref="E86:H86"/>
    <mergeCell ref="A2:A16"/>
    <mergeCell ref="A17:A28"/>
    <mergeCell ref="A29:A40"/>
    <mergeCell ref="A41:A52"/>
    <mergeCell ref="A53:A64"/>
    <mergeCell ref="A65:A76"/>
    <mergeCell ref="A77:A88"/>
    <mergeCell ref="B2:B16"/>
    <mergeCell ref="B17:B28"/>
    <mergeCell ref="B29:B40"/>
    <mergeCell ref="B41:B52"/>
    <mergeCell ref="B53:B64"/>
    <mergeCell ref="B65:B76"/>
    <mergeCell ref="B77:B88"/>
    <mergeCell ref="C2:C16"/>
    <mergeCell ref="C17:C28"/>
    <mergeCell ref="C29:C40"/>
    <mergeCell ref="C41:C52"/>
    <mergeCell ref="C53:C64"/>
    <mergeCell ref="C65:C76"/>
    <mergeCell ref="C77:C88"/>
    <mergeCell ref="D2:D16"/>
    <mergeCell ref="D17:D28"/>
    <mergeCell ref="D29:D40"/>
    <mergeCell ref="D41:D52"/>
    <mergeCell ref="D53:D64"/>
    <mergeCell ref="D65:D76"/>
    <mergeCell ref="D77:D88"/>
    <mergeCell ref="E2:E13"/>
    <mergeCell ref="E15:E16"/>
    <mergeCell ref="E17:E25"/>
    <mergeCell ref="E27:E28"/>
    <mergeCell ref="E29:E37"/>
    <mergeCell ref="E39:E40"/>
    <mergeCell ref="E41:E49"/>
    <mergeCell ref="E51:E52"/>
    <mergeCell ref="E53:E61"/>
    <mergeCell ref="E63:E64"/>
    <mergeCell ref="E65:E73"/>
    <mergeCell ref="E75:E76"/>
    <mergeCell ref="E77:E85"/>
    <mergeCell ref="E87:E88"/>
    <mergeCell ref="F2:F13"/>
    <mergeCell ref="F15:F16"/>
    <mergeCell ref="F17:F25"/>
    <mergeCell ref="F27:F28"/>
    <mergeCell ref="F29:F37"/>
    <mergeCell ref="F39:F40"/>
    <mergeCell ref="F41:F46"/>
    <mergeCell ref="F47:F49"/>
    <mergeCell ref="F51:F52"/>
    <mergeCell ref="F53:F61"/>
    <mergeCell ref="F63:F64"/>
    <mergeCell ref="F65:F73"/>
    <mergeCell ref="F75:F76"/>
    <mergeCell ref="F77:F85"/>
    <mergeCell ref="F87:F88"/>
    <mergeCell ref="H42:H43"/>
    <mergeCell ref="H47:H48"/>
    <mergeCell ref="J47:J48"/>
  </mergeCells>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Z19"/>
  <sheetViews>
    <sheetView workbookViewId="0">
      <pane ySplit="1" topLeftCell="A2" activePane="bottomLeft" state="frozen"/>
      <selection/>
      <selection pane="bottomLeft" activeCell="A2" sqref="A2:L19"/>
    </sheetView>
  </sheetViews>
  <sheetFormatPr defaultColWidth="9.13888888888889" defaultRowHeight="13.2"/>
  <cols>
    <col min="1" max="1" width="22.4259259259259" style="1" customWidth="1"/>
    <col min="2" max="2" width="11.712962962963" style="1" customWidth="1"/>
    <col min="3" max="7" width="9.13888888888889" style="1"/>
    <col min="8" max="8" width="59.712962962963" style="1" customWidth="1"/>
    <col min="9" max="11" width="9.13888888888889" style="1"/>
    <col min="12" max="12" width="19.5740740740741" style="2" customWidth="1"/>
    <col min="13" max="16384" width="9.13888888888889" style="1"/>
  </cols>
  <sheetData>
    <row r="1" ht="69.6" spans="1:26">
      <c r="A1" s="3" t="s">
        <v>126</v>
      </c>
      <c r="B1" s="4" t="s">
        <v>6</v>
      </c>
      <c r="C1" s="3" t="s">
        <v>127</v>
      </c>
      <c r="D1" s="3" t="s">
        <v>128</v>
      </c>
      <c r="E1" s="4" t="s">
        <v>129</v>
      </c>
      <c r="F1" s="3" t="s">
        <v>130</v>
      </c>
      <c r="G1" s="3" t="s">
        <v>1</v>
      </c>
      <c r="H1" s="5" t="s">
        <v>131</v>
      </c>
      <c r="I1" s="3" t="s">
        <v>132</v>
      </c>
      <c r="J1" s="6" t="s">
        <v>133</v>
      </c>
      <c r="K1" s="3" t="s">
        <v>134</v>
      </c>
      <c r="L1" s="7" t="s">
        <v>135</v>
      </c>
      <c r="M1" s="8"/>
      <c r="N1" s="8"/>
      <c r="O1" s="8"/>
      <c r="P1" s="8"/>
      <c r="Q1" s="8"/>
      <c r="R1" s="8"/>
      <c r="S1" s="8"/>
      <c r="T1" s="8"/>
      <c r="U1" s="8"/>
      <c r="V1" s="8"/>
      <c r="W1" s="8"/>
      <c r="X1" s="8"/>
      <c r="Y1" s="8"/>
      <c r="Z1" s="8"/>
    </row>
    <row r="2" ht="15.6" spans="1:26">
      <c r="A2" s="3" t="s">
        <v>338</v>
      </c>
      <c r="B2" s="9" t="s">
        <v>56</v>
      </c>
      <c r="C2" s="285" t="s">
        <v>137</v>
      </c>
      <c r="D2" s="10"/>
      <c r="E2" s="11" t="s">
        <v>138</v>
      </c>
      <c r="F2" s="10" t="s">
        <v>35</v>
      </c>
      <c r="G2" s="10">
        <v>1</v>
      </c>
      <c r="H2" s="12" t="s">
        <v>339</v>
      </c>
      <c r="I2" s="13" t="s">
        <v>340</v>
      </c>
      <c r="J2" s="14">
        <v>1</v>
      </c>
      <c r="K2" s="10"/>
      <c r="L2" s="9"/>
    </row>
    <row r="3" ht="15.6" spans="1:26">
      <c r="A3" s="3"/>
      <c r="B3" s="9"/>
      <c r="C3" s="10"/>
      <c r="D3" s="10"/>
      <c r="E3" s="11"/>
      <c r="F3" s="10"/>
      <c r="G3" s="10">
        <v>2</v>
      </c>
      <c r="H3" s="15" t="s">
        <v>341</v>
      </c>
      <c r="I3" s="13" t="s">
        <v>342</v>
      </c>
      <c r="J3" s="14">
        <v>1</v>
      </c>
      <c r="K3" s="10" t="s">
        <v>343</v>
      </c>
      <c r="L3" s="9"/>
    </row>
    <row r="4" ht="24" customHeight="1" spans="1:26">
      <c r="A4" s="3"/>
      <c r="B4" s="9"/>
      <c r="C4" s="10"/>
      <c r="D4" s="10"/>
      <c r="E4" s="11"/>
      <c r="F4" s="10"/>
      <c r="G4" s="10">
        <v>3</v>
      </c>
      <c r="H4" s="12" t="s">
        <v>344</v>
      </c>
      <c r="I4" s="13" t="s">
        <v>340</v>
      </c>
      <c r="J4" s="14">
        <v>0.8</v>
      </c>
      <c r="K4" s="10" t="s">
        <v>345</v>
      </c>
      <c r="L4" s="9">
        <v>10</v>
      </c>
    </row>
    <row r="5" ht="22" customHeight="1" spans="1:26">
      <c r="A5" s="3"/>
      <c r="B5" s="9"/>
      <c r="C5" s="10"/>
      <c r="D5" s="10"/>
      <c r="E5" s="11"/>
      <c r="F5" s="10"/>
      <c r="G5" s="10">
        <v>4</v>
      </c>
      <c r="H5" s="12" t="s">
        <v>346</v>
      </c>
      <c r="I5" s="13" t="s">
        <v>347</v>
      </c>
      <c r="J5" s="14">
        <v>0.95</v>
      </c>
      <c r="K5" s="10" t="s">
        <v>343</v>
      </c>
      <c r="L5" s="9">
        <v>1</v>
      </c>
    </row>
    <row r="6" ht="30" spans="1:26">
      <c r="A6" s="3"/>
      <c r="B6" s="9"/>
      <c r="C6" s="10"/>
      <c r="D6" s="10"/>
      <c r="E6" s="11"/>
      <c r="F6" s="10"/>
      <c r="G6" s="10">
        <v>5</v>
      </c>
      <c r="H6" s="12" t="s">
        <v>348</v>
      </c>
      <c r="I6" s="13" t="s">
        <v>349</v>
      </c>
      <c r="J6" s="14">
        <v>0.9</v>
      </c>
      <c r="K6" s="10" t="s">
        <v>345</v>
      </c>
      <c r="L6" s="9">
        <v>5</v>
      </c>
    </row>
    <row r="7" ht="15.6" spans="1:26">
      <c r="A7" s="3"/>
      <c r="B7" s="9"/>
      <c r="C7" s="10"/>
      <c r="D7" s="10"/>
      <c r="E7" s="11"/>
      <c r="F7" s="10"/>
      <c r="G7" s="10">
        <v>6</v>
      </c>
      <c r="H7" s="15" t="s">
        <v>350</v>
      </c>
      <c r="I7" s="10" t="s">
        <v>340</v>
      </c>
      <c r="J7" s="14">
        <v>1</v>
      </c>
      <c r="K7" s="10"/>
      <c r="L7" s="9"/>
    </row>
    <row r="8" ht="30" spans="1:26">
      <c r="A8" s="3"/>
      <c r="B8" s="9"/>
      <c r="C8" s="10"/>
      <c r="D8" s="10"/>
      <c r="E8" s="11"/>
      <c r="F8" s="10"/>
      <c r="G8" s="11">
        <v>7</v>
      </c>
      <c r="H8" s="12" t="s">
        <v>351</v>
      </c>
      <c r="I8" s="10" t="s">
        <v>349</v>
      </c>
      <c r="J8" s="14">
        <v>1</v>
      </c>
      <c r="K8" s="10" t="s">
        <v>352</v>
      </c>
      <c r="L8" s="9"/>
    </row>
    <row r="9" ht="33" customHeight="1" spans="1:26">
      <c r="A9" s="3"/>
      <c r="B9" s="9"/>
      <c r="C9" s="10"/>
      <c r="D9" s="10"/>
      <c r="E9" s="11"/>
      <c r="F9" s="10"/>
      <c r="G9" s="10">
        <v>8</v>
      </c>
      <c r="H9" s="12" t="s">
        <v>353</v>
      </c>
      <c r="I9" s="10" t="s">
        <v>342</v>
      </c>
      <c r="J9" s="14">
        <v>0.95</v>
      </c>
      <c r="K9" s="10" t="s">
        <v>354</v>
      </c>
      <c r="L9" s="9">
        <v>1</v>
      </c>
    </row>
    <row r="10" ht="25" customHeight="1" spans="1:26">
      <c r="A10" s="3"/>
      <c r="B10" s="9"/>
      <c r="C10" s="10"/>
      <c r="D10" s="10"/>
      <c r="E10" s="11"/>
      <c r="F10" s="10"/>
      <c r="G10" s="10">
        <v>9</v>
      </c>
      <c r="H10" s="12" t="s">
        <v>355</v>
      </c>
      <c r="I10" s="10" t="s">
        <v>349</v>
      </c>
      <c r="J10" s="14">
        <v>0.7</v>
      </c>
      <c r="K10" s="10" t="s">
        <v>356</v>
      </c>
      <c r="L10" s="9">
        <v>5</v>
      </c>
    </row>
    <row r="11" ht="23" customHeight="1" spans="1:26">
      <c r="A11" s="3"/>
      <c r="B11" s="9"/>
      <c r="C11" s="10"/>
      <c r="D11" s="10"/>
      <c r="E11" s="11"/>
      <c r="F11" s="10" t="s">
        <v>112</v>
      </c>
      <c r="G11" s="10">
        <v>10</v>
      </c>
      <c r="H11" s="12" t="s">
        <v>357</v>
      </c>
      <c r="I11" s="10" t="s">
        <v>56</v>
      </c>
      <c r="J11" s="14">
        <v>0.05</v>
      </c>
      <c r="K11" s="10" t="s">
        <v>358</v>
      </c>
      <c r="L11" s="9">
        <v>2</v>
      </c>
    </row>
    <row r="12" ht="23" customHeight="1" spans="1:26">
      <c r="A12" s="3"/>
      <c r="B12" s="9"/>
      <c r="C12" s="10"/>
      <c r="D12" s="10"/>
      <c r="E12" s="11"/>
      <c r="F12" s="10"/>
      <c r="G12" s="10">
        <v>11</v>
      </c>
      <c r="H12" s="12" t="s">
        <v>359</v>
      </c>
      <c r="I12" s="10" t="s">
        <v>340</v>
      </c>
      <c r="J12" s="14">
        <v>0.05</v>
      </c>
      <c r="K12" s="10" t="s">
        <v>358</v>
      </c>
      <c r="L12" s="9">
        <v>0.5</v>
      </c>
    </row>
    <row r="13" ht="24" customHeight="1" spans="1:26">
      <c r="A13" s="3"/>
      <c r="B13" s="9"/>
      <c r="C13" s="10"/>
      <c r="D13" s="10"/>
      <c r="E13" s="11"/>
      <c r="F13" s="10"/>
      <c r="G13" s="10">
        <v>12</v>
      </c>
      <c r="H13" s="12" t="s">
        <v>360</v>
      </c>
      <c r="I13" s="10" t="s">
        <v>56</v>
      </c>
      <c r="J13" s="14">
        <v>0.05</v>
      </c>
      <c r="K13" s="10" t="s">
        <v>358</v>
      </c>
      <c r="L13" s="9">
        <v>0.5</v>
      </c>
    </row>
    <row r="14" ht="15" spans="1:26">
      <c r="A14" s="3"/>
      <c r="B14" s="9"/>
      <c r="C14" s="10"/>
      <c r="D14" s="10"/>
      <c r="E14" s="16" t="s">
        <v>153</v>
      </c>
      <c r="F14" s="16"/>
      <c r="G14" s="16"/>
      <c r="H14" s="16"/>
      <c r="I14" s="16"/>
      <c r="J14" s="17"/>
      <c r="K14" s="18"/>
      <c r="L14" s="19">
        <f>SUM(L2:L13)</f>
        <v>25</v>
      </c>
    </row>
    <row r="15" ht="31.2" spans="1:26">
      <c r="A15" s="3"/>
      <c r="B15" s="9"/>
      <c r="C15" s="10"/>
      <c r="D15" s="10"/>
      <c r="E15" s="11" t="s">
        <v>154</v>
      </c>
      <c r="F15" s="11" t="s">
        <v>35</v>
      </c>
      <c r="G15" s="11">
        <v>1</v>
      </c>
      <c r="H15" s="20" t="s">
        <v>348</v>
      </c>
      <c r="I15" s="10" t="s">
        <v>349</v>
      </c>
      <c r="J15" s="21">
        <v>1</v>
      </c>
      <c r="K15" s="11"/>
      <c r="L15" s="22"/>
    </row>
    <row r="16" ht="17" customHeight="1" spans="1:26">
      <c r="A16" s="3"/>
      <c r="B16" s="9"/>
      <c r="C16" s="10"/>
      <c r="D16" s="10"/>
      <c r="E16" s="11"/>
      <c r="F16" s="11"/>
      <c r="G16" s="11">
        <v>2</v>
      </c>
      <c r="H16" s="20" t="s">
        <v>344</v>
      </c>
      <c r="I16" s="11" t="s">
        <v>340</v>
      </c>
      <c r="J16" s="21">
        <v>0.9</v>
      </c>
      <c r="K16" s="11"/>
      <c r="L16" s="22"/>
    </row>
    <row r="17" ht="15.6" spans="1:12">
      <c r="A17" s="3"/>
      <c r="B17" s="9"/>
      <c r="C17" s="10"/>
      <c r="D17" s="10"/>
      <c r="E17" s="11"/>
      <c r="F17" s="11"/>
      <c r="G17" s="11">
        <v>3</v>
      </c>
      <c r="H17" s="20" t="s">
        <v>355</v>
      </c>
      <c r="I17" s="10" t="s">
        <v>349</v>
      </c>
      <c r="J17" s="21">
        <v>0.8</v>
      </c>
      <c r="K17" s="11"/>
      <c r="L17" s="22"/>
    </row>
    <row r="18" ht="15.6" spans="1:12">
      <c r="A18" s="3"/>
      <c r="B18" s="9"/>
      <c r="C18" s="10"/>
      <c r="D18" s="10"/>
      <c r="E18" s="11"/>
      <c r="F18" s="23" t="s">
        <v>112</v>
      </c>
      <c r="G18" s="11">
        <v>4</v>
      </c>
      <c r="H18" s="20" t="s">
        <v>359</v>
      </c>
      <c r="I18" s="10" t="s">
        <v>361</v>
      </c>
      <c r="J18" s="21">
        <v>0.1</v>
      </c>
      <c r="K18" s="11"/>
      <c r="L18" s="22"/>
    </row>
    <row r="19" ht="15.6" spans="1:12">
      <c r="A19" s="3"/>
      <c r="B19" s="9"/>
      <c r="C19" s="10"/>
      <c r="D19" s="10"/>
      <c r="E19" s="11"/>
      <c r="F19" s="23"/>
      <c r="G19" s="11">
        <v>5</v>
      </c>
      <c r="H19" s="20" t="s">
        <v>360</v>
      </c>
      <c r="I19" s="10" t="s">
        <v>361</v>
      </c>
      <c r="J19" s="21">
        <v>0.1</v>
      </c>
      <c r="K19" s="11"/>
      <c r="L19" s="22"/>
    </row>
  </sheetData>
  <mergeCells count="11">
    <mergeCell ref="E14:H14"/>
    <mergeCell ref="A2:A19"/>
    <mergeCell ref="B2:B19"/>
    <mergeCell ref="C2:C19"/>
    <mergeCell ref="D2:D19"/>
    <mergeCell ref="E2:E13"/>
    <mergeCell ref="E15:E19"/>
    <mergeCell ref="F2:F10"/>
    <mergeCell ref="F11:F13"/>
    <mergeCell ref="F15:F17"/>
    <mergeCell ref="F18:F19"/>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项目汇总</vt:lpstr>
      <vt:lpstr>交付-不动产组 </vt:lpstr>
      <vt:lpstr>交付-房产组</vt:lpstr>
      <vt:lpstr>交付-物业组</vt:lpstr>
      <vt:lpstr>交付-AI大数据组</vt:lpstr>
      <vt:lpstr>交付-JD组</vt:lpstr>
      <vt:lpstr>产品研发部</vt:lpstr>
      <vt:lpstr>汇房智选部</vt:lpstr>
      <vt:lpstr>软件项目部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王壮-leo</dc:creator>
  <cp:lastModifiedBy>阐述者 ~</cp:lastModifiedBy>
  <dcterms:created xsi:type="dcterms:W3CDTF">2015-06-05T18:19:00Z</dcterms:created>
  <dcterms:modified xsi:type="dcterms:W3CDTF">2026-03-06T13:42:06Z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8CE315F449C943B0A03441FAB45BFA52_13</vt:lpwstr>
  </property>
  <property fmtid="{D5CDD505-2E9C-101B-9397-08002B2CF9AE}" pid="3" name="KSOProductBuildVer">
    <vt:lpwstr>2052-12.1.0.25225</vt:lpwstr>
  </property>
  <property fmtid="{D5CDD505-2E9C-101B-9397-08002B2CF9AE}" pid="4" name="CalculationRule">
    <vt:i4>0</vt:i4>
  </property>
</Properties>
</file>