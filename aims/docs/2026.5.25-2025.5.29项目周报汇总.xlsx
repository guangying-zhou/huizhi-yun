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761"/>
  </bookViews>
  <sheets>
    <sheet name="项目汇总" sheetId="1" r:id="rId1"/>
    <sheet name="交付-不动产组" sheetId="2" r:id="rId2"/>
    <sheet name="交付-房产组" sheetId="3" r:id="rId3"/>
    <sheet name="交付-物业组" sheetId="4" r:id="rId4"/>
    <sheet name="交付-AI大数据组" sheetId="5" r:id="rId5"/>
    <sheet name="交付-JD组" sheetId="6" r:id="rId6"/>
    <sheet name="产品研发部" sheetId="7" r:id="rId7"/>
    <sheet name="汇房智选部" sheetId="8" r:id="rId8"/>
    <sheet name="软件项目部" sheetId="9" r:id="rId9"/>
  </sheets>
  <externalReferences>
    <externalReference r:id="rId10"/>
    <externalReference r:id="rId11"/>
    <externalReference r:id="rId12"/>
    <externalReference r:id="rId13"/>
  </externalReferences>
  <definedNames>
    <definedName name="_xlnm._FilterDatabase" localSheetId="1" hidden="1">'交付-不动产组'!$A$1:$L$24</definedName>
    <definedName name="_xlnm._FilterDatabase" localSheetId="7" hidden="1">汇房智选部!$I$1:$I$49</definedName>
    <definedName name="_xlnm._FilterDatabase" localSheetId="8" hidden="1">软件项目部!$A$1:$Z$42</definedName>
    <definedName name="_xlnm._FilterDatabase" localSheetId="2" hidden="1">#REF!</definedName>
    <definedName name="_xlnm._FilterDatabase" localSheetId="3" hidden="1">#REF!</definedName>
    <definedName name="_xlnm._FilterDatabase" localSheetId="4" hidden="1">#REF!</definedName>
    <definedName name="_xlnm._FilterDatabase" localSheetId="5" hidden="1">#REF!</definedName>
    <definedName name="_xlnm._FilterDatabase" localSheetId="6" hidden="1">产品研发部!#REF!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N2" authorId="0">
      <text>
        <r>
          <rPr>
            <b/>
            <sz val="9"/>
            <rFont val="宋体"/>
            <charset val="134"/>
          </rPr>
          <t>王壮-leo:</t>
        </r>
        <r>
          <rPr>
            <sz val="9"/>
            <rFont val="宋体"/>
            <charset val="134"/>
          </rPr>
          <t xml:space="preserve">
按照每周各项目成员填报工时累计之和除以8计算</t>
        </r>
      </text>
    </comment>
    <comment ref="M3" authorId="0">
      <text>
        <r>
          <rPr>
            <b/>
            <sz val="9"/>
            <rFont val="宋体"/>
            <charset val="134"/>
          </rPr>
          <t>王壮-leo:</t>
        </r>
        <r>
          <rPr>
            <sz val="9"/>
            <rFont val="宋体"/>
            <charset val="134"/>
          </rPr>
          <t xml:space="preserve">
</t>
        </r>
        <r>
          <rPr>
            <sz val="12"/>
            <rFont val="宋体"/>
            <charset val="134"/>
          </rPr>
          <t>本年度</t>
        </r>
      </text>
    </comment>
    <comment ref="M7" authorId="0">
      <text>
        <r>
          <rPr>
            <b/>
            <sz val="9"/>
            <rFont val="宋体"/>
            <charset val="134"/>
          </rPr>
          <t>王壮-leo:</t>
        </r>
        <r>
          <rPr>
            <sz val="9"/>
            <rFont val="宋体"/>
            <charset val="134"/>
          </rPr>
          <t xml:space="preserve">
本年度</t>
        </r>
      </text>
    </comment>
    <comment ref="M8" authorId="0">
      <text>
        <r>
          <rPr>
            <b/>
            <sz val="9"/>
            <rFont val="宋体"/>
            <charset val="134"/>
          </rPr>
          <t>王壮-leo:</t>
        </r>
        <r>
          <rPr>
            <sz val="9"/>
            <rFont val="宋体"/>
            <charset val="134"/>
          </rPr>
          <t xml:space="preserve">
成本超支</t>
        </r>
      </text>
    </comment>
    <comment ref="M18" authorId="0">
      <text>
        <r>
          <rPr>
            <b/>
            <sz val="9"/>
            <rFont val="宋体"/>
            <charset val="134"/>
          </rPr>
          <t>王壮-leo:</t>
        </r>
        <r>
          <rPr>
            <sz val="9"/>
            <rFont val="宋体"/>
            <charset val="134"/>
          </rPr>
          <t xml:space="preserve">
本年度
含ZB维修、基层财务、住房贷款项目售后</t>
        </r>
      </text>
    </comment>
    <comment ref="M19" authorId="0">
      <text>
        <r>
          <rPr>
            <b/>
            <sz val="9"/>
            <rFont val="宋体"/>
            <charset val="134"/>
          </rPr>
          <t>王壮-leo:</t>
        </r>
        <r>
          <rPr>
            <sz val="9"/>
            <rFont val="宋体"/>
            <charset val="134"/>
          </rPr>
          <t xml:space="preserve">
本年度</t>
        </r>
      </text>
    </comment>
    <comment ref="M20" authorId="0">
      <text>
        <r>
          <rPr>
            <b/>
            <sz val="9"/>
            <rFont val="宋体"/>
            <charset val="134"/>
          </rPr>
          <t>王壮-leo:</t>
        </r>
        <r>
          <rPr>
            <sz val="9"/>
            <rFont val="宋体"/>
            <charset val="134"/>
          </rPr>
          <t xml:space="preserve">
本年度
</t>
        </r>
      </text>
    </comment>
    <comment ref="M21" authorId="0">
      <text>
        <r>
          <rPr>
            <b/>
            <sz val="9"/>
            <rFont val="宋体"/>
            <charset val="134"/>
          </rPr>
          <t>王壮-leo:</t>
        </r>
        <r>
          <rPr>
            <sz val="9"/>
            <rFont val="宋体"/>
            <charset val="134"/>
          </rPr>
          <t xml:space="preserve">
本年度</t>
        </r>
      </text>
    </comment>
    <comment ref="M22" authorId="0">
      <text>
        <r>
          <rPr>
            <b/>
            <sz val="9"/>
            <rFont val="宋体"/>
            <charset val="134"/>
          </rPr>
          <t>王壮-leo:</t>
        </r>
        <r>
          <rPr>
            <sz val="9"/>
            <rFont val="宋体"/>
            <charset val="134"/>
          </rPr>
          <t xml:space="preserve">
本年度</t>
        </r>
      </text>
    </comment>
    <comment ref="M23" authorId="0">
      <text>
        <r>
          <rPr>
            <b/>
            <sz val="9"/>
            <rFont val="宋体"/>
            <charset val="134"/>
          </rPr>
          <t>王壮-leo:</t>
        </r>
        <r>
          <rPr>
            <sz val="9"/>
            <rFont val="宋体"/>
            <charset val="134"/>
          </rPr>
          <t xml:space="preserve">
本年度</t>
        </r>
      </text>
    </comment>
    <comment ref="M32" authorId="0">
      <text>
        <r>
          <rPr>
            <b/>
            <sz val="9"/>
            <rFont val="宋体"/>
            <charset val="134"/>
          </rPr>
          <t>王壮-leo:</t>
        </r>
        <r>
          <rPr>
            <sz val="9"/>
            <rFont val="宋体"/>
            <charset val="134"/>
          </rPr>
          <t xml:space="preserve">
成本超支</t>
        </r>
      </text>
    </comment>
    <comment ref="M34" authorId="0">
      <text>
        <r>
          <rPr>
            <b/>
            <sz val="9"/>
            <rFont val="宋体"/>
            <charset val="134"/>
          </rPr>
          <t>王壮-leo:</t>
        </r>
        <r>
          <rPr>
            <sz val="9"/>
            <rFont val="宋体"/>
            <charset val="134"/>
          </rPr>
          <t xml:space="preserve">
成本超支</t>
        </r>
      </text>
    </comment>
    <comment ref="M35" authorId="0">
      <text>
        <r>
          <rPr>
            <b/>
            <sz val="9"/>
            <rFont val="宋体"/>
            <charset val="134"/>
          </rPr>
          <t>王壮-leo:</t>
        </r>
        <r>
          <rPr>
            <sz val="9"/>
            <rFont val="宋体"/>
            <charset val="134"/>
          </rPr>
          <t xml:space="preserve">
成本超支</t>
        </r>
      </text>
    </comment>
    <comment ref="M41" authorId="0">
      <text>
        <r>
          <rPr>
            <b/>
            <sz val="9"/>
            <rFont val="宋体"/>
            <charset val="134"/>
          </rPr>
          <t>王壮-leo:</t>
        </r>
        <r>
          <rPr>
            <sz val="9"/>
            <rFont val="宋体"/>
            <charset val="134"/>
          </rPr>
          <t xml:space="preserve">
本年度
</t>
        </r>
      </text>
    </comment>
    <comment ref="M43" authorId="0">
      <text>
        <r>
          <rPr>
            <b/>
            <sz val="9"/>
            <rFont val="宋体"/>
            <charset val="134"/>
          </rPr>
          <t>王壮-leo:</t>
        </r>
        <r>
          <rPr>
            <sz val="9"/>
            <rFont val="宋体"/>
            <charset val="134"/>
          </rPr>
          <t xml:space="preserve">
本年度</t>
        </r>
      </text>
    </comment>
  </commentList>
</comments>
</file>

<file path=xl/sharedStrings.xml><?xml version="1.0" encoding="utf-8"?>
<sst xmlns="http://schemas.openxmlformats.org/spreadsheetml/2006/main" count="920" uniqueCount="383">
  <si>
    <t>项目周报汇总（2026.5.25-2025.5.29）</t>
  </si>
  <si>
    <t>序号</t>
  </si>
  <si>
    <t>隶属部门</t>
  </si>
  <si>
    <t>项目类型</t>
  </si>
  <si>
    <t>项目编号</t>
  </si>
  <si>
    <t>项目名称</t>
  </si>
  <si>
    <t>项目经理</t>
  </si>
  <si>
    <t>立项情况</t>
  </si>
  <si>
    <t>当前阶段</t>
  </si>
  <si>
    <t>进度情况</t>
  </si>
  <si>
    <t>总体完成进度</t>
  </si>
  <si>
    <t>合同状态
（合同额）</t>
  </si>
  <si>
    <t>回款情况</t>
  </si>
  <si>
    <t>累计人力成本
（截止到4.30）</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</si>
  <si>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</si>
  <si>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</si>
  <si>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</si>
  <si>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</si>
  <si>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</si>
  <si>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</si>
  <si>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</si>
  <si>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</si>
  <si>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</si>
  <si>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</si>
  <si>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</si>
  <si>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</si>
  <si>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</si>
  <si>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</si>
  <si>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不动产登记信息平台信创升级改造项目</t>
  </si>
  <si>
    <t>已立项</t>
  </si>
  <si>
    <t>验收</t>
  </si>
  <si>
    <t>完成初验，目前处于各子系统陆续切换过程中，分好多系统需要信创上线  最后一个系统上线是今年10月份；4.17那周电子监督和电子证照本周上线，4.24周云柜台、智能审核、律师查询系统上线，5月底会迁移网上抵押项目，截止5月22这周新进展：
（1）正式发布reissDzpjQuartz(电子票据开具定时任务)、reissQuartz(预受理业务自动处理定时任务)程序，已正常运行，原X86服务已停掉。
（2）正式发布reiss_sdqrlb 图纸、水电气热联办定时任务，已正常运行，原X86服务已停掉。
（3）信创环境正式发布reissClient 建委定时任务程序，已正常运行，原X86服务已停掉。
（4）正式发布rerip_dsqtjk 电子证照、税务定时任务，已正常运行，原X86服务已停掉。
5.29本周：正式发布reissClient定时任务主程序项目、信创迁移网上抵押系统</t>
  </si>
  <si>
    <t>济南市不动产登记云柜台（线上移动)系统</t>
  </si>
  <si>
    <t>陈一明</t>
  </si>
  <si>
    <t>未立项</t>
  </si>
  <si>
    <t>云柜台上线好几年了，之前不断增加新功能，今年基本没有新增需求，目前处于运维过程中，本月云柜台信创上线</t>
  </si>
  <si>
    <t>济南市不动产预受理系统</t>
  </si>
  <si>
    <t>2025年4月上线，一直保持运维过程中，项目运行文档，本周没有工作输出</t>
  </si>
  <si>
    <t>房产组
（刘存山）</t>
  </si>
  <si>
    <t>济南市房产交易管理平台拓展</t>
  </si>
  <si>
    <t>张大伟</t>
  </si>
  <si>
    <t>济南房产交易与租赁服务平台</t>
  </si>
  <si>
    <t>李宪鹏</t>
  </si>
  <si>
    <t>严重延迟</t>
  </si>
  <si>
    <t>进度延迟严重</t>
  </si>
  <si>
    <t>2025年12月完成初验，目前调整及测试中，甲方暂定5月份上线，服务器资源预计5月中旬能够到位
5.29周：6月初第一周开始按照模块形式依次上线</t>
  </si>
  <si>
    <t>21250606J</t>
  </si>
  <si>
    <t>山东省机关事务局职工房改管理系统适配改造项目</t>
  </si>
  <si>
    <t>付艳芳</t>
  </si>
  <si>
    <t>维护</t>
  </si>
  <si>
    <t>2025年12月完成终验，现在处于3年免费运维中</t>
  </si>
  <si>
    <t>宿松房产一体化平台</t>
  </si>
  <si>
    <t>刘存山</t>
  </si>
  <si>
    <t>开发</t>
  </si>
  <si>
    <t>未验收，验收后收104.85</t>
  </si>
  <si>
    <t>5月15日周：维修资金系统开发完成，迁移程序完成；5月22日周：去现场演示系统，需要协调人力进行对账</t>
  </si>
  <si>
    <t>经过详细了解：当前客户  2021年之前的 档案是纸质的，和银行以及业务都要核对，21年之后有u8财务系统，财务和银行账务是符合的，需要财务和业务系统进行对账；工作展开需要我由公司负责对账，房管局和银行配合 ；</t>
  </si>
  <si>
    <t>物业组
（袁畅）</t>
  </si>
  <si>
    <t>日照市三平台融合、智慧物业、住宅专项维修资金系统信创改造项目</t>
  </si>
  <si>
    <t>王成</t>
  </si>
  <si>
    <t>已回全款</t>
  </si>
  <si>
    <t>还没组织验收，现在是上线配合推广阶段</t>
  </si>
  <si>
    <t>滨州智慧物业</t>
  </si>
  <si>
    <t>王壮</t>
  </si>
  <si>
    <t>实施</t>
  </si>
  <si>
    <t>有合同</t>
  </si>
  <si>
    <t>尾款追讨，公积金已初步答应拨付</t>
  </si>
  <si>
    <t>下周配合客户对试点区县进行推广（滨城、沾化、博兴）</t>
  </si>
  <si>
    <t>AI大数据组
（李朔刚）</t>
  </si>
  <si>
    <t>济南市不动产登记全量数据汇交及比对系统</t>
  </si>
  <si>
    <t>李朔刚</t>
  </si>
  <si>
    <t>一直有新需求，持续开发</t>
  </si>
  <si>
    <t>济南市不动产登记电子监督系统功能拓展</t>
  </si>
  <si>
    <t>一直有新需求，交房即办证也有合同，还在执行中</t>
  </si>
  <si>
    <t>不动产登记人工智能数字人(一期)项目</t>
  </si>
  <si>
    <t>延迟</t>
  </si>
  <si>
    <t>已申报</t>
  </si>
  <si>
    <t>1、大汉平台对接不动产接口有问题，大汉一直在解决，这个还影响进度
2、缺少中级以上开发人员，毕彦信技术能力不足</t>
  </si>
  <si>
    <t>21250313J</t>
  </si>
  <si>
    <t>电子监督系统标准化产品改造</t>
  </si>
  <si>
    <t>佟丽</t>
  </si>
  <si>
    <t>发布</t>
  </si>
  <si>
    <t>无合同</t>
  </si>
  <si>
    <t>开发完成，有订单可上线运行，目前已申请专利过程中</t>
  </si>
  <si>
    <t>JD组
（王庆嵋）</t>
  </si>
  <si>
    <t>210123ZHJJ02</t>
  </si>
  <si>
    <t>基层经费监管系统升级研发（二期）</t>
  </si>
  <si>
    <t>王庆嵋</t>
  </si>
  <si>
    <t>2025年10月完成初验进行上线，客户一直未组织终验</t>
  </si>
  <si>
    <t>JD维护</t>
  </si>
  <si>
    <t>技术支持部
（王壮）</t>
  </si>
  <si>
    <t>运维项目</t>
  </si>
  <si>
    <t>不动产登记应用软件维护</t>
  </si>
  <si>
    <t>付蕾</t>
  </si>
  <si>
    <t>济南市房产交易部门运维</t>
  </si>
  <si>
    <t>房产项目运维</t>
  </si>
  <si>
    <t>维修资金项目运维</t>
  </si>
  <si>
    <t>智慧物业运维</t>
  </si>
  <si>
    <t>人力小计：</t>
  </si>
  <si>
    <t>人力饱和度</t>
  </si>
  <si>
    <t>袁畅借调软件项目部</t>
  </si>
  <si>
    <t>产品研发部
（曹倩）</t>
  </si>
  <si>
    <t>研发项目</t>
  </si>
  <si>
    <t>21250925HF</t>
  </si>
  <si>
    <t>汇房智慧住房租赁综合管理与服务平台</t>
  </si>
  <si>
    <t>魏山明</t>
  </si>
  <si>
    <t>立项</t>
  </si>
  <si>
    <t>技术支撑平台</t>
  </si>
  <si>
    <t>石伟佳</t>
  </si>
  <si>
    <t>原基础平台更名为技术支撑平台</t>
  </si>
  <si>
    <t>智慧房产产品线项目</t>
  </si>
  <si>
    <t>曹倩</t>
  </si>
  <si>
    <t>数据治理平台</t>
  </si>
  <si>
    <t>济南市不动产登记系统功能拓展(研发支持)</t>
  </si>
  <si>
    <t>不动产电子监督系统功能拓展(研发支持)</t>
  </si>
  <si>
    <t>汇房智选部
（任建伟）</t>
  </si>
  <si>
    <t>22250903HF</t>
  </si>
  <si>
    <t>济南市联合资产交易公示平台</t>
  </si>
  <si>
    <t>王帅</t>
  </si>
  <si>
    <t>已签订</t>
  </si>
  <si>
    <t>一直有小范围需求增加，进度会出现未增长状态</t>
  </si>
  <si>
    <t>汇房云经纪人</t>
  </si>
  <si>
    <t>任建伟</t>
  </si>
  <si>
    <t>多合同，运营</t>
  </si>
  <si>
    <t>22250829HF</t>
  </si>
  <si>
    <t>车位使用权公证备案平台</t>
  </si>
  <si>
    <t>22251028HFJ</t>
  </si>
  <si>
    <t>卓识网安业务平台系统</t>
  </si>
  <si>
    <t>3月底左右验收</t>
  </si>
  <si>
    <t>21250516HF</t>
  </si>
  <si>
    <t>汇房云培训考试（汇房考试培训系统）</t>
  </si>
  <si>
    <t>21250801J</t>
  </si>
  <si>
    <t>公司内部系统维护升级项目</t>
  </si>
  <si>
    <t>房源超市SaaS产品化改造(新房超市SaaS)</t>
  </si>
  <si>
    <t>李昱江</t>
  </si>
  <si>
    <t>卓识网安业务平台系统-知识库</t>
  </si>
  <si>
    <t>售前</t>
  </si>
  <si>
    <t>价格未谈拢</t>
  </si>
  <si>
    <t>房屋租赁管理系统(汇房云租)</t>
  </si>
  <si>
    <t>待立项</t>
  </si>
  <si>
    <t>挂起</t>
  </si>
  <si>
    <t>阳信房产超市运维&amp;乐居乳山</t>
  </si>
  <si>
    <t>安震、王帅</t>
  </si>
  <si>
    <t>软件项目部
(王成)</t>
  </si>
  <si>
    <t>日照银行智慧社区维护与升级</t>
  </si>
  <si>
    <t>泉农通二期销售售前支持</t>
  </si>
  <si>
    <t>刘传祥</t>
  </si>
  <si>
    <t>销售立项</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</si>
  <si>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</si>
  <si>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</si>
  <si>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</si>
  <si>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</si>
  <si>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</si>
  <si>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</si>
  <si>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</si>
  <si>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</si>
  <si>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</si>
  <si>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</si>
  <si>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济南市不动产登记系统功能拓展
项目编号：22220901</t>
  </si>
  <si>
    <t xml:space="preserve">统计任务：5条
1、统计企业名单名下有效不动产信息，包括抵押、查封等信息。
2、统计附件保交房明细（内含五个小区）统计对应户 办理小证及预告业务情况。
3、宗地压盖数据补充属性数据。（周一）
4、统计平阴所有的非自然人国有土地及集体建设用地登记属性数据。
5、根据审核提供待核查缴费情况表格补充交费相关信息。
</t>
  </si>
  <si>
    <t>不动产登记中心参加会议：推进国有土地拆迁安置住房“交房即办证”工作会议，商定技术对接方案。并根据会议讨论结果调整“不动产登记系统与房屋征收服务系统对接需求建设方案”。</t>
  </si>
  <si>
    <t>整理填写不动产登记信息系统对外提供互联网域API资产自查表。</t>
  </si>
  <si>
    <t>不动产登记系统：土地压盖提醒：新增“问题分类及处理意见”提醒项。</t>
  </si>
  <si>
    <t>不动产登记系统：新增登记类别：集体建设用地使用权及房屋所有权登记-转移登记-互换。</t>
  </si>
  <si>
    <t>不动产登记系统：排查解决预抵押业务实收后会把已登簿的预告业务置成受理环节问题。</t>
  </si>
  <si>
    <t>不动产登记系统：系统发布新版本前后测试，编写系统发布日志。</t>
  </si>
  <si>
    <t>不动产登记开发法院面对面需求：澄清需求，改造受理保存，业务传递，查封业务法院列表改造，登簿部分改造。</t>
  </si>
  <si>
    <t>张志鹏</t>
  </si>
  <si>
    <t>不动产登记系统-数据共享：
（1）省部级法院总对总回退接口：增加日志和退件接口出差截取优化。
（2）不动产云柜台接口：根据大数据安全检测要求queryZbyw，queryYxfclistByZjhm 增加 出入参解密与加密处理。</t>
  </si>
  <si>
    <t>增量数据汇交批量处理注销数据。</t>
  </si>
  <si>
    <t>李中正</t>
  </si>
  <si>
    <t>济南市大数据局接口项目正式切换信创新地址，登记系统涉及项目地址调整并发版测试。</t>
  </si>
  <si>
    <t>李国强</t>
  </si>
  <si>
    <t>合计</t>
  </si>
  <si>
    <t>下周计划</t>
  </si>
  <si>
    <t xml:space="preserve">济南市不动产登记中心不动产登记信息平台信创升级改造项目
项目编号：22250226
</t>
  </si>
  <si>
    <t>本周工作</t>
  </si>
  <si>
    <t>信创-登记系统</t>
  </si>
  <si>
    <t xml:space="preserve">信创环境正式发布reissClient 主定时任务程序，已正常运行，原X86服务已停掉。
</t>
  </si>
  <si>
    <t>一、信创环境登记系统接口改造：
（1）改造信创接口     50%
（2）安云印签章接口代理，172.16.12.74 访问172.16.12.72，172.16.12.7218003代理 10.10.0.12.15:18081  ,10.10.0.12.15:18081  代理签章接口。
3、信创部署enrerip-tool接口项目 
二、带押过户接口迁移信创  2/8
 接口地址    专线地址http://9.59.47.32:38081代理  172.16.12.69 8081      8081端口代理 本机9016端口，带押过户接口项目 在172.16.12.69 9016 ，测试通过。</t>
  </si>
  <si>
    <t>信创-网上抵押系统</t>
  </si>
  <si>
    <t>网上抵押系统抵押系统、接口项目正式发布信创环境。</t>
  </si>
  <si>
    <t>济南不动产登记平台运行维护
项目编号：41221101</t>
  </si>
  <si>
    <t>不动产软件运维</t>
  </si>
  <si>
    <t>处理登记系统、抵押系统等业务问题，共计 442 件，详情见附件1。
增量数据汇交每日巡检。</t>
  </si>
  <si>
    <t>李猛</t>
  </si>
  <si>
    <t>杨森</t>
  </si>
  <si>
    <t>不动产系统运维</t>
  </si>
  <si>
    <t>每日数据巡检问题数据汇交。 
每日不动产增量数据汇交系统查看。
打通不动产信创到政务服务网的平台地址。
申请不动产信创到安云印电子签章的访问，并整理需求文档。
不动产调用房改信创接口，因房改变更接口服务器申请重新盖章。
不动产数据汇交前置机报文程序安装用到的三个软件，上传到62信创机器上面。并且62的四个端口放通对省厅前置机的行政服务域映射的15段的出口地址的限制。
不动产登记网上抵押信创机器按照93.142上的数字化存储挂载进行挂载。
农村房地一体确权登记系统申请信创32T虚拟盘放农房数字化，编写申请文档。
不动产登记系统信创申请访问安云印电子签章地址的申请文档修改添加服务器ip的网络区域。
在不动产登记数据共享信创四台服务器上的java密钥库添加不动产登记信创tomcat节点服务器上的https证书。
把不动产信创环境上面nginx使用的https证书替换上签发新日期的。
不动产登记网上抵押系统申请打通安云印电子签章地址，已打通。
不动产登记系统信创代理带押过户和自规局公告接口。
数据汇交：何工报文程序在62上已安装，62三个端口到其中一台省厅前置机网络已打通。
申请打通93.142到不动产信创机器72上面的代理端口，为本地进行测试使用。
网上抵押信创上线：迁移网上抵押业务库和平台库。
在10.10.8.23服务器上将91.23上面的排队机数据库下载下来上传到8.23进行还原。</t>
  </si>
  <si>
    <t>杨真真</t>
  </si>
  <si>
    <t>祝席成</t>
  </si>
  <si>
    <t xml:space="preserve">济南市房产交易管理平台拓展项目编号:22221201
</t>
  </si>
  <si>
    <t>99%</t>
  </si>
  <si>
    <t xml:space="preserve">山东省机关事务局职工房改管理系统适配改造项目：21250606J
</t>
  </si>
  <si>
    <t>运维</t>
  </si>
  <si>
    <t>1.汉峪配租职工管理模块查询报错的问题解决。                2 配合宋雯雯查找济南市民政接口确定是否符合要求        3.汉峪配租房屋查询异常问题解决以及档案查询报错问题解决                                                                                     4.济南市房改房系统本地测试                                           5.配合周学梅处理省直勘误件，以及补录老98业务数据    6.根据史泽芳要求编写省市上市交易工作进度文档。         7.解决济南市房改房系统平台系统中代码不兼容jdk8问题    8.周学梅反馈曹秀玲综合查询联网结果异常问题解决           9.田文琪反馈excel联网导出结果为空的问题解决</t>
  </si>
  <si>
    <t>1.编写并调试房改数字化文件迁移程序；
2.修改2A表超标20%以上的超标准面积价款计算公式；
3.修改一至三期老房改系统表超标准面积价款计算公式
4.录入房改系统测试数据，为信创环境测试做准备；
5.参加关于markdown语法及使用培训；
6.和张凤、宫哲讨论并申请济南市婚姻民政接口；
7.给李真处理楼幢信息审核未挂接房屋，查询不出房屋信息问题；
8.给市中赵红艳处理砖混二等非毗邻类型房屋录入问题；
9.给莱芜专班魏祎处理集资房计价表内容打印不全问题；
10.给保障中心王兵处理2A表超标20%以上的超标准面积价款计算错误问题，讨论超标20%以内及以上的超标准面积价款计算公式问题；
11.给谢斐处理老房改信息勘误已购房面积错误问题；</t>
  </si>
  <si>
    <t>宋雯雯</t>
  </si>
  <si>
    <t>省直机关职工住房管理系统升级优化（省市上市交易初审电子档案查询功能编码测试）</t>
  </si>
  <si>
    <t>济南房产交易运维</t>
  </si>
  <si>
    <t xml:space="preserve">房管监测平台维护:
</t>
  </si>
  <si>
    <t>1.按要求再次导出纬十二路9号御景城数据
2.协助受理科查找存量房老数据及日志数据
3.填写爱山东小程序情况上报数据
4.导出5月份证明附件</t>
  </si>
  <si>
    <t>1、资金监管系统对接恒丰银行生产环境测试(完成80%)
2、存量房网签及资金监管日常运维问题处理
3、老系统配合建设银行测试联调接口(完成80%)</t>
  </si>
  <si>
    <t>张杨</t>
  </si>
  <si>
    <t>处理测绘挂接、网签备案等业务问题，共计 47 件，详情件附件2。
检测平台每日巡检。
交易接口日志每日巡检。</t>
  </si>
  <si>
    <t>每日数据迁移的查看日志并删除多余备份。
在10.10.8.23上面安装DB2，存放172段资源回收以后排队机数据库。
在10.10.8.23机器上安装DB2数据库，解决缺乏pam和libso依赖包的问题。
在10.10.8.23上面安装DB2数据库的实例db2inst1，和许可。
二楼19号窗口上的高拍仪有问题， 主机接口有问题给换了主机重新安装驱动
3楼的档案查询室在打印证明的时候模版有问题</t>
  </si>
  <si>
    <t>优化二维码扫描模块成功率问题
添加业务员工作量查询
按老系统修改按钮样式
添加中介房源核验接收、云网签房源核验接收界面，并调试接口对接
两次系统发包并测试，同业务人员逐一核对问题清单；</t>
  </si>
  <si>
    <t>董文超</t>
  </si>
  <si>
    <t>1、受理科问题台账中的问题处理（完成90%）
2、参加新平台资金监管银行接口对接及通信测试协商会议（完成100%）
3、参加新平台存量房网签上线计划讨论会议（完成100%）
4、配合各家银行测试新平台网络连通性（完成50%）</t>
  </si>
  <si>
    <t>1.迁移同步库存量房数据到新数据库
2.每日参加新平台上线工作对接会
3.参加档案科、数据挂接科、受理科系统上线工作安排对接讨论会</t>
  </si>
  <si>
    <t>存量房网签系统部署测试</t>
  </si>
  <si>
    <t>郇正基</t>
  </si>
  <si>
    <t>维修资金迁移程序开发</t>
  </si>
  <si>
    <t>时守杰</t>
  </si>
  <si>
    <t>维修资金迁移程序移动端调整</t>
  </si>
  <si>
    <t>许建飞</t>
  </si>
  <si>
    <t>商品房测试，问题反馈</t>
  </si>
  <si>
    <t>景旭</t>
  </si>
  <si>
    <t>宿松住房小程序开发</t>
  </si>
  <si>
    <t>段佑轩</t>
  </si>
  <si>
    <t>宿松原数据分析，出差宿松系统演示，维修资金账户核对</t>
  </si>
  <si>
    <t>房产一体化项目：博兴、阳信、 无棣、沾化、乳山维护；</t>
  </si>
  <si>
    <t>万德跃</t>
  </si>
  <si>
    <t>滨湖恒大合同处理</t>
  </si>
  <si>
    <t>王德智</t>
  </si>
  <si>
    <t>房产一体化：安徽地区、五莲、诸城维护</t>
  </si>
  <si>
    <t>滨州维护</t>
  </si>
  <si>
    <t>沾化存量房本地化问题</t>
  </si>
  <si>
    <t>滨州房产一体化驻场维护</t>
  </si>
  <si>
    <t>吴胜傲</t>
  </si>
  <si>
    <t>维修资金系统维护：东营地区区、滨州地区维护；东营经开、河口对账</t>
  </si>
  <si>
    <t>牛丽君</t>
  </si>
  <si>
    <t>1维修资金系统维护：高唐、滨州、东营、兖州、莱芜、潍坊滨海等地区维护
2 惠民历史数据处理工作</t>
  </si>
  <si>
    <t>赵衍峰</t>
  </si>
  <si>
    <t>日照维系资金驻场维护</t>
  </si>
  <si>
    <t>马睿</t>
  </si>
  <si>
    <t>无棣维修资金对账</t>
  </si>
  <si>
    <t>无棣、沾化、东营维修资金功能更新</t>
  </si>
  <si>
    <t>孙达</t>
  </si>
  <si>
    <t>各地维修资金维护</t>
  </si>
  <si>
    <t>日照智慧物业维护</t>
  </si>
  <si>
    <t>日照市三平台融合、智慧物业、住宅专项维修资金系统信创改造项目
项目编号：22240822</t>
  </si>
  <si>
    <t>日照维修资金问题处理及测试</t>
  </si>
  <si>
    <t>潘春蕾</t>
  </si>
  <si>
    <t>日照维修资金运维</t>
  </si>
  <si>
    <t>滨州智慧物业
项目编号：23251211</t>
  </si>
  <si>
    <t>系统功能测试，功能优化</t>
  </si>
  <si>
    <t>袁畅</t>
  </si>
  <si>
    <t>业务功能测试</t>
  </si>
  <si>
    <t>各区县试点企业现场培训，推动试点工作</t>
  </si>
  <si>
    <t>泉农通二期销售售前支持
项目编号：
121018</t>
  </si>
  <si>
    <t>农业局-泉农通小程序集成开发及测试</t>
  </si>
  <si>
    <t>王延磊</t>
  </si>
  <si>
    <t>韩华斌</t>
  </si>
  <si>
    <t>农业局-泉农通小程序现场沟通汇报</t>
  </si>
  <si>
    <t>网信办投标文件编制优化，完成投标工作</t>
  </si>
  <si>
    <t>网信办-系统设计工作，现场汇报进度</t>
  </si>
  <si>
    <t>农业局-泉农通小程序集成优化</t>
  </si>
  <si>
    <t>济南市不动产登记全量数据汇交及比对系统
项目编号：222201001</t>
  </si>
  <si>
    <t>济南市不动产登记电子监督系统功能拓展
项目编号：22220905</t>
  </si>
  <si>
    <t>90%</t>
  </si>
  <si>
    <t>1）退件情况：现有退件人员行政区存在误差，需要进一步优化。
2）移动端适配：山东通访问电子监督大屏和后台管理界面，实现移动端自适应。
3）数据质量评价竞赛：之前是房地业务一块算的分数较低，重新按纯房屋的，删掉土地的业务算况。
4）电子监督信创的nginx代理，替换2026年签发的新证书。
5）网上抵押系统上线信创，电子监督系统数据同步程序确认连接抵押信创数据。
6）交房即办证：国有土地房屋征收安置项目“交房即办证”预警的需求，针对目前有数据的环节，实现其中4个预警。
7）统计导出长清区非自然人名下所有不动产有效的登记信息。
8）根据名单统计统计企业有效房产土地登记信息。
9）山东通接入信创电子监督系统，配置山东通测试人员账号，按要求调整界面提示。</t>
  </si>
  <si>
    <t>闫元泉</t>
  </si>
  <si>
    <t>不动产登记人工智能数字人(一期)项目
项目编号：21250326</t>
  </si>
  <si>
    <t>85%</t>
  </si>
  <si>
    <t>1）语义检索：在原有关键字检索基础上，开发语义检索与知识库向量化处理。
2）新增AI交互功能：开发AI问答模块，结合混合检索和重排序优化结果，提升知识库的智能化响应质量与用户体验。
3）MCP开发：本地环境智能咨询的买房、卖房、抵押等个性化咨询，增加mcp接口调用</t>
  </si>
  <si>
    <t>毕彦信</t>
  </si>
  <si>
    <t>电子监督系统标准化产品改造
项目编号：21250313J</t>
  </si>
  <si>
    <t>住房贷款项目操作手册、施工日志</t>
  </si>
  <si>
    <t>住房贷款项目国产化集成调试</t>
  </si>
  <si>
    <t>卢波</t>
  </si>
  <si>
    <t>住房贷款项目验收材料编写</t>
  </si>
  <si>
    <t>基层经费监管系统升级研发（二期）
项目编号：
210123ZHJJ02</t>
  </si>
  <si>
    <t>系统运维管理</t>
  </si>
  <si>
    <t>王晓阳</t>
  </si>
  <si>
    <t>经费监管系统代码-python整合</t>
  </si>
  <si>
    <t>egret底座：扩展文件流式上传存储接口（本地、FTP、SFTP、数据库、S3存储）</t>
  </si>
  <si>
    <t>其他</t>
  </si>
  <si>
    <t>Markdown文档培训。技术委员会扩大会议。</t>
  </si>
  <si>
    <t>产品现状及计划、技术委员会、部门管理、工作协调、工作汇报、产品规划沟通、梳理产品台账</t>
  </si>
  <si>
    <t>智慧房产产品线项目
项目编号：21260422</t>
  </si>
  <si>
    <t>1、商品房资金监管系统负责功能已开发完并发版
2、修改测试提出的bug
3、AI月报+Markdown语法培训
4、协助农业局 防疫系统 数据库修改（存出栏，变更街道、增加新防疫员）因没开发此类动能 只能手动改数据库</t>
  </si>
  <si>
    <t>郭培培</t>
  </si>
  <si>
    <t>商品房网签与监管系统：
1、监管合同 - 接口对接完成
2、合同存款业务打印 - 接口对接完成
3、开发项目申请审批 -  查看和办理页面前端开发及接口联调 完成
4、重新配置商品房网签与监管系统菜单 - 完成
5、测试问题bug修改</t>
  </si>
  <si>
    <t>王光辉</t>
  </si>
  <si>
    <t>1.限制管理保存业务信息功能开发
2.完善通用业务功能</t>
  </si>
  <si>
    <t>彭步坤</t>
  </si>
  <si>
    <t>宿松房产：系统测试</t>
  </si>
  <si>
    <t>张燕</t>
  </si>
  <si>
    <t>比对招标内容</t>
  </si>
  <si>
    <t>数据治理平台
项目编号：21260423</t>
  </si>
  <si>
    <t>文件迁移已测试通过流式读取Long RAW，流式写入Minio,文件类型dwg</t>
  </si>
  <si>
    <t>文件迁移测试非Long RAW二进制数据存储minio,解决流的二次读取问题、迁移存储快照忽略blob、数据流等类型</t>
  </si>
  <si>
    <t>字段映射处理器支持动态添加目标列赋值；
文件迁移处理器进一步探测office文件类型，存储bucket与文件类型</t>
  </si>
  <si>
    <t>为各数据库方言补齐 UPSERT SQL 生成能力，让写入器按目标方言生成 INSERT/UPSERT SQL
字段映射：完成大字段（二进制文件、文本）的直接映射处理器逻辑</t>
  </si>
  <si>
    <t>自定义转换器模块测试完成。支持groovy语法。</t>
  </si>
  <si>
    <t>数据质量体检模块优化。实际模拟库耗时从1个半小时降低为20分钟。</t>
  </si>
  <si>
    <t>字段画像优化完成。数据血缘引擎优化，增强检索功能。整体集成测试。</t>
  </si>
  <si>
    <t>数据治理平台二期详细设计编写。</t>
  </si>
  <si>
    <t>1、量化登记需求开会
2、量化登记预量化推送，变更，删除接口开发，同超图联调，和超图超图对接调试问题
3、登记系统对接量化预推送业务问题代码修改</t>
  </si>
  <si>
    <t>窦延群</t>
  </si>
  <si>
    <t>1、整理预受理业务相关的需求方案
2、熟悉预受理业务以及代码框架</t>
  </si>
  <si>
    <t>1、屏蔽预受理授权功能</t>
  </si>
  <si>
    <t>不动产数据安全管理措施方案、服务器关停对接、攻防内容填报、耿部长安排统计工作</t>
  </si>
  <si>
    <t xml:space="preserve">济南市联合资产交易公示平台
项目编号：22250903HF
</t>
  </si>
  <si>
    <t>1.查封不动产展示意向功能代码编写</t>
  </si>
  <si>
    <t>安震</t>
  </si>
  <si>
    <t>整理联合资产PC端视觉规范</t>
  </si>
  <si>
    <t>冯庆召</t>
  </si>
  <si>
    <t>一、联合资产交易公示平台B端、C端操作手册完善。
1. 济南市联合资产交易公示平台（资产交易业务后台web端）操作手册
2. 济南市联合资产交易公示平台（带押过户业务后台web端）操作手册
3. 济南市联合资产交易公示平台（房源展厅移动端微信小程序）操作手册
4. 济南市联合资产交易公示平台（房源展厅web端）操作手册
二、不动产交易公益性平台申报材料方案开发预算表编写与调整。
三、不动产交易公益性平台申报材料方案完善增加引用设计流程图
四、 联合资产优化事项进度推进；
五、 车位备案法信对接进度推进；
六、 与客户沟通联合资产平台需求；</t>
  </si>
  <si>
    <t xml:space="preserve"> </t>
  </si>
  <si>
    <t>1. 给主任整理平台介绍资料及演示PPT。
2. 修改部署架构图及服务器资源配置方案，修改完善预算表</t>
  </si>
  <si>
    <t xml:space="preserve">车位使用权公证备案平台
项目编号：22250829HF
</t>
  </si>
  <si>
    <t>1. 法信获取人脸核身人像比对结果表，下载操作日志、申请接收与系统审查结论接口对接，测试通过；
 2.测试全部文件下载接口，下载的全部证据文件准确性确认 ；
3.车位备案全流程测试（小区创建→车位入库→用户申请→受理→定价→支付→签署→审核→发证），测出问题修复以及同前台对接；</t>
  </si>
  <si>
    <t>许兴欣</t>
  </si>
  <si>
    <t>与后台对接因为法信接口调整的接口逻辑处理</t>
  </si>
  <si>
    <t>赵旺</t>
  </si>
  <si>
    <t xml:space="preserve">汇房云经纪人
项目编号：21250418
</t>
  </si>
  <si>
    <t>--</t>
  </si>
  <si>
    <t>完成汇房智选小程序的年审认证工作
沟通并填写滨州大数据局的数据流通服务机构调查表，对接经开区相关人员。
针对网信办关于使用境外大模型的问题，编写了详细的整改报告，并与相关部门沟通确认，完成打印盖章流程。
沟通德邦增值服务包需求，推进开发
补充银联商务开户所需材料，包括整理滨州汇房授权说明、截图付款业务系统页面及梳理操作流程文档。</t>
  </si>
  <si>
    <t>德邦增值服务包需求开发，房源增加企业自定义标签，支持配置与筛选
德邦财务需求开发</t>
  </si>
  <si>
    <t>蔡高情</t>
  </si>
  <si>
    <t>设计</t>
  </si>
  <si>
    <t xml:space="preserve">汇房云培训考试
项目编号：
</t>
  </si>
  <si>
    <t>考试培训运维</t>
  </si>
  <si>
    <t>卓识网安业务平台系统
项目编号：22251028HFJ</t>
  </si>
  <si>
    <t>推进卓识网安业务系统整改清单，协调开发资源解决具体问题，并与客户方沟通补充协议及整改验收事宜。</t>
  </si>
  <si>
    <t>完成卓识网安整改清单内容开发</t>
  </si>
  <si>
    <t>测试</t>
  </si>
  <si>
    <t>公司内部系统维护升级项目
项目编号：21250801J</t>
  </si>
  <si>
    <t>阳信房产超市运维</t>
  </si>
  <si>
    <t xml:space="preserve">日照银行智慧社区维护与升级
项目编号：22210906
</t>
  </si>
  <si>
    <t>橙e伴PC端对接智惠e家对客管理端</t>
  </si>
  <si>
    <t>纪立宁</t>
  </si>
  <si>
    <t>菜品优选支持餐补</t>
  </si>
  <si>
    <t>王玉莹</t>
  </si>
  <si>
    <t>优化</t>
  </si>
  <si>
    <t>宜当生活白鹭湾专区对接智惠e家部分功能</t>
  </si>
  <si>
    <t>王德贤</t>
  </si>
  <si>
    <t>优化调整</t>
  </si>
  <si>
    <t>孙丁华</t>
  </si>
  <si>
    <t>行内闲置资产共享平台前端配合改造项目</t>
  </si>
  <si>
    <t>智惠e家”智慧餐厅、智慧社区系统功能优化（智惠e家增加寻车功能及对接碳惠日照）</t>
  </si>
  <si>
    <t>使用问题优化</t>
  </si>
  <si>
    <t>菜品优选二期</t>
  </si>
  <si>
    <t>“智惠e家”智慧餐厅、智慧社区系统功能优化（即墨区机关事务服务中心智慧餐厅项目系统功能优化-第三批次）</t>
  </si>
  <si>
    <t>识别性能优化</t>
  </si>
  <si>
    <t>智慧场景优化项目群（日照市人民医院本部餐厅、莒县人民法院智慧餐厅功能优化）</t>
  </si>
  <si>
    <t>智惠e家社区对接大华ICC社区通行设备</t>
  </si>
  <si>
    <t>正常开发推进</t>
  </si>
  <si>
    <t>韩化斌</t>
  </si>
  <si>
    <t>智惠e家移动端备案漏洞、服务漏洞修复整改</t>
  </si>
  <si>
    <t>配合银行扫码测试</t>
  </si>
  <si>
    <t>潘春雷</t>
  </si>
  <si>
    <t>智惠e家漏洞修复、测试、发版、数据运维、系统运维</t>
  </si>
  <si>
    <t>三方复测</t>
  </si>
  <si>
    <r>
      <rPr>
        <sz val="10"/>
        <color theme="9"/>
        <rFont val="微软雅黑"/>
        <charset val="134"/>
      </rPr>
      <t>智慧餐厅离线支付项目（先享后付）</t>
    </r>
    <r>
      <rPr>
        <sz val="10"/>
        <color theme="5" tint="0.4"/>
        <rFont val="微软雅黑"/>
        <charset val="134"/>
      </rPr>
      <t xml:space="preserve">
“一家人大食堂”等智慧餐厅相关系统功能优化需求
智惠e家宜当生活物业缴费功能改造
</t>
    </r>
    <r>
      <rPr>
        <sz val="10"/>
        <color theme="9"/>
        <rFont val="微软雅黑"/>
        <charset val="134"/>
      </rPr>
      <t>社区访客通行以及押金缴费退款需求</t>
    </r>
    <r>
      <rPr>
        <sz val="10"/>
        <color theme="5" tint="0.4"/>
        <rFont val="微软雅黑"/>
        <charset val="134"/>
      </rPr>
      <t xml:space="preserve">
</t>
    </r>
    <r>
      <rPr>
        <sz val="10"/>
        <color theme="9"/>
        <rFont val="微软雅黑"/>
        <charset val="134"/>
      </rPr>
      <t>济宁联民广场（浙江五联智能电力科技有限公司）智能电表对接</t>
    </r>
    <r>
      <rPr>
        <sz val="10"/>
        <color theme="5" tint="0.4"/>
        <rFont val="微软雅黑"/>
        <charset val="134"/>
      </rPr>
      <t xml:space="preserve">
智惠e家餐厅餐补规则改造（新加需求，已确认需求，推进开发中）</t>
    </r>
  </si>
  <si>
    <t>正常开发
需求验收（新加需求加急）部分功能发版</t>
  </si>
  <si>
    <t>银行运营</t>
  </si>
  <si>
    <t>银行网络金融部驻场银行业务运营</t>
  </si>
  <si>
    <t>穆德坤</t>
  </si>
  <si>
    <t>银行场景金融中心驻场银行业务运营</t>
  </si>
  <si>
    <t>赵文斌</t>
  </si>
  <si>
    <t>郑家洋</t>
  </si>
  <si>
    <t>需求</t>
  </si>
  <si>
    <t>安全保卫部智慧园区功能优化、2026年行政管理部“行政后勤管理平台”（推进）</t>
  </si>
  <si>
    <t>需求推进</t>
  </si>
  <si>
    <t>智慧餐厅移动端全量接入宜当生活、智慧物业公共收益项目推进</t>
  </si>
  <si>
    <t>需求推进，部分功能集成</t>
  </si>
  <si>
    <t>运营中心需求方案对接工时推进、工单验收回款推进，运营人员运营方案、运营协议整理对接</t>
  </si>
  <si>
    <t>提交流程，回款跟进</t>
  </si>
  <si>
    <t>智惠e家宜餐厅认证API对接宜当生活（需求对接完成）</t>
  </si>
  <si>
    <t>确认工作量</t>
  </si>
  <si>
    <t>日照高新支行关于日照“新发地”智慧市场项目需求对接</t>
  </si>
  <si>
    <t>概要需求讨论、推进详细需求讨论</t>
  </si>
  <si>
    <t>智惠e家信用积分需求对接</t>
  </si>
  <si>
    <t>需求确认</t>
  </si>
  <si>
    <t>智慧餐厅离线支付项目（先享后付）
“一家人大食堂”等智慧餐厅相关系统功能优化需求
智惠e家宜当生活物业缴费功能改造
社区访客通行以及押金缴费退款需求
济宁联民广场（浙江五联智能电力科技有限公司）智能电表对接
智惠e家餐厅餐补规则改造（新加需求，已确认需求，推进开发中）</t>
  </si>
  <si>
    <t>（临时增加开发需求）</t>
  </si>
  <si>
    <t>智慧餐厅移动端全量接入宜当生活（推进）</t>
  </si>
  <si>
    <t>安全保卫部智慧园区功能优化（推进需求提报）</t>
  </si>
  <si>
    <t>2026年行政管理部“行政后勤管理平台”（推进）</t>
  </si>
  <si>
    <t>智惠e家宜餐厅认证API对接宜当生活（设计方案确认完毕，推进开发）</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</si>
</sst>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 numFmtId="178" formatCode="yyyy/m/d;@"/>
    <numFmt numFmtId="179" formatCode="0.00_ "/>
  </numFmts>
  <fonts count="52">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0"/>
      <color theme="5" tint="0.4"/>
      <name val="微软雅黑"/>
      <charset val="134"/>
    </font>
    <font>
      <sz val="10"/>
      <color theme="9"/>
      <name val="微软雅黑"/>
      <charset val="134"/>
    </font>
    <font>
      <sz val="11"/>
      <name val="等线"/>
      <charset val="134"/>
      <scheme val="minor"/>
    </font>
    <font>
      <sz val="10"/>
      <color theme="1"/>
      <name val="等线"/>
      <charset val="134"/>
    </font>
    <font>
      <sz val="10"/>
      <name val="等线"/>
      <charset val="134"/>
    </font>
    <font>
      <sz val="11"/>
      <color rgb="FF060A26"/>
      <name val="等线"/>
      <charset val="134"/>
      <scheme val="minor"/>
    </font>
    <font>
      <sz val="10"/>
      <color theme="1"/>
      <name val="等线"/>
      <charset val="134"/>
      <scheme val="minor"/>
    </font>
    <font>
      <sz val="12"/>
      <color rgb="FF000000"/>
      <name val="等线"/>
      <charset val="134"/>
      <scheme val="minor"/>
    </font>
    <font>
      <sz val="10"/>
      <color rgb="FF000000"/>
      <name val="等线"/>
      <charset val="134"/>
      <scheme val="minor"/>
    </font>
    <font>
      <sz val="9"/>
      <color rgb="FF000000"/>
      <name val="等线"/>
      <charset val="134"/>
      <scheme val="minor"/>
    </font>
    <font>
      <sz val="10"/>
      <color rgb="FF000000"/>
      <name val="宋体"/>
      <charset val="134"/>
    </font>
    <font>
      <sz val="10"/>
      <color rgb="FF000000"/>
      <name val="SimSun"/>
      <charset val="134"/>
    </font>
    <font>
      <sz val="10"/>
      <color theme="1"/>
      <name val="等线"/>
      <charset val="134"/>
      <scheme val="minor"/>
    </font>
    <font>
      <sz val="12"/>
      <color rgb="FF000000"/>
      <name val="微软雅黑"/>
      <charset val="134"/>
    </font>
    <font>
      <sz val="11"/>
      <color rgb="FF000000"/>
      <name val="微软雅黑"/>
      <charset val="134"/>
    </font>
    <font>
      <sz val="10"/>
      <color rgb="FF000000"/>
      <name val="微软雅黑"/>
      <charset val="134"/>
    </font>
    <font>
      <sz val="10"/>
      <color rgb="FFFF0000"/>
      <name val="等线"/>
      <charset val="134"/>
      <scheme val="minor"/>
    </font>
    <font>
      <b/>
      <sz val="14"/>
      <color theme="1"/>
      <name val="微软雅黑"/>
      <charset val="134"/>
    </font>
    <font>
      <sz val="12"/>
      <color theme="1"/>
      <name val="微软雅黑"/>
      <charset val="134"/>
    </font>
    <font>
      <sz val="11"/>
      <color theme="1"/>
      <name val="微软雅黑"/>
      <charset val="134"/>
    </font>
    <font>
      <sz val="11"/>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b/>
      <sz val="9"/>
      <name val="宋体"/>
      <charset val="134"/>
    </font>
    <font>
      <sz val="12"/>
      <name val="宋体"/>
      <charset val="134"/>
    </font>
    <font>
      <sz val="9"/>
      <name val="宋体"/>
      <charset val="134"/>
    </font>
  </fonts>
  <fills count="39">
    <fill>
      <patternFill patternType="none"/>
    </fill>
    <fill>
      <patternFill patternType="gray125"/>
    </fill>
    <fill>
      <patternFill patternType="solid">
        <fgColor indexed="65"/>
        <bgColor indexed="64"/>
      </patternFill>
    </fill>
    <fill>
      <patternFill patternType="solid">
        <fgColor theme="9"/>
        <bgColor indexed="64"/>
      </patternFill>
    </fill>
    <fill>
      <patternFill patternType="solid">
        <fgColor theme="5" tint="0.6"/>
        <bgColor indexed="64"/>
      </patternFill>
    </fill>
    <fill>
      <patternFill patternType="solid">
        <fgColor rgb="FFFFFF00"/>
        <bgColor indexed="64"/>
      </patternFill>
    </fill>
    <fill>
      <patternFill patternType="solid">
        <fgColor theme="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rgb="FF000000"/>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9" borderId="28"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9" applyNumberFormat="0" applyFill="0" applyAlignment="0" applyProtection="0">
      <alignment vertical="center"/>
    </xf>
    <xf numFmtId="0" fontId="34" fillId="0" borderId="29" applyNumberFormat="0" applyFill="0" applyAlignment="0" applyProtection="0">
      <alignment vertical="center"/>
    </xf>
    <xf numFmtId="0" fontId="35" fillId="0" borderId="30" applyNumberFormat="0" applyFill="0" applyAlignment="0" applyProtection="0">
      <alignment vertical="center"/>
    </xf>
    <xf numFmtId="0" fontId="35" fillId="0" borderId="0" applyNumberFormat="0" applyFill="0" applyBorder="0" applyAlignment="0" applyProtection="0">
      <alignment vertical="center"/>
    </xf>
    <xf numFmtId="0" fontId="36" fillId="10" borderId="31" applyNumberFormat="0" applyAlignment="0" applyProtection="0">
      <alignment vertical="center"/>
    </xf>
    <xf numFmtId="0" fontId="37" fillId="11" borderId="32" applyNumberFormat="0" applyAlignment="0" applyProtection="0">
      <alignment vertical="center"/>
    </xf>
    <xf numFmtId="0" fontId="38" fillId="11" borderId="31" applyNumberFormat="0" applyAlignment="0" applyProtection="0">
      <alignment vertical="center"/>
    </xf>
    <xf numFmtId="0" fontId="39" fillId="12" borderId="33" applyNumberFormat="0" applyAlignment="0" applyProtection="0">
      <alignment vertical="center"/>
    </xf>
    <xf numFmtId="0" fontId="40" fillId="0" borderId="34" applyNumberFormat="0" applyFill="0" applyAlignment="0" applyProtection="0">
      <alignment vertical="center"/>
    </xf>
    <xf numFmtId="0" fontId="41" fillId="0" borderId="35" applyNumberFormat="0" applyFill="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5" fillId="35" borderId="0" applyNumberFormat="0" applyBorder="0" applyAlignment="0" applyProtection="0">
      <alignment vertical="center"/>
    </xf>
    <xf numFmtId="0" fontId="45" fillId="3"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5" fillId="38" borderId="0" applyNumberFormat="0" applyBorder="0" applyAlignment="0" applyProtection="0">
      <alignment vertical="center"/>
    </xf>
    <xf numFmtId="9" fontId="47" fillId="0" borderId="0" applyFont="0" applyFill="0" applyBorder="0" applyAlignment="0" applyProtection="0">
      <alignment vertical="center"/>
    </xf>
    <xf numFmtId="9" fontId="0" fillId="0" borderId="0" applyFont="0" applyFill="0" applyBorder="0" applyAlignment="0" applyProtection="0">
      <alignment vertical="center"/>
    </xf>
    <xf numFmtId="176" fontId="47" fillId="0" borderId="0">
      <alignment vertical="center"/>
    </xf>
    <xf numFmtId="176" fontId="47" fillId="0" borderId="0">
      <alignment vertical="center"/>
    </xf>
    <xf numFmtId="176" fontId="1" fillId="0" borderId="0">
      <alignment vertical="center"/>
    </xf>
    <xf numFmtId="0" fontId="1" fillId="0" borderId="0">
      <alignment vertical="center"/>
    </xf>
    <xf numFmtId="0" fontId="47" fillId="0" borderId="0">
      <alignment vertical="center"/>
    </xf>
    <xf numFmtId="176" fontId="47" fillId="0" borderId="0">
      <alignment vertical="center"/>
    </xf>
    <xf numFmtId="176" fontId="47" fillId="0" borderId="0">
      <alignment vertical="center"/>
    </xf>
    <xf numFmtId="176" fontId="47" fillId="0" borderId="0">
      <alignment vertical="center"/>
    </xf>
    <xf numFmtId="176" fontId="48" fillId="0" borderId="0">
      <alignment vertical="center"/>
    </xf>
    <xf numFmtId="176" fontId="47" fillId="0" borderId="0">
      <alignment vertical="center"/>
    </xf>
    <xf numFmtId="176" fontId="47" fillId="0" borderId="0">
      <alignment vertical="center"/>
    </xf>
    <xf numFmtId="176" fontId="47" fillId="0" borderId="0">
      <alignment vertical="center"/>
    </xf>
    <xf numFmtId="176" fontId="47" fillId="0" borderId="0" applyBorder="0">
      <alignment vertical="center"/>
    </xf>
  </cellStyleXfs>
  <cellXfs count="454">
    <xf numFmtId="176" fontId="0" fillId="0" borderId="0" xfId="0"/>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4"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xf>
    <xf numFmtId="9" fontId="5" fillId="0" borderId="2" xfId="0" applyNumberFormat="1" applyFont="1" applyFill="1" applyBorder="1" applyAlignment="1">
      <alignment horizontal="center" vertical="center" wrapText="1"/>
    </xf>
    <xf numFmtId="9" fontId="5" fillId="0" borderId="3" xfId="0" applyNumberFormat="1" applyFont="1" applyFill="1" applyBorder="1" applyAlignment="1">
      <alignment horizontal="center" vertical="center" wrapText="1"/>
    </xf>
    <xf numFmtId="9" fontId="5"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wrapText="1"/>
    </xf>
    <xf numFmtId="9"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xf>
    <xf numFmtId="0" fontId="5" fillId="3"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left" vertical="center" wrapText="1"/>
    </xf>
    <xf numFmtId="9" fontId="6" fillId="0" borderId="3" xfId="0" applyNumberFormat="1" applyFont="1" applyFill="1" applyBorder="1" applyAlignment="1">
      <alignment horizontal="center" vertical="center" wrapText="1"/>
    </xf>
    <xf numFmtId="0" fontId="6" fillId="0" borderId="3" xfId="0" applyNumberFormat="1" applyFont="1" applyFill="1" applyBorder="1" applyAlignment="1">
      <alignment horizontal="center" vertical="center" wrapText="1"/>
    </xf>
    <xf numFmtId="0" fontId="6" fillId="0" borderId="1" xfId="0" applyNumberFormat="1" applyFont="1" applyFill="1" applyBorder="1" applyAlignment="1">
      <alignment horizontal="left" vertical="center" wrapText="1"/>
    </xf>
    <xf numFmtId="0" fontId="6" fillId="0" borderId="4"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5" fillId="4" borderId="1"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4" fillId="0" borderId="3" xfId="0" applyNumberFormat="1" applyFont="1" applyFill="1" applyBorder="1" applyAlignment="1">
      <alignment horizontal="center" vertical="center"/>
    </xf>
    <xf numFmtId="0" fontId="5" fillId="5" borderId="1" xfId="0" applyNumberFormat="1" applyFont="1" applyFill="1" applyBorder="1" applyAlignment="1">
      <alignment horizontal="center" vertical="center"/>
    </xf>
    <xf numFmtId="9" fontId="5" fillId="5" borderId="1" xfId="0" applyNumberFormat="1" applyFont="1" applyFill="1" applyBorder="1" applyAlignment="1">
      <alignment vertical="center"/>
    </xf>
    <xf numFmtId="0" fontId="5" fillId="5" borderId="1" xfId="0" applyNumberFormat="1" applyFont="1" applyFill="1" applyBorder="1" applyAlignment="1">
      <alignment vertical="center"/>
    </xf>
    <xf numFmtId="177" fontId="5" fillId="5" borderId="1" xfId="0" applyNumberFormat="1" applyFont="1" applyFill="1" applyBorder="1" applyAlignment="1">
      <alignment horizontal="center" vertical="center"/>
    </xf>
    <xf numFmtId="0" fontId="5" fillId="0" borderId="1" xfId="0" applyNumberFormat="1" applyFont="1" applyFill="1" applyBorder="1" applyAlignment="1">
      <alignment vertical="center"/>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0" fillId="0" borderId="0" xfId="0" applyNumberFormat="1" applyAlignment="1">
      <alignmen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178" fontId="5" fillId="0" borderId="1" xfId="0" applyNumberFormat="1" applyFont="1" applyBorder="1" applyAlignment="1">
      <alignment horizontal="left" vertical="center" wrapText="1"/>
    </xf>
    <xf numFmtId="177" fontId="5"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wrapText="1"/>
    </xf>
    <xf numFmtId="0" fontId="5" fillId="2" borderId="1" xfId="0" applyNumberFormat="1" applyFont="1" applyFill="1" applyBorder="1" applyAlignment="1">
      <alignment horizontal="center" vertical="center"/>
    </xf>
    <xf numFmtId="0" fontId="8" fillId="0" borderId="0" xfId="0" applyNumberFormat="1" applyFont="1"/>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0" fontId="5" fillId="0" borderId="5" xfId="0" applyNumberFormat="1" applyFont="1" applyBorder="1" applyAlignment="1">
      <alignment horizontal="center" vertical="center" wrapText="1"/>
    </xf>
    <xf numFmtId="0" fontId="5" fillId="2" borderId="6" xfId="0" applyNumberFormat="1" applyFont="1" applyFill="1" applyBorder="1" applyAlignment="1">
      <alignment horizontal="center" vertical="center"/>
    </xf>
    <xf numFmtId="0" fontId="5" fillId="2" borderId="7" xfId="0" applyNumberFormat="1" applyFont="1" applyFill="1" applyBorder="1" applyAlignment="1">
      <alignment horizontal="left" vertical="center" wrapText="1"/>
    </xf>
    <xf numFmtId="0" fontId="5" fillId="2" borderId="0" xfId="0" applyNumberFormat="1" applyFont="1" applyFill="1" applyAlignment="1">
      <alignment horizontal="center" vertical="center"/>
    </xf>
    <xf numFmtId="9" fontId="5" fillId="2" borderId="7" xfId="0" applyNumberFormat="1" applyFont="1" applyFill="1" applyBorder="1" applyAlignment="1">
      <alignment horizontal="center" vertical="center"/>
    </xf>
    <xf numFmtId="0" fontId="9" fillId="0" borderId="8" xfId="0" applyNumberFormat="1" applyFont="1" applyFill="1" applyBorder="1" applyAlignment="1">
      <alignment vertical="center" wrapText="1"/>
    </xf>
    <xf numFmtId="177" fontId="5" fillId="2" borderId="3" xfId="0" applyNumberFormat="1" applyFont="1" applyFill="1" applyBorder="1" applyAlignment="1">
      <alignment horizontal="center" vertical="center"/>
    </xf>
    <xf numFmtId="0" fontId="5" fillId="2" borderId="9" xfId="0" applyNumberFormat="1" applyFont="1" applyFill="1" applyBorder="1" applyAlignment="1">
      <alignment horizontal="center" vertical="center"/>
    </xf>
    <xf numFmtId="0" fontId="5" fillId="2" borderId="6" xfId="0" applyNumberFormat="1" applyFont="1" applyFill="1" applyBorder="1" applyAlignment="1">
      <alignment horizontal="left" vertical="center" wrapText="1"/>
    </xf>
    <xf numFmtId="9" fontId="5" fillId="2" borderId="6" xfId="0" applyNumberFormat="1" applyFont="1" applyFill="1" applyBorder="1" applyAlignment="1">
      <alignment horizontal="center" vertical="center"/>
    </xf>
    <xf numFmtId="0" fontId="5" fillId="2" borderId="6" xfId="0" applyNumberFormat="1" applyFont="1" applyFill="1" applyBorder="1" applyAlignment="1">
      <alignment vertical="center"/>
    </xf>
    <xf numFmtId="177" fontId="5" fillId="2" borderId="6" xfId="0" applyNumberFormat="1" applyFont="1" applyFill="1" applyBorder="1" applyAlignment="1">
      <alignment horizontal="center" vertical="center"/>
    </xf>
    <xf numFmtId="0" fontId="10" fillId="0" borderId="0" xfId="0" applyNumberFormat="1" applyFont="1" applyFill="1" applyBorder="1" applyAlignment="1">
      <alignment vertical="center" wrapText="1"/>
    </xf>
    <xf numFmtId="0" fontId="5" fillId="0" borderId="4" xfId="0" applyNumberFormat="1" applyFont="1" applyBorder="1" applyAlignment="1">
      <alignment horizontal="center" vertical="center" wrapText="1"/>
    </xf>
    <xf numFmtId="0" fontId="5" fillId="2" borderId="10" xfId="0" applyNumberFormat="1" applyFont="1" applyFill="1" applyBorder="1" applyAlignment="1">
      <alignment horizontal="center" vertical="center"/>
    </xf>
    <xf numFmtId="0" fontId="5" fillId="2" borderId="6" xfId="0" applyNumberFormat="1" applyFont="1" applyFill="1" applyBorder="1" applyAlignment="1">
      <alignment wrapText="1"/>
    </xf>
    <xf numFmtId="0" fontId="5" fillId="5" borderId="4" xfId="0" applyNumberFormat="1" applyFont="1" applyFill="1" applyBorder="1" applyAlignment="1">
      <alignment horizontal="center" vertical="center"/>
    </xf>
    <xf numFmtId="9" fontId="5" fillId="5" borderId="4" xfId="0" applyNumberFormat="1" applyFont="1" applyFill="1" applyBorder="1" applyAlignment="1">
      <alignment vertical="center"/>
    </xf>
    <xf numFmtId="0" fontId="5" fillId="5" borderId="4" xfId="0" applyNumberFormat="1" applyFont="1" applyFill="1" applyBorder="1" applyAlignment="1">
      <alignment vertical="center"/>
    </xf>
    <xf numFmtId="177" fontId="5" fillId="5" borderId="4" xfId="0" applyNumberFormat="1" applyFont="1" applyFill="1" applyBorder="1" applyAlignment="1">
      <alignment horizontal="center"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5" fillId="0" borderId="1" xfId="0" applyNumberFormat="1" applyFont="1" applyBorder="1" applyAlignment="1">
      <alignment horizontal="left" vertical="center" wrapText="1"/>
    </xf>
    <xf numFmtId="0" fontId="5" fillId="0" borderId="1" xfId="0" applyNumberFormat="1" applyFont="1" applyBorder="1" applyAlignment="1">
      <alignment horizontal="left" vertical="center"/>
    </xf>
    <xf numFmtId="177" fontId="5" fillId="0" borderId="1" xfId="0" applyNumberFormat="1" applyFont="1" applyBorder="1" applyAlignment="1">
      <alignment horizontal="center" vertical="center"/>
    </xf>
    <xf numFmtId="0" fontId="4" fillId="0" borderId="2" xfId="0" applyNumberFormat="1" applyFont="1" applyBorder="1" applyAlignment="1">
      <alignment horizontal="left" vertical="center" wrapText="1"/>
    </xf>
    <xf numFmtId="0"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177" fontId="5" fillId="0" borderId="2" xfId="0" applyNumberFormat="1" applyFont="1" applyBorder="1" applyAlignment="1">
      <alignment horizontal="center" vertical="center"/>
    </xf>
    <xf numFmtId="0" fontId="5" fillId="0" borderId="10" xfId="0" applyNumberFormat="1" applyFont="1" applyBorder="1" applyAlignment="1">
      <alignment horizontal="center" vertical="center" wrapText="1"/>
    </xf>
    <xf numFmtId="0" fontId="0" fillId="0" borderId="3" xfId="0" applyNumberFormat="1" applyBorder="1"/>
    <xf numFmtId="0" fontId="5" fillId="0" borderId="2" xfId="0" applyNumberFormat="1" applyFont="1" applyBorder="1" applyAlignment="1">
      <alignment horizontal="left" vertical="center" wrapText="1"/>
    </xf>
    <xf numFmtId="0" fontId="0" fillId="0" borderId="4" xfId="0" applyNumberFormat="1" applyBorder="1"/>
    <xf numFmtId="0" fontId="5" fillId="2" borderId="1" xfId="0" applyNumberFormat="1" applyFont="1" applyFill="1" applyBorder="1" applyAlignment="1">
      <alignment horizontal="left" vertical="center" wrapText="1"/>
    </xf>
    <xf numFmtId="177" fontId="5" fillId="2" borderId="2" xfId="0" applyNumberFormat="1" applyFont="1" applyFill="1" applyBorder="1" applyAlignment="1">
      <alignment horizontal="center" vertical="center"/>
    </xf>
    <xf numFmtId="0" fontId="9" fillId="0" borderId="6" xfId="0" applyNumberFormat="1" applyFont="1" applyFill="1" applyBorder="1" applyAlignment="1">
      <alignment vertical="center" wrapText="1"/>
    </xf>
    <xf numFmtId="0" fontId="9" fillId="0" borderId="6" xfId="0" applyNumberFormat="1" applyFont="1" applyFill="1" applyBorder="1" applyAlignment="1">
      <alignment horizontal="center" vertical="center" wrapText="1"/>
    </xf>
    <xf numFmtId="0" fontId="5" fillId="0" borderId="4" xfId="0" applyNumberFormat="1" applyFont="1" applyBorder="1" applyAlignment="1">
      <alignment horizontal="left" vertical="center" wrapText="1"/>
    </xf>
    <xf numFmtId="0" fontId="5" fillId="2" borderId="4" xfId="0" applyNumberFormat="1" applyFont="1" applyFill="1" applyBorder="1" applyAlignment="1">
      <alignment horizontal="center" vertical="center" wrapText="1"/>
    </xf>
    <xf numFmtId="9" fontId="5" fillId="0" borderId="4" xfId="0" applyNumberFormat="1" applyFont="1" applyBorder="1" applyAlignment="1">
      <alignment horizontal="center" vertical="center" wrapText="1"/>
    </xf>
    <xf numFmtId="177" fontId="5" fillId="2" borderId="4" xfId="0" applyNumberFormat="1" applyFont="1" applyFill="1" applyBorder="1" applyAlignment="1">
      <alignment horizontal="center" vertical="center"/>
    </xf>
    <xf numFmtId="0" fontId="5" fillId="0" borderId="2" xfId="0" applyNumberFormat="1" applyFont="1" applyBorder="1" applyAlignment="1">
      <alignment horizontal="left" vertical="center"/>
    </xf>
    <xf numFmtId="9" fontId="5" fillId="0" borderId="2" xfId="0" applyNumberFormat="1" applyFont="1" applyBorder="1" applyAlignment="1">
      <alignment horizontal="center" vertical="center" wrapText="1"/>
    </xf>
    <xf numFmtId="0" fontId="5" fillId="0" borderId="10" xfId="0" applyNumberFormat="1" applyFont="1" applyBorder="1" applyAlignment="1">
      <alignment horizontal="center" vertical="center"/>
    </xf>
    <xf numFmtId="0" fontId="5" fillId="0" borderId="6" xfId="0" applyNumberFormat="1" applyFont="1" applyBorder="1" applyAlignment="1">
      <alignment horizontal="left" vertical="center" wrapText="1"/>
    </xf>
    <xf numFmtId="0" fontId="5" fillId="2" borderId="11" xfId="0" applyNumberFormat="1" applyFont="1" applyFill="1" applyBorder="1" applyAlignment="1">
      <alignment horizontal="center" vertical="center" wrapText="1"/>
    </xf>
    <xf numFmtId="9" fontId="5" fillId="0" borderId="6" xfId="0" applyNumberFormat="1" applyFont="1" applyBorder="1" applyAlignment="1">
      <alignment horizontal="center" vertical="center" wrapText="1"/>
    </xf>
    <xf numFmtId="0" fontId="5" fillId="0" borderId="11" xfId="0" applyNumberFormat="1" applyFont="1" applyBorder="1" applyAlignment="1">
      <alignment horizontal="center" vertical="center" wrapText="1"/>
    </xf>
    <xf numFmtId="0" fontId="5" fillId="0" borderId="12" xfId="0" applyNumberFormat="1" applyFont="1" applyBorder="1" applyAlignment="1">
      <alignment horizontal="left" vertical="center" wrapText="1"/>
    </xf>
    <xf numFmtId="0" fontId="11" fillId="0" borderId="0" xfId="0" applyNumberFormat="1" applyFont="1" applyAlignment="1">
      <alignment wrapText="1"/>
    </xf>
    <xf numFmtId="0" fontId="12" fillId="0" borderId="0" xfId="0" applyNumberFormat="1" applyFont="1" applyFill="1" applyAlignment="1">
      <alignment vertical="center" wrapText="1"/>
    </xf>
    <xf numFmtId="0" fontId="12" fillId="0" borderId="0" xfId="0" applyNumberFormat="1" applyFont="1" applyFill="1" applyAlignment="1">
      <alignment horizontal="center" vertical="center" wrapText="1"/>
    </xf>
    <xf numFmtId="0" fontId="13" fillId="0" borderId="6" xfId="0" applyNumberFormat="1" applyFont="1" applyFill="1" applyBorder="1" applyAlignment="1">
      <alignment horizontal="center" vertical="center" wrapText="1"/>
    </xf>
    <xf numFmtId="0" fontId="14" fillId="0" borderId="6" xfId="0" applyNumberFormat="1" applyFont="1" applyFill="1" applyBorder="1" applyAlignment="1">
      <alignment horizontal="center" vertical="center"/>
    </xf>
    <xf numFmtId="0" fontId="14" fillId="0" borderId="6" xfId="0" applyNumberFormat="1" applyFont="1" applyFill="1" applyBorder="1" applyAlignment="1">
      <alignment horizontal="center" vertical="center" wrapText="1"/>
    </xf>
    <xf numFmtId="0" fontId="14" fillId="0" borderId="6" xfId="0" applyNumberFormat="1" applyFont="1" applyFill="1" applyBorder="1" applyAlignment="1">
      <alignment horizontal="left" vertical="center" wrapText="1"/>
    </xf>
    <xf numFmtId="9" fontId="14" fillId="0" borderId="6" xfId="0" applyNumberFormat="1" applyFont="1" applyFill="1" applyBorder="1" applyAlignment="1">
      <alignment horizontal="center" vertical="center" wrapText="1"/>
    </xf>
    <xf numFmtId="177" fontId="14" fillId="0" borderId="6" xfId="0" applyNumberFormat="1" applyFont="1" applyFill="1" applyBorder="1" applyAlignment="1">
      <alignment horizontal="center" vertical="center"/>
    </xf>
    <xf numFmtId="0" fontId="13" fillId="0" borderId="8" xfId="0" applyNumberFormat="1" applyFont="1" applyFill="1" applyBorder="1" applyAlignment="1">
      <alignment horizontal="center" vertical="center" wrapText="1"/>
    </xf>
    <xf numFmtId="0" fontId="15" fillId="0" borderId="8" xfId="0" applyNumberFormat="1" applyFont="1" applyFill="1" applyBorder="1" applyAlignment="1">
      <alignment horizontal="center" vertical="center"/>
    </xf>
    <xf numFmtId="0" fontId="14" fillId="0" borderId="8" xfId="0" applyNumberFormat="1" applyFont="1" applyFill="1" applyBorder="1" applyAlignment="1">
      <alignment horizontal="center" vertical="center" wrapText="1"/>
    </xf>
    <xf numFmtId="0" fontId="14" fillId="0" borderId="8" xfId="0" applyNumberFormat="1" applyFont="1" applyFill="1" applyBorder="1" applyAlignment="1">
      <alignment horizontal="center" vertical="center"/>
    </xf>
    <xf numFmtId="0" fontId="16" fillId="0" borderId="6" xfId="0" applyNumberFormat="1" applyFont="1" applyFill="1" applyBorder="1" applyAlignment="1">
      <alignment horizontal="left" vertical="center" wrapText="1"/>
    </xf>
    <xf numFmtId="0" fontId="16" fillId="0" borderId="6" xfId="0" applyNumberFormat="1" applyFont="1" applyFill="1" applyBorder="1" applyAlignment="1">
      <alignment horizontal="center" vertical="center" wrapText="1"/>
    </xf>
    <xf numFmtId="0" fontId="13" fillId="0" borderId="7" xfId="0" applyNumberFormat="1" applyFont="1" applyFill="1" applyBorder="1" applyAlignment="1">
      <alignment horizontal="center" vertical="center" wrapText="1"/>
    </xf>
    <xf numFmtId="0" fontId="15" fillId="0" borderId="7" xfId="0" applyNumberFormat="1" applyFont="1" applyFill="1" applyBorder="1" applyAlignment="1">
      <alignment horizontal="center" vertical="center"/>
    </xf>
    <xf numFmtId="0" fontId="14" fillId="0" borderId="7" xfId="0" applyNumberFormat="1" applyFont="1" applyFill="1" applyBorder="1" applyAlignment="1">
      <alignment horizontal="center" vertical="center" wrapText="1"/>
    </xf>
    <xf numFmtId="0" fontId="14" fillId="0" borderId="7" xfId="0" applyNumberFormat="1" applyFont="1" applyFill="1" applyBorder="1" applyAlignment="1">
      <alignment horizontal="center" vertical="center"/>
    </xf>
    <xf numFmtId="0" fontId="16" fillId="0" borderId="8" xfId="0" applyNumberFormat="1" applyFont="1" applyFill="1" applyBorder="1" applyAlignment="1">
      <alignment vertical="center" wrapText="1"/>
    </xf>
    <xf numFmtId="0" fontId="16" fillId="0" borderId="8" xfId="0" applyNumberFormat="1" applyFont="1" applyFill="1" applyBorder="1" applyAlignment="1">
      <alignment horizontal="center" vertical="center" wrapText="1"/>
    </xf>
    <xf numFmtId="177" fontId="14" fillId="0" borderId="8" xfId="0" applyNumberFormat="1" applyFont="1" applyFill="1" applyBorder="1" applyAlignment="1">
      <alignment horizontal="center" vertical="center"/>
    </xf>
    <xf numFmtId="0" fontId="14" fillId="0" borderId="13" xfId="0" applyNumberFormat="1" applyFont="1" applyFill="1" applyBorder="1" applyAlignment="1">
      <alignment horizontal="center" vertical="center" wrapText="1"/>
    </xf>
    <xf numFmtId="0" fontId="14" fillId="0" borderId="14" xfId="0" applyNumberFormat="1" applyFont="1" applyFill="1" applyBorder="1" applyAlignment="1">
      <alignment horizontal="center" vertical="center"/>
    </xf>
    <xf numFmtId="0" fontId="14" fillId="0" borderId="13" xfId="0" applyNumberFormat="1" applyFont="1" applyFill="1" applyBorder="1" applyAlignment="1">
      <alignment horizontal="center" vertical="center"/>
    </xf>
    <xf numFmtId="0" fontId="14" fillId="5" borderId="14" xfId="0" applyNumberFormat="1" applyFont="1" applyFill="1" applyBorder="1" applyAlignment="1">
      <alignment horizontal="center" vertical="center"/>
    </xf>
    <xf numFmtId="0" fontId="14" fillId="5" borderId="15" xfId="0" applyNumberFormat="1" applyFont="1" applyFill="1" applyBorder="1" applyAlignment="1">
      <alignment horizontal="center" vertical="center"/>
    </xf>
    <xf numFmtId="0" fontId="14" fillId="5" borderId="16" xfId="0" applyNumberFormat="1" applyFont="1" applyFill="1" applyBorder="1" applyAlignment="1">
      <alignment horizontal="center" vertical="center"/>
    </xf>
    <xf numFmtId="0" fontId="14" fillId="5" borderId="13" xfId="0" applyNumberFormat="1" applyFont="1" applyFill="1" applyBorder="1" applyAlignment="1">
      <alignment horizontal="center" vertical="center"/>
    </xf>
    <xf numFmtId="9" fontId="14" fillId="5" borderId="13" xfId="0" applyNumberFormat="1" applyFont="1" applyFill="1" applyBorder="1" applyAlignment="1">
      <alignment vertical="center"/>
    </xf>
    <xf numFmtId="0" fontId="14" fillId="5" borderId="13" xfId="0" applyNumberFormat="1" applyFont="1" applyFill="1" applyBorder="1" applyAlignment="1">
      <alignment vertical="center"/>
    </xf>
    <xf numFmtId="177" fontId="14" fillId="5" borderId="13" xfId="0" applyNumberFormat="1" applyFont="1" applyFill="1" applyBorder="1" applyAlignment="1">
      <alignment horizontal="center" vertical="center"/>
    </xf>
    <xf numFmtId="0" fontId="13" fillId="0" borderId="13" xfId="0" applyNumberFormat="1" applyFont="1" applyFill="1" applyBorder="1" applyAlignment="1">
      <alignment horizontal="center" vertical="center" wrapText="1"/>
    </xf>
    <xf numFmtId="0" fontId="15" fillId="0" borderId="13" xfId="0" applyNumberFormat="1" applyFont="1" applyFill="1" applyBorder="1" applyAlignment="1">
      <alignment horizontal="center" vertical="center"/>
    </xf>
    <xf numFmtId="0" fontId="16" fillId="0" borderId="6" xfId="0" applyNumberFormat="1" applyFont="1" applyFill="1" applyBorder="1" applyAlignment="1">
      <alignment vertical="center" wrapText="1"/>
    </xf>
    <xf numFmtId="9" fontId="14" fillId="0" borderId="6" xfId="0" applyNumberFormat="1" applyFont="1" applyFill="1" applyBorder="1" applyAlignment="1">
      <alignment horizontal="center" vertical="center"/>
    </xf>
    <xf numFmtId="0" fontId="17" fillId="0" borderId="6" xfId="0" applyNumberFormat="1" applyFont="1" applyFill="1" applyBorder="1" applyAlignment="1">
      <alignment horizontal="left" vertical="center" wrapText="1"/>
    </xf>
    <xf numFmtId="0" fontId="16" fillId="0" borderId="14" xfId="0" applyNumberFormat="1" applyFont="1" applyFill="1" applyBorder="1" applyAlignment="1">
      <alignment horizontal="center" vertical="center" wrapText="1"/>
    </xf>
    <xf numFmtId="0" fontId="16" fillId="0" borderId="17" xfId="0" applyNumberFormat="1" applyFont="1" applyFill="1" applyBorder="1" applyAlignment="1">
      <alignment horizontal="center" vertical="center" wrapText="1"/>
    </xf>
    <xf numFmtId="0" fontId="16" fillId="0" borderId="17" xfId="0" applyNumberFormat="1" applyFont="1" applyFill="1" applyBorder="1" applyAlignment="1">
      <alignment vertical="center" wrapText="1"/>
    </xf>
    <xf numFmtId="0" fontId="14" fillId="0" borderId="6" xfId="0" applyNumberFormat="1" applyFont="1" applyFill="1" applyBorder="1" applyAlignment="1">
      <alignment vertical="center"/>
    </xf>
    <xf numFmtId="0" fontId="14" fillId="0" borderId="6" xfId="0" applyNumberFormat="1" applyFont="1" applyFill="1" applyBorder="1" applyAlignment="1">
      <alignment vertical="center" wrapText="1"/>
    </xf>
    <xf numFmtId="0" fontId="16" fillId="0" borderId="18" xfId="0" applyNumberFormat="1" applyFont="1" applyFill="1" applyBorder="1" applyAlignment="1">
      <alignment horizontal="center" vertical="center" wrapText="1"/>
    </xf>
    <xf numFmtId="0" fontId="16" fillId="0" borderId="13" xfId="0" applyNumberFormat="1" applyFont="1" applyFill="1" applyBorder="1" applyAlignment="1">
      <alignment vertical="center" wrapText="1"/>
    </xf>
    <xf numFmtId="9" fontId="14" fillId="0" borderId="13" xfId="0" applyNumberFormat="1" applyFont="1" applyFill="1" applyBorder="1" applyAlignment="1">
      <alignment horizontal="right" vertical="center"/>
    </xf>
    <xf numFmtId="0" fontId="14" fillId="0" borderId="13" xfId="0" applyNumberFormat="1" applyFont="1" applyFill="1" applyBorder="1" applyAlignment="1">
      <alignment vertical="center"/>
    </xf>
    <xf numFmtId="177" fontId="14" fillId="0" borderId="13" xfId="0" applyNumberFormat="1" applyFont="1" applyFill="1" applyBorder="1" applyAlignment="1">
      <alignment horizontal="center" vertical="center"/>
    </xf>
    <xf numFmtId="0" fontId="14" fillId="5" borderId="6" xfId="0" applyNumberFormat="1" applyFont="1" applyFill="1" applyBorder="1" applyAlignment="1">
      <alignment horizontal="center" vertical="center"/>
    </xf>
    <xf numFmtId="9" fontId="14" fillId="5" borderId="6" xfId="0" applyNumberFormat="1" applyFont="1" applyFill="1" applyBorder="1" applyAlignment="1">
      <alignment vertical="center"/>
    </xf>
    <xf numFmtId="0" fontId="14" fillId="5" borderId="6" xfId="0" applyNumberFormat="1" applyFont="1" applyFill="1" applyBorder="1" applyAlignment="1">
      <alignment vertical="center"/>
    </xf>
    <xf numFmtId="177" fontId="14" fillId="5" borderId="6" xfId="0" applyNumberFormat="1" applyFont="1" applyFill="1" applyBorder="1" applyAlignment="1">
      <alignment horizontal="center" vertical="center"/>
    </xf>
    <xf numFmtId="0" fontId="18" fillId="0" borderId="0" xfId="0" applyNumberFormat="1" applyFont="1" applyAlignment="1">
      <alignment vertical="center" wrapText="1"/>
    </xf>
    <xf numFmtId="0" fontId="18" fillId="0" borderId="0" xfId="0" applyNumberFormat="1" applyFont="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NumberFormat="1" applyFont="1" applyBorder="1" applyAlignment="1">
      <alignment horizontal="center" vertical="center"/>
    </xf>
    <xf numFmtId="0" fontId="19" fillId="0" borderId="1" xfId="0" applyNumberFormat="1" applyFont="1" applyBorder="1" applyAlignment="1">
      <alignment horizontal="left" vertical="center" wrapText="1"/>
    </xf>
    <xf numFmtId="9" fontId="19" fillId="0" borderId="1" xfId="0" applyNumberFormat="1" applyFont="1" applyBorder="1" applyAlignment="1">
      <alignment horizontal="center" vertical="center" wrapText="1"/>
    </xf>
    <xf numFmtId="177" fontId="19" fillId="0" borderId="1" xfId="0" applyNumberFormat="1" applyFont="1" applyBorder="1" applyAlignment="1">
      <alignment horizontal="center" vertical="center"/>
    </xf>
    <xf numFmtId="0" fontId="14" fillId="0" borderId="0" xfId="0" applyNumberFormat="1" applyFont="1" applyAlignment="1">
      <alignment vertical="center"/>
    </xf>
    <xf numFmtId="0" fontId="19" fillId="0" borderId="2" xfId="0" applyNumberFormat="1" applyFont="1" applyBorder="1" applyAlignment="1">
      <alignment horizontal="center" vertical="center" wrapText="1"/>
    </xf>
    <xf numFmtId="0" fontId="20" fillId="0" borderId="2" xfId="0" applyNumberFormat="1" applyFont="1" applyBorder="1" applyAlignment="1">
      <alignment horizontal="center" vertical="center"/>
    </xf>
    <xf numFmtId="9" fontId="21" fillId="0" borderId="2" xfId="0" applyNumberFormat="1" applyFont="1" applyBorder="1" applyAlignment="1">
      <alignment horizontal="center" vertical="center" wrapText="1"/>
    </xf>
    <xf numFmtId="0" fontId="21" fillId="0" borderId="2" xfId="0" applyNumberFormat="1" applyFont="1" applyBorder="1" applyAlignment="1">
      <alignment horizontal="center" vertical="center" wrapText="1"/>
    </xf>
    <xf numFmtId="0" fontId="21" fillId="0" borderId="2" xfId="0" applyNumberFormat="1" applyFont="1" applyBorder="1" applyAlignment="1">
      <alignment horizontal="center" vertical="center"/>
    </xf>
    <xf numFmtId="0" fontId="21" fillId="0" borderId="1" xfId="0" applyNumberFormat="1" applyFont="1" applyBorder="1" applyAlignment="1">
      <alignment horizontal="center" vertical="center" wrapText="1"/>
    </xf>
    <xf numFmtId="0" fontId="21" fillId="0" borderId="1" xfId="0" applyNumberFormat="1" applyFont="1" applyBorder="1" applyAlignment="1">
      <alignment horizontal="left" vertical="center" wrapText="1"/>
    </xf>
    <xf numFmtId="0" fontId="21" fillId="2" borderId="1" xfId="0" applyNumberFormat="1" applyFont="1" applyFill="1" applyBorder="1" applyAlignment="1">
      <alignment horizontal="center" vertical="center" wrapText="1"/>
    </xf>
    <xf numFmtId="9" fontId="21" fillId="0" borderId="1" xfId="0" applyNumberFormat="1" applyFont="1" applyBorder="1" applyAlignment="1">
      <alignment horizontal="center" vertical="center" wrapText="1"/>
    </xf>
    <xf numFmtId="0" fontId="21" fillId="0" borderId="1" xfId="0" applyNumberFormat="1" applyFont="1" applyBorder="1" applyAlignment="1">
      <alignment horizontal="center" vertical="center"/>
    </xf>
    <xf numFmtId="177" fontId="21" fillId="6" borderId="1" xfId="0" applyNumberFormat="1" applyFont="1" applyFill="1" applyBorder="1" applyAlignment="1">
      <alignment horizontal="center" vertical="center"/>
    </xf>
    <xf numFmtId="0" fontId="19" fillId="0" borderId="3" xfId="0" applyNumberFormat="1" applyFont="1" applyBorder="1" applyAlignment="1">
      <alignment horizontal="center" vertical="center" wrapText="1"/>
    </xf>
    <xf numFmtId="0" fontId="20" fillId="0" borderId="3" xfId="0" applyNumberFormat="1" applyFont="1" applyBorder="1" applyAlignment="1">
      <alignment horizontal="center" vertical="center"/>
    </xf>
    <xf numFmtId="9" fontId="21" fillId="0" borderId="3" xfId="0" applyNumberFormat="1" applyFont="1" applyBorder="1" applyAlignment="1">
      <alignment horizontal="center" vertical="center" wrapText="1"/>
    </xf>
    <xf numFmtId="0" fontId="21" fillId="0" borderId="3" xfId="0" applyNumberFormat="1" applyFont="1" applyBorder="1" applyAlignment="1">
      <alignment horizontal="center" vertical="center" wrapText="1"/>
    </xf>
    <xf numFmtId="0" fontId="21" fillId="0" borderId="4" xfId="0" applyNumberFormat="1" applyFont="1" applyBorder="1" applyAlignment="1">
      <alignment horizontal="center" vertical="center"/>
    </xf>
    <xf numFmtId="0" fontId="21" fillId="5" borderId="1" xfId="0" applyNumberFormat="1" applyFont="1" applyFill="1" applyBorder="1" applyAlignment="1">
      <alignment horizontal="center" vertical="center"/>
    </xf>
    <xf numFmtId="9" fontId="21" fillId="5" borderId="1" xfId="0" applyNumberFormat="1" applyFont="1" applyFill="1" applyBorder="1" applyAlignment="1">
      <alignment vertical="center"/>
    </xf>
    <xf numFmtId="0" fontId="21" fillId="5" borderId="1" xfId="0" applyNumberFormat="1" applyFont="1" applyFill="1" applyBorder="1" applyAlignment="1">
      <alignment vertical="center"/>
    </xf>
    <xf numFmtId="177" fontId="21" fillId="5" borderId="1" xfId="0" applyNumberFormat="1" applyFont="1" applyFill="1" applyBorder="1" applyAlignment="1">
      <alignment horizontal="center" vertical="center"/>
    </xf>
    <xf numFmtId="9" fontId="21" fillId="0" borderId="1" xfId="0" applyNumberFormat="1" applyFont="1" applyBorder="1" applyAlignment="1">
      <alignment horizontal="center" vertical="center"/>
    </xf>
    <xf numFmtId="177" fontId="21" fillId="0" borderId="1" xfId="0" applyNumberFormat="1" applyFont="1" applyBorder="1" applyAlignment="1">
      <alignment horizontal="center" vertical="center"/>
    </xf>
    <xf numFmtId="0" fontId="19" fillId="0" borderId="4" xfId="0" applyNumberFormat="1" applyFont="1" applyBorder="1" applyAlignment="1">
      <alignment horizontal="center" vertical="center" wrapText="1"/>
    </xf>
    <xf numFmtId="0" fontId="20" fillId="0" borderId="4" xfId="0" applyNumberFormat="1" applyFont="1" applyBorder="1" applyAlignment="1">
      <alignment horizontal="center" vertical="center"/>
    </xf>
    <xf numFmtId="9" fontId="21" fillId="0" borderId="4" xfId="0" applyNumberFormat="1" applyFont="1" applyBorder="1" applyAlignment="1">
      <alignment horizontal="center" vertical="center" wrapText="1"/>
    </xf>
    <xf numFmtId="0" fontId="21" fillId="0" borderId="4" xfId="0" applyNumberFormat="1" applyFont="1" applyBorder="1" applyAlignment="1">
      <alignment horizontal="center" vertical="center" wrapText="1"/>
    </xf>
    <xf numFmtId="0" fontId="20" fillId="0" borderId="1" xfId="0" applyNumberFormat="1" applyFont="1" applyBorder="1" applyAlignment="1">
      <alignment horizontal="center" vertical="center"/>
    </xf>
    <xf numFmtId="0" fontId="21" fillId="0" borderId="1" xfId="0" applyNumberFormat="1" applyFont="1" applyBorder="1" applyAlignment="1">
      <alignment vertical="center" wrapText="1"/>
    </xf>
    <xf numFmtId="176" fontId="2" fillId="0" borderId="13" xfId="0" applyFont="1" applyBorder="1" applyAlignment="1">
      <alignment horizontal="center" vertical="center" wrapText="1"/>
    </xf>
    <xf numFmtId="176" fontId="4" fillId="0" borderId="13" xfId="0" applyFont="1" applyBorder="1" applyAlignment="1">
      <alignment horizontal="left" vertical="center"/>
    </xf>
    <xf numFmtId="49" fontId="5" fillId="0" borderId="13" xfId="0" applyNumberFormat="1" applyFont="1" applyBorder="1" applyAlignment="1">
      <alignment horizontal="center" vertical="center" wrapText="1"/>
    </xf>
    <xf numFmtId="176" fontId="5" fillId="0" borderId="13" xfId="0" applyFont="1" applyBorder="1" applyAlignment="1">
      <alignment horizontal="center" vertical="center" wrapText="1"/>
    </xf>
    <xf numFmtId="176" fontId="5" fillId="0" borderId="13" xfId="0" applyFont="1" applyBorder="1" applyAlignment="1">
      <alignment horizontal="center" vertical="center"/>
    </xf>
    <xf numFmtId="0" fontId="5" fillId="0" borderId="19" xfId="0" applyNumberFormat="1" applyFont="1" applyBorder="1" applyAlignment="1">
      <alignment horizontal="center" vertical="center" wrapText="1"/>
    </xf>
    <xf numFmtId="176" fontId="5" fillId="0" borderId="6" xfId="0" applyFont="1" applyBorder="1" applyAlignment="1">
      <alignment horizontal="center" vertical="center" wrapText="1"/>
    </xf>
    <xf numFmtId="177" fontId="5" fillId="0" borderId="6" xfId="0" applyNumberFormat="1" applyFont="1" applyBorder="1" applyAlignment="1">
      <alignment horizontal="center" vertical="center"/>
    </xf>
    <xf numFmtId="176" fontId="2" fillId="0" borderId="6" xfId="0" applyFont="1" applyBorder="1" applyAlignment="1">
      <alignment horizontal="center" vertical="center" wrapText="1"/>
    </xf>
    <xf numFmtId="176" fontId="4" fillId="0" borderId="6" xfId="0" applyFont="1" applyBorder="1" applyAlignment="1">
      <alignment horizontal="left" vertical="center"/>
    </xf>
    <xf numFmtId="49" fontId="5" fillId="0" borderId="6" xfId="0" applyNumberFormat="1" applyFont="1" applyBorder="1" applyAlignment="1">
      <alignment horizontal="center" vertical="center" wrapText="1"/>
    </xf>
    <xf numFmtId="176" fontId="5" fillId="0" borderId="6" xfId="0" applyFont="1" applyBorder="1" applyAlignment="1">
      <alignment horizontal="center" vertical="center"/>
    </xf>
    <xf numFmtId="176" fontId="5" fillId="0" borderId="8" xfId="0" applyFont="1" applyBorder="1" applyAlignment="1">
      <alignment horizontal="center" vertical="center"/>
    </xf>
    <xf numFmtId="176" fontId="5" fillId="0" borderId="8" xfId="0" applyFont="1" applyBorder="1" applyAlignment="1">
      <alignment horizontal="center" vertical="center" wrapText="1"/>
    </xf>
    <xf numFmtId="0" fontId="5" fillId="0" borderId="1" xfId="0" applyNumberFormat="1" applyFont="1" applyBorder="1" applyAlignment="1">
      <alignment vertical="center" wrapText="1"/>
    </xf>
    <xf numFmtId="176" fontId="5" fillId="5" borderId="20" xfId="0" applyFont="1" applyFill="1" applyBorder="1" applyAlignment="1">
      <alignment horizontal="center" vertical="center"/>
    </xf>
    <xf numFmtId="176" fontId="5" fillId="5" borderId="12" xfId="0" applyFont="1" applyFill="1" applyBorder="1" applyAlignment="1">
      <alignment horizontal="center" vertical="center"/>
    </xf>
    <xf numFmtId="176" fontId="5" fillId="5" borderId="21" xfId="0" applyFont="1" applyFill="1" applyBorder="1" applyAlignment="1">
      <alignment horizontal="center" vertical="center"/>
    </xf>
    <xf numFmtId="176" fontId="5" fillId="5" borderId="8" xfId="0" applyFont="1" applyFill="1" applyBorder="1" applyAlignment="1">
      <alignment horizontal="center" vertical="center"/>
    </xf>
    <xf numFmtId="9" fontId="5" fillId="5" borderId="6" xfId="0" applyNumberFormat="1" applyFont="1" applyFill="1" applyBorder="1" applyAlignment="1">
      <alignment vertical="center"/>
    </xf>
    <xf numFmtId="176" fontId="5" fillId="5" borderId="6" xfId="0" applyFont="1" applyFill="1" applyBorder="1" applyAlignment="1">
      <alignment vertical="center"/>
    </xf>
    <xf numFmtId="177" fontId="5" fillId="5" borderId="6" xfId="0" applyNumberFormat="1" applyFont="1" applyFill="1" applyBorder="1" applyAlignment="1">
      <alignment horizontal="center" vertical="center"/>
    </xf>
    <xf numFmtId="176" fontId="5" fillId="0" borderId="22" xfId="0" applyFont="1" applyBorder="1" applyAlignment="1">
      <alignment horizontal="center" vertical="center"/>
    </xf>
    <xf numFmtId="176" fontId="4" fillId="0" borderId="13" xfId="0" applyFont="1" applyBorder="1" applyAlignment="1">
      <alignment horizontal="left" vertical="center" wrapText="1"/>
    </xf>
    <xf numFmtId="9" fontId="5" fillId="0" borderId="16" xfId="0" applyNumberFormat="1" applyFont="1" applyBorder="1" applyAlignment="1">
      <alignment horizontal="center" vertical="center"/>
    </xf>
    <xf numFmtId="176" fontId="5" fillId="0" borderId="14" xfId="0" applyFont="1" applyBorder="1" applyAlignment="1">
      <alignment horizontal="center" vertical="center"/>
    </xf>
    <xf numFmtId="176" fontId="4" fillId="0" borderId="6" xfId="0" applyFont="1" applyBorder="1" applyAlignment="1">
      <alignment vertical="center"/>
    </xf>
    <xf numFmtId="176" fontId="5" fillId="0" borderId="23" xfId="0" applyFont="1" applyBorder="1" applyAlignment="1">
      <alignment horizontal="left" vertical="center" wrapText="1"/>
    </xf>
    <xf numFmtId="176" fontId="5" fillId="0" borderId="16" xfId="0" applyFont="1" applyBorder="1" applyAlignment="1">
      <alignment horizontal="center" vertical="center" wrapText="1"/>
    </xf>
    <xf numFmtId="176" fontId="5" fillId="0" borderId="1" xfId="0" applyFont="1" applyBorder="1" applyAlignment="1">
      <alignment horizontal="left" vertical="center" wrapText="1"/>
    </xf>
    <xf numFmtId="176" fontId="5" fillId="0" borderId="24" xfId="0" applyFont="1" applyBorder="1" applyAlignment="1">
      <alignment vertical="center" wrapText="1"/>
    </xf>
    <xf numFmtId="176" fontId="5" fillId="5" borderId="6" xfId="0" applyFont="1" applyFill="1" applyBorder="1" applyAlignment="1">
      <alignment horizontal="center" vertical="center"/>
    </xf>
    <xf numFmtId="0" fontId="5" fillId="0" borderId="6" xfId="0" applyNumberFormat="1" applyFont="1" applyBorder="1" applyAlignment="1">
      <alignment vertical="center" wrapText="1"/>
    </xf>
    <xf numFmtId="9" fontId="5" fillId="0" borderId="6" xfId="0" applyNumberFormat="1" applyFont="1" applyBorder="1" applyAlignment="1">
      <alignment horizontal="center" vertical="center"/>
    </xf>
    <xf numFmtId="0" fontId="5" fillId="0" borderId="25"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24" xfId="0" applyNumberFormat="1" applyFont="1" applyBorder="1" applyAlignment="1">
      <alignment horizontal="left" vertical="center" wrapText="1"/>
    </xf>
    <xf numFmtId="0" fontId="5" fillId="0" borderId="6" xfId="0" applyNumberFormat="1" applyFont="1" applyBorder="1" applyAlignment="1">
      <alignment vertical="center"/>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49" fontId="5" fillId="0" borderId="1" xfId="0" applyNumberFormat="1" applyFont="1" applyBorder="1" applyAlignment="1">
      <alignment horizontal="center" vertical="center" wrapText="1"/>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2" xfId="0" applyFont="1" applyBorder="1" applyAlignment="1">
      <alignment horizontal="left" vertical="center" wrapText="1"/>
    </xf>
    <xf numFmtId="176" fontId="5" fillId="0" borderId="1" xfId="0" applyFont="1" applyBorder="1" applyAlignment="1">
      <alignment vertical="center"/>
    </xf>
    <xf numFmtId="176" fontId="5" fillId="0" borderId="3" xfId="0" applyFont="1" applyBorder="1" applyAlignment="1">
      <alignment horizontal="left" vertical="center" wrapText="1"/>
    </xf>
    <xf numFmtId="176" fontId="5" fillId="0" borderId="4" xfId="0" applyFont="1" applyBorder="1" applyAlignment="1">
      <alignment horizontal="left" vertical="center" wrapText="1"/>
    </xf>
    <xf numFmtId="176" fontId="5" fillId="5" borderId="10" xfId="0" applyFont="1" applyFill="1" applyBorder="1" applyAlignment="1">
      <alignment horizontal="center" vertical="center"/>
    </xf>
    <xf numFmtId="176" fontId="5" fillId="5" borderId="11" xfId="0" applyFont="1" applyFill="1" applyBorder="1" applyAlignment="1">
      <alignment horizontal="center" vertical="center"/>
    </xf>
    <xf numFmtId="176" fontId="5" fillId="5" borderId="1" xfId="0" applyFont="1" applyFill="1" applyBorder="1" applyAlignment="1">
      <alignment vertical="center"/>
    </xf>
    <xf numFmtId="0" fontId="5" fillId="0" borderId="1" xfId="0" applyNumberFormat="1" applyFont="1" applyBorder="1" applyAlignment="1">
      <alignment vertical="center"/>
    </xf>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4"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9"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9"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1" xfId="0" applyNumberFormat="1" applyFont="1" applyFill="1" applyBorder="1" applyAlignment="1">
      <alignment vertical="center" wrapText="1"/>
    </xf>
    <xf numFmtId="9" fontId="5" fillId="0" borderId="1" xfId="0" applyNumberFormat="1" applyFont="1" applyFill="1" applyBorder="1" applyAlignment="1" applyProtection="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vertical="top" wrapText="1"/>
    </xf>
    <xf numFmtId="0" fontId="5" fillId="0" borderId="3" xfId="0" applyNumberFormat="1" applyFont="1" applyFill="1" applyBorder="1" applyAlignment="1">
      <alignment horizontal="center" vertical="center"/>
    </xf>
    <xf numFmtId="0" fontId="4" fillId="5" borderId="1" xfId="0" applyNumberFormat="1" applyFont="1" applyFill="1" applyBorder="1" applyAlignment="1">
      <alignment horizontal="center" vertical="center"/>
    </xf>
    <xf numFmtId="0" fontId="5" fillId="0" borderId="1" xfId="0" applyNumberFormat="1" applyFont="1" applyFill="1" applyBorder="1" applyAlignment="1">
      <alignment vertical="center" wrapText="1"/>
    </xf>
    <xf numFmtId="0" fontId="14"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left" vertical="center" wrapText="1"/>
    </xf>
    <xf numFmtId="0" fontId="14" fillId="2" borderId="1" xfId="0" applyNumberFormat="1" applyFont="1" applyFill="1" applyBorder="1" applyAlignment="1">
      <alignment horizontal="center" vertical="center" wrapText="1"/>
    </xf>
    <xf numFmtId="9" fontId="14"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xf>
    <xf numFmtId="177" fontId="22" fillId="0" borderId="1" xfId="0" applyNumberFormat="1" applyFont="1" applyFill="1" applyBorder="1" applyAlignment="1">
      <alignment horizontal="center" vertical="center"/>
    </xf>
    <xf numFmtId="177" fontId="14" fillId="0" borderId="1" xfId="0" applyNumberFormat="1" applyFont="1" applyFill="1" applyBorder="1" applyAlignment="1">
      <alignment horizontal="center" vertical="center"/>
    </xf>
    <xf numFmtId="0" fontId="5" fillId="2" borderId="2"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1" fillId="0" borderId="0" xfId="0" applyNumberFormat="1" applyFont="1" applyFill="1" applyAlignment="1">
      <alignment vertical="center" wrapText="1"/>
    </xf>
    <xf numFmtId="0" fontId="18" fillId="0" borderId="0" xfId="0" applyNumberFormat="1" applyFont="1" applyFill="1" applyAlignment="1">
      <alignment vertical="center" wrapText="1"/>
    </xf>
    <xf numFmtId="0" fontId="18" fillId="0" borderId="0" xfId="0" applyNumberFormat="1" applyFont="1" applyFill="1" applyAlignment="1">
      <alignment horizontal="center" vertical="center" wrapText="1"/>
    </xf>
    <xf numFmtId="0" fontId="19" fillId="0" borderId="1" xfId="0" applyNumberFormat="1" applyFont="1" applyFill="1" applyBorder="1" applyAlignment="1">
      <alignment horizontal="center" vertical="center" wrapText="1"/>
    </xf>
    <xf numFmtId="0" fontId="19" fillId="0" borderId="1" xfId="0" applyNumberFormat="1" applyFont="1" applyFill="1" applyBorder="1" applyAlignment="1">
      <alignment horizontal="center" vertical="center"/>
    </xf>
    <xf numFmtId="0" fontId="19" fillId="0" borderId="1" xfId="0" applyNumberFormat="1" applyFont="1" applyFill="1" applyBorder="1" applyAlignment="1">
      <alignment horizontal="left" vertical="center" wrapText="1"/>
    </xf>
    <xf numFmtId="9" fontId="19" fillId="0" borderId="1" xfId="0" applyNumberFormat="1" applyFont="1" applyFill="1" applyBorder="1" applyAlignment="1">
      <alignment horizontal="center" vertical="center" wrapText="1"/>
    </xf>
    <xf numFmtId="177" fontId="19" fillId="0" borderId="1" xfId="0" applyNumberFormat="1" applyFont="1" applyFill="1" applyBorder="1" applyAlignment="1">
      <alignment horizontal="center" vertical="center"/>
    </xf>
    <xf numFmtId="0" fontId="14" fillId="0" borderId="0" xfId="0" applyNumberFormat="1" applyFont="1" applyFill="1" applyAlignment="1">
      <alignment vertical="center"/>
    </xf>
    <xf numFmtId="0" fontId="20" fillId="0" borderId="1" xfId="0" applyNumberFormat="1" applyFont="1" applyFill="1" applyBorder="1" applyAlignment="1">
      <alignment horizontal="center" vertical="center"/>
    </xf>
    <xf numFmtId="9" fontId="21" fillId="0" borderId="1" xfId="0" applyNumberFormat="1" applyFont="1" applyFill="1" applyBorder="1" applyAlignment="1">
      <alignment horizontal="center" vertical="center" wrapText="1"/>
    </xf>
    <xf numFmtId="0" fontId="21" fillId="0" borderId="1" xfId="0" applyNumberFormat="1" applyFont="1" applyFill="1" applyBorder="1" applyAlignment="1">
      <alignment horizontal="center" vertical="center" wrapText="1"/>
    </xf>
    <xf numFmtId="0" fontId="21" fillId="0" borderId="1" xfId="0" applyNumberFormat="1" applyFont="1" applyFill="1" applyBorder="1" applyAlignment="1">
      <alignment horizontal="center" vertical="center"/>
    </xf>
    <xf numFmtId="0" fontId="21" fillId="0" borderId="2" xfId="0" applyNumberFormat="1" applyFont="1" applyFill="1" applyBorder="1" applyAlignment="1">
      <alignment horizontal="center" vertical="center" wrapText="1"/>
    </xf>
    <xf numFmtId="0" fontId="21" fillId="2" borderId="2" xfId="0" applyNumberFormat="1" applyFont="1" applyFill="1" applyBorder="1" applyAlignment="1">
      <alignment horizontal="left" vertical="center" wrapText="1"/>
    </xf>
    <xf numFmtId="0" fontId="21" fillId="2" borderId="1" xfId="0" applyNumberFormat="1" applyFont="1" applyFill="1" applyBorder="1" applyAlignment="1">
      <alignment horizontal="left" vertical="center" wrapText="1"/>
    </xf>
    <xf numFmtId="0" fontId="21" fillId="0" borderId="1" xfId="0" applyNumberFormat="1" applyFont="1" applyFill="1" applyBorder="1" applyAlignment="1">
      <alignment horizontal="left" vertical="center" wrapText="1"/>
    </xf>
    <xf numFmtId="0" fontId="21" fillId="0" borderId="2" xfId="0" applyNumberFormat="1" applyFont="1" applyFill="1" applyBorder="1" applyAlignment="1">
      <alignment horizontal="left" vertical="top" wrapText="1"/>
    </xf>
    <xf numFmtId="0" fontId="21" fillId="0" borderId="4" xfId="0" applyNumberFormat="1" applyFont="1" applyFill="1" applyBorder="1" applyAlignment="1">
      <alignment horizontal="left" vertical="top" wrapText="1"/>
    </xf>
    <xf numFmtId="0" fontId="20" fillId="0" borderId="1" xfId="0" applyNumberFormat="1" applyFont="1" applyFill="1" applyBorder="1" applyAlignment="1">
      <alignment horizontal="left" vertical="center" wrapText="1"/>
    </xf>
    <xf numFmtId="9" fontId="21" fillId="0" borderId="1" xfId="0" applyNumberFormat="1" applyFont="1" applyFill="1" applyBorder="1" applyAlignment="1">
      <alignment horizontal="center" vertical="center"/>
    </xf>
    <xf numFmtId="177" fontId="21" fillId="0" borderId="1" xfId="0" applyNumberFormat="1" applyFont="1" applyFill="1" applyBorder="1" applyAlignment="1">
      <alignment horizontal="center" vertical="center"/>
    </xf>
    <xf numFmtId="0" fontId="21" fillId="0" borderId="2" xfId="0" applyNumberFormat="1" applyFont="1" applyFill="1" applyBorder="1" applyAlignment="1">
      <alignment horizontal="left" vertical="center" wrapText="1"/>
    </xf>
    <xf numFmtId="0" fontId="21" fillId="0" borderId="3" xfId="0" applyNumberFormat="1" applyFont="1" applyFill="1" applyBorder="1" applyAlignment="1">
      <alignment horizontal="center" vertical="center" wrapText="1"/>
    </xf>
    <xf numFmtId="0" fontId="21" fillId="2" borderId="1" xfId="0" applyNumberFormat="1" applyFont="1" applyFill="1" applyBorder="1" applyAlignment="1">
      <alignment horizontal="center" vertical="center"/>
    </xf>
    <xf numFmtId="9" fontId="21" fillId="2" borderId="1" xfId="0" applyNumberFormat="1" applyFont="1" applyFill="1" applyBorder="1" applyAlignment="1">
      <alignment horizontal="center" vertical="center"/>
    </xf>
    <xf numFmtId="0" fontId="21" fillId="2" borderId="1" xfId="0" applyNumberFormat="1" applyFont="1" applyFill="1" applyBorder="1" applyAlignment="1">
      <alignment vertical="center"/>
    </xf>
    <xf numFmtId="177" fontId="21" fillId="2"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wrapText="1"/>
    </xf>
    <xf numFmtId="0" fontId="15" fillId="0" borderId="2" xfId="0" applyNumberFormat="1" applyFont="1" applyFill="1" applyBorder="1" applyAlignment="1">
      <alignment horizontal="center" vertical="center"/>
    </xf>
    <xf numFmtId="9" fontId="14" fillId="0" borderId="2" xfId="0" applyNumberFormat="1" applyFont="1" applyFill="1" applyBorder="1" applyAlignment="1">
      <alignment horizontal="center" vertical="center" wrapText="1"/>
    </xf>
    <xf numFmtId="0" fontId="14" fillId="0" borderId="2" xfId="0" applyNumberFormat="1" applyFont="1" applyFill="1" applyBorder="1" applyAlignment="1">
      <alignment horizontal="center" vertical="center" wrapText="1"/>
    </xf>
    <xf numFmtId="0" fontId="14" fillId="0" borderId="2" xfId="0" applyNumberFormat="1" applyFont="1" applyFill="1" applyBorder="1" applyAlignment="1">
      <alignment horizontal="center" vertical="center"/>
    </xf>
    <xf numFmtId="177" fontId="18" fillId="0" borderId="1"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xf>
    <xf numFmtId="9" fontId="14" fillId="0" borderId="3" xfId="0" applyNumberFormat="1" applyFont="1" applyFill="1" applyBorder="1" applyAlignment="1">
      <alignment horizontal="center" vertical="center" wrapText="1"/>
    </xf>
    <xf numFmtId="0" fontId="14" fillId="0" borderId="3" xfId="0" applyNumberFormat="1" applyFont="1" applyFill="1" applyBorder="1" applyAlignment="1">
      <alignment horizontal="center" vertical="center" wrapText="1"/>
    </xf>
    <xf numFmtId="0" fontId="14" fillId="0" borderId="3" xfId="0" applyNumberFormat="1" applyFont="1" applyFill="1" applyBorder="1" applyAlignment="1">
      <alignment horizontal="center" vertical="center"/>
    </xf>
    <xf numFmtId="0" fontId="14" fillId="0" borderId="4"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9" fontId="14" fillId="0" borderId="4" xfId="0" applyNumberFormat="1" applyFont="1" applyFill="1" applyBorder="1" applyAlignment="1">
      <alignment horizontal="center" vertical="center" wrapText="1"/>
    </xf>
    <xf numFmtId="0" fontId="14" fillId="0" borderId="4" xfId="0" applyNumberFormat="1" applyFont="1" applyFill="1" applyBorder="1" applyAlignment="1">
      <alignment horizontal="center" vertical="center" wrapText="1"/>
    </xf>
    <xf numFmtId="0" fontId="14" fillId="5" borderId="1" xfId="0" applyNumberFormat="1" applyFont="1" applyFill="1" applyBorder="1" applyAlignment="1">
      <alignment horizontal="center" vertical="center"/>
    </xf>
    <xf numFmtId="9" fontId="14" fillId="5" borderId="1" xfId="0" applyNumberFormat="1" applyFont="1" applyFill="1" applyBorder="1" applyAlignment="1">
      <alignment vertical="center"/>
    </xf>
    <xf numFmtId="0" fontId="14" fillId="5" borderId="1" xfId="0" applyNumberFormat="1" applyFont="1" applyFill="1" applyBorder="1" applyAlignment="1">
      <alignment vertical="center"/>
    </xf>
    <xf numFmtId="177" fontId="14" fillId="5" borderId="1" xfId="0" applyNumberFormat="1" applyFont="1" applyFill="1" applyBorder="1" applyAlignment="1">
      <alignment horizontal="center" vertical="center"/>
    </xf>
    <xf numFmtId="0" fontId="0" fillId="0" borderId="0" xfId="0" applyNumberFormat="1"/>
    <xf numFmtId="9" fontId="0" fillId="0" borderId="0" xfId="0" applyNumberFormat="1"/>
    <xf numFmtId="179" fontId="0" fillId="0" borderId="0" xfId="0" applyNumberFormat="1"/>
    <xf numFmtId="49" fontId="0" fillId="0" borderId="0" xfId="0" applyNumberFormat="1"/>
    <xf numFmtId="176" fontId="0" fillId="0" borderId="0" xfId="0" applyAlignment="1">
      <alignment horizontal="left"/>
    </xf>
    <xf numFmtId="176" fontId="0" fillId="0" borderId="0" xfId="0" applyAlignment="1">
      <alignment wrapText="1"/>
    </xf>
    <xf numFmtId="176" fontId="23" fillId="7" borderId="1" xfId="0" applyFont="1" applyFill="1" applyBorder="1" applyAlignment="1">
      <alignment horizontal="center" vertical="center"/>
    </xf>
    <xf numFmtId="179" fontId="23" fillId="7" borderId="1" xfId="0" applyNumberFormat="1" applyFont="1" applyFill="1" applyBorder="1" applyAlignment="1">
      <alignment horizontal="center" vertical="center"/>
    </xf>
    <xf numFmtId="176" fontId="23" fillId="7" borderId="1" xfId="0" applyFont="1" applyFill="1" applyBorder="1" applyAlignment="1">
      <alignment horizontal="left" vertical="center"/>
    </xf>
    <xf numFmtId="0" fontId="24" fillId="7" borderId="1" xfId="0" applyNumberFormat="1" applyFont="1" applyFill="1" applyBorder="1" applyAlignment="1">
      <alignment horizontal="center" vertical="center"/>
    </xf>
    <xf numFmtId="176" fontId="24" fillId="7" borderId="1" xfId="0" applyFont="1" applyFill="1" applyBorder="1" applyAlignment="1">
      <alignment horizontal="center" vertical="center"/>
    </xf>
    <xf numFmtId="9" fontId="24" fillId="7" borderId="1" xfId="0" applyNumberFormat="1" applyFont="1" applyFill="1" applyBorder="1" applyAlignment="1">
      <alignment horizontal="center" vertical="center"/>
    </xf>
    <xf numFmtId="0" fontId="24" fillId="7" borderId="1" xfId="0" applyNumberFormat="1" applyFont="1" applyFill="1" applyBorder="1" applyAlignment="1">
      <alignment horizontal="center" vertical="center" wrapText="1"/>
    </xf>
    <xf numFmtId="179" fontId="24" fillId="7" borderId="1" xfId="0" applyNumberFormat="1" applyFont="1" applyFill="1" applyBorder="1" applyAlignment="1">
      <alignment horizontal="center" vertical="center"/>
    </xf>
    <xf numFmtId="179" fontId="24" fillId="7" borderId="1" xfId="0" applyNumberFormat="1" applyFont="1" applyFill="1" applyBorder="1" applyAlignment="1">
      <alignment horizontal="center" vertical="center" wrapText="1"/>
    </xf>
    <xf numFmtId="49" fontId="24" fillId="7" borderId="1" xfId="0" applyNumberFormat="1" applyFont="1" applyFill="1" applyBorder="1" applyAlignment="1">
      <alignment horizontal="center" vertical="center" wrapText="1"/>
    </xf>
    <xf numFmtId="176" fontId="24" fillId="7" borderId="1" xfId="0" applyFont="1" applyFill="1" applyBorder="1" applyAlignment="1">
      <alignment horizontal="center" vertical="center" wrapText="1"/>
    </xf>
    <xf numFmtId="0" fontId="25" fillId="0" borderId="1" xfId="0" applyNumberFormat="1" applyFont="1" applyBorder="1" applyAlignment="1">
      <alignment horizontal="center" vertical="center"/>
    </xf>
    <xf numFmtId="176" fontId="25" fillId="0" borderId="2" xfId="0" applyFont="1" applyBorder="1" applyAlignment="1">
      <alignment horizontal="center" vertical="center" wrapText="1"/>
    </xf>
    <xf numFmtId="176" fontId="25" fillId="0" borderId="1" xfId="0" applyFont="1" applyBorder="1" applyAlignment="1">
      <alignment horizontal="center" vertical="center" wrapText="1"/>
    </xf>
    <xf numFmtId="176" fontId="25" fillId="0" borderId="1" xfId="0" applyFont="1" applyBorder="1" applyAlignment="1">
      <alignment vertical="center"/>
    </xf>
    <xf numFmtId="176" fontId="25" fillId="0" borderId="1" xfId="0" applyFont="1" applyBorder="1" applyAlignment="1">
      <alignment horizontal="center" vertical="center"/>
    </xf>
    <xf numFmtId="9" fontId="25" fillId="0" borderId="1" xfId="0" applyNumberFormat="1" applyFont="1" applyBorder="1" applyAlignment="1">
      <alignment horizontal="center" vertical="center"/>
    </xf>
    <xf numFmtId="179" fontId="25" fillId="0" borderId="1" xfId="0" applyNumberFormat="1" applyFont="1" applyBorder="1" applyAlignment="1">
      <alignment horizontal="center" vertical="center"/>
    </xf>
    <xf numFmtId="0" fontId="25" fillId="0" borderId="1" xfId="0" applyNumberFormat="1" applyFont="1" applyFill="1" applyBorder="1" applyAlignment="1">
      <alignment horizontal="center" vertical="center"/>
    </xf>
    <xf numFmtId="0" fontId="25" fillId="0" borderId="1" xfId="0" applyNumberFormat="1" applyFont="1" applyFill="1" applyBorder="1" applyAlignment="1">
      <alignment horizontal="center" vertical="center" wrapText="1"/>
    </xf>
    <xf numFmtId="176" fontId="25" fillId="0" borderId="1" xfId="0" applyFont="1" applyBorder="1" applyAlignment="1">
      <alignment vertical="center" wrapText="1"/>
    </xf>
    <xf numFmtId="176" fontId="25" fillId="0" borderId="1" xfId="0" applyFont="1" applyBorder="1" applyAlignment="1">
      <alignment horizontal="left" vertical="center"/>
    </xf>
    <xf numFmtId="176" fontId="25" fillId="0" borderId="3" xfId="0" applyFont="1" applyBorder="1" applyAlignment="1">
      <alignment horizontal="center" vertical="center"/>
    </xf>
    <xf numFmtId="9" fontId="25" fillId="0" borderId="1" xfId="0" applyNumberFormat="1" applyFont="1" applyFill="1" applyBorder="1" applyAlignment="1" applyProtection="1">
      <alignment horizontal="center" vertical="center"/>
    </xf>
    <xf numFmtId="0" fontId="25" fillId="0" borderId="1" xfId="0" applyNumberFormat="1" applyFont="1" applyBorder="1" applyAlignment="1">
      <alignment horizontal="center" vertical="center" wrapText="1"/>
    </xf>
    <xf numFmtId="176" fontId="25" fillId="0" borderId="1" xfId="0" applyFont="1" applyFill="1" applyBorder="1" applyAlignment="1">
      <alignment horizontal="left" vertical="center" wrapText="1"/>
    </xf>
    <xf numFmtId="179" fontId="25" fillId="0" borderId="2" xfId="0" applyNumberFormat="1" applyFont="1" applyBorder="1" applyAlignment="1">
      <alignment horizontal="center" vertical="center" wrapText="1"/>
    </xf>
    <xf numFmtId="179" fontId="25" fillId="0" borderId="4" xfId="0" applyNumberFormat="1" applyFont="1" applyBorder="1" applyAlignment="1">
      <alignment horizontal="center" vertical="center" wrapText="1"/>
    </xf>
    <xf numFmtId="176" fontId="25" fillId="0" borderId="1" xfId="0" applyFont="1" applyFill="1" applyBorder="1" applyAlignment="1">
      <alignment horizontal="left" vertical="center"/>
    </xf>
    <xf numFmtId="176" fontId="25" fillId="8" borderId="1" xfId="0" applyFont="1" applyFill="1" applyBorder="1" applyAlignment="1">
      <alignment horizontal="center" vertical="center"/>
    </xf>
    <xf numFmtId="9" fontId="25" fillId="0" borderId="1" xfId="0" applyNumberFormat="1" applyFont="1" applyFill="1" applyBorder="1" applyAlignment="1">
      <alignment horizontal="center" vertical="center"/>
    </xf>
    <xf numFmtId="179" fontId="25" fillId="8" borderId="1" xfId="0" applyNumberFormat="1" applyFont="1" applyFill="1" applyBorder="1" applyAlignment="1">
      <alignment horizontal="center" vertical="center"/>
    </xf>
    <xf numFmtId="176" fontId="25" fillId="8" borderId="1" xfId="0" applyFont="1" applyFill="1" applyBorder="1" applyAlignment="1">
      <alignment horizontal="center" vertical="center" wrapText="1"/>
    </xf>
    <xf numFmtId="176" fontId="25" fillId="0" borderId="1" xfId="0" applyFont="1" applyFill="1" applyBorder="1" applyAlignment="1">
      <alignment vertical="center"/>
    </xf>
    <xf numFmtId="176" fontId="25" fillId="0" borderId="1" xfId="0" applyFont="1" applyFill="1" applyBorder="1" applyAlignment="1">
      <alignment horizontal="center" vertical="center"/>
    </xf>
    <xf numFmtId="179" fontId="25" fillId="0" borderId="1" xfId="0" applyNumberFormat="1" applyFont="1" applyFill="1" applyBorder="1" applyAlignment="1">
      <alignment horizontal="center" vertical="center"/>
    </xf>
    <xf numFmtId="0" fontId="26" fillId="0" borderId="1" xfId="0" applyNumberFormat="1" applyFont="1" applyFill="1" applyBorder="1" applyAlignment="1">
      <alignment horizontal="center" vertical="center"/>
    </xf>
    <xf numFmtId="176" fontId="25" fillId="0" borderId="1" xfId="0" applyFont="1" applyFill="1" applyBorder="1" applyAlignment="1">
      <alignment horizontal="center" vertical="center" wrapText="1"/>
    </xf>
    <xf numFmtId="176" fontId="25" fillId="0" borderId="3" xfId="0" applyFont="1" applyBorder="1" applyAlignment="1">
      <alignment horizontal="center" vertical="center" wrapText="1"/>
    </xf>
    <xf numFmtId="179" fontId="25" fillId="0" borderId="1" xfId="0" applyNumberFormat="1" applyFont="1" applyFill="1" applyBorder="1" applyAlignment="1">
      <alignment horizontal="center" vertical="center" wrapText="1"/>
    </xf>
    <xf numFmtId="49" fontId="26" fillId="0" borderId="1" xfId="0" applyNumberFormat="1" applyFont="1" applyFill="1" applyBorder="1" applyAlignment="1">
      <alignment horizontal="center" vertical="center" wrapText="1"/>
    </xf>
    <xf numFmtId="0" fontId="25" fillId="0" borderId="2" xfId="0" applyNumberFormat="1" applyFont="1" applyBorder="1" applyAlignment="1">
      <alignment horizontal="center" vertical="center" wrapText="1"/>
    </xf>
    <xf numFmtId="179" fontId="25" fillId="0" borderId="1" xfId="0" applyNumberFormat="1" applyFont="1" applyBorder="1" applyAlignment="1">
      <alignment vertical="center" wrapText="1"/>
    </xf>
    <xf numFmtId="0" fontId="25" fillId="0" borderId="4" xfId="0" applyNumberFormat="1" applyFont="1" applyBorder="1" applyAlignment="1">
      <alignment horizontal="center" vertical="center" wrapText="1"/>
    </xf>
    <xf numFmtId="49" fontId="25" fillId="0" borderId="1" xfId="0" applyNumberFormat="1" applyFont="1" applyFill="1" applyBorder="1" applyAlignment="1">
      <alignment horizontal="center" vertical="center" wrapText="1"/>
    </xf>
    <xf numFmtId="176" fontId="26" fillId="8" borderId="1" xfId="0" applyFont="1" applyFill="1" applyBorder="1" applyAlignment="1">
      <alignment horizontal="center" vertical="center"/>
    </xf>
    <xf numFmtId="179" fontId="25" fillId="0" borderId="1" xfId="0" applyNumberFormat="1" applyFont="1" applyBorder="1" applyAlignment="1">
      <alignment horizontal="center" vertical="center" wrapText="1"/>
    </xf>
    <xf numFmtId="176" fontId="25" fillId="0" borderId="1" xfId="0" applyFont="1" applyBorder="1" applyAlignment="1">
      <alignment horizontal="left" vertical="center" wrapText="1"/>
    </xf>
    <xf numFmtId="0" fontId="25" fillId="0" borderId="26" xfId="0" applyNumberFormat="1" applyFont="1" applyBorder="1" applyAlignment="1">
      <alignment horizontal="center" vertical="center"/>
    </xf>
    <xf numFmtId="176" fontId="25" fillId="0" borderId="27" xfId="0" applyFont="1" applyBorder="1" applyAlignment="1">
      <alignment horizontal="center" vertical="center"/>
    </xf>
    <xf numFmtId="176" fontId="25" fillId="0" borderId="26" xfId="0" applyFont="1" applyBorder="1" applyAlignment="1">
      <alignment horizontal="center" vertical="center"/>
    </xf>
    <xf numFmtId="176" fontId="25" fillId="7" borderId="26" xfId="0" applyFont="1" applyFill="1" applyBorder="1" applyAlignment="1">
      <alignment horizontal="center" vertical="center"/>
    </xf>
    <xf numFmtId="0" fontId="25" fillId="7" borderId="26" xfId="0" applyNumberFormat="1" applyFont="1" applyFill="1" applyBorder="1" applyAlignment="1">
      <alignment horizontal="center" vertical="center"/>
    </xf>
    <xf numFmtId="179" fontId="25" fillId="7" borderId="26" xfId="0" applyNumberFormat="1" applyFont="1" applyFill="1" applyBorder="1" applyAlignment="1">
      <alignment horizontal="center" vertical="center"/>
    </xf>
    <xf numFmtId="0" fontId="26" fillId="7" borderId="26" xfId="0" applyNumberFormat="1" applyFont="1" applyFill="1" applyBorder="1" applyAlignment="1">
      <alignment horizontal="center" vertical="center"/>
    </xf>
    <xf numFmtId="176" fontId="25" fillId="7" borderId="26" xfId="0" applyFont="1" applyFill="1" applyBorder="1" applyAlignment="1">
      <alignment horizontal="center" vertical="center" wrapText="1"/>
    </xf>
    <xf numFmtId="9" fontId="25" fillId="7" borderId="26" xfId="0" applyNumberFormat="1" applyFont="1" applyFill="1" applyBorder="1" applyAlignment="1">
      <alignment horizontal="center" vertical="center"/>
    </xf>
    <xf numFmtId="176" fontId="25" fillId="0" borderId="26" xfId="0" applyFont="1" applyBorder="1" applyAlignment="1">
      <alignment horizontal="left" vertical="center" wrapText="1"/>
    </xf>
    <xf numFmtId="0" fontId="25" fillId="0" borderId="4" xfId="0" applyNumberFormat="1" applyFont="1" applyBorder="1" applyAlignment="1">
      <alignment horizontal="center" vertical="center"/>
    </xf>
    <xf numFmtId="0" fontId="25" fillId="0" borderId="4" xfId="0" applyNumberFormat="1" applyFont="1" applyFill="1" applyBorder="1" applyAlignment="1">
      <alignment horizontal="center" vertical="center"/>
    </xf>
    <xf numFmtId="176" fontId="25" fillId="0" borderId="4" xfId="0" applyFont="1" applyFill="1" applyBorder="1" applyAlignment="1">
      <alignment vertical="center"/>
    </xf>
    <xf numFmtId="176" fontId="25" fillId="0" borderId="4" xfId="0" applyFont="1" applyFill="1" applyBorder="1" applyAlignment="1">
      <alignment horizontal="center" vertical="center"/>
    </xf>
    <xf numFmtId="9" fontId="25" fillId="0" borderId="4" xfId="0" applyNumberFormat="1" applyFont="1" applyFill="1" applyBorder="1" applyAlignment="1">
      <alignment horizontal="center" vertical="center"/>
    </xf>
    <xf numFmtId="0" fontId="25" fillId="0" borderId="4" xfId="0" applyNumberFormat="1" applyFont="1" applyFill="1" applyBorder="1" applyAlignment="1">
      <alignment horizontal="center" vertical="center" wrapText="1"/>
    </xf>
    <xf numFmtId="179" fontId="25" fillId="0" borderId="4" xfId="0" applyNumberFormat="1" applyFont="1" applyFill="1" applyBorder="1" applyAlignment="1">
      <alignment horizontal="center" vertical="center"/>
    </xf>
    <xf numFmtId="0" fontId="26" fillId="0" borderId="4" xfId="0" applyNumberFormat="1" applyFont="1" applyFill="1" applyBorder="1" applyAlignment="1">
      <alignment horizontal="center" vertical="center"/>
    </xf>
    <xf numFmtId="176" fontId="27" fillId="0" borderId="4" xfId="0" applyFont="1" applyFill="1" applyBorder="1" applyAlignment="1">
      <alignment vertical="center" wrapText="1"/>
    </xf>
    <xf numFmtId="176" fontId="25" fillId="0" borderId="4" xfId="0" applyFont="1" applyFill="1" applyBorder="1" applyAlignment="1">
      <alignment horizontal="left" vertical="center"/>
    </xf>
    <xf numFmtId="0" fontId="25" fillId="0" borderId="2" xfId="0" applyNumberFormat="1" applyFont="1" applyFill="1" applyBorder="1" applyAlignment="1">
      <alignment horizontal="center" vertical="center"/>
    </xf>
    <xf numFmtId="0" fontId="25" fillId="0" borderId="2" xfId="0" applyNumberFormat="1" applyFont="1" applyBorder="1" applyAlignment="1">
      <alignment horizontal="center" vertical="center"/>
    </xf>
    <xf numFmtId="176" fontId="25" fillId="0" borderId="2" xfId="0" applyFont="1" applyBorder="1" applyAlignment="1">
      <alignment vertical="center"/>
    </xf>
    <xf numFmtId="176" fontId="25" fillId="0" borderId="2" xfId="0" applyFont="1" applyBorder="1" applyAlignment="1">
      <alignment horizontal="center" vertical="center"/>
    </xf>
    <xf numFmtId="9" fontId="25" fillId="0" borderId="2" xfId="0" applyNumberFormat="1" applyFont="1" applyBorder="1" applyAlignment="1">
      <alignment horizontal="center" vertical="center"/>
    </xf>
    <xf numFmtId="176" fontId="25" fillId="0" borderId="2" xfId="0" applyFont="1" applyBorder="1" applyAlignment="1">
      <alignment vertical="center" wrapText="1"/>
    </xf>
    <xf numFmtId="176" fontId="25" fillId="0" borderId="2" xfId="0" applyFont="1" applyFill="1" applyBorder="1" applyAlignment="1">
      <alignment horizontal="left" vertical="center"/>
    </xf>
    <xf numFmtId="176" fontId="25" fillId="0" borderId="27" xfId="0" applyFont="1" applyBorder="1" applyAlignment="1">
      <alignment horizontal="center" vertical="center" wrapText="1"/>
    </xf>
    <xf numFmtId="176" fontId="25" fillId="0" borderId="4" xfId="0" applyFont="1" applyBorder="1" applyAlignment="1">
      <alignment horizontal="center" vertical="center" wrapText="1"/>
    </xf>
    <xf numFmtId="176" fontId="25" fillId="0" borderId="4" xfId="0" applyFont="1" applyBorder="1" applyAlignment="1">
      <alignment vertical="center"/>
    </xf>
    <xf numFmtId="176" fontId="25" fillId="0" borderId="4" xfId="0" applyFont="1" applyFill="1" applyBorder="1" applyAlignment="1">
      <alignment horizontal="center" vertical="center" wrapText="1"/>
    </xf>
    <xf numFmtId="176" fontId="25" fillId="5" borderId="4" xfId="0" applyFont="1" applyFill="1" applyBorder="1" applyAlignment="1">
      <alignment horizontal="center" vertical="center"/>
    </xf>
    <xf numFmtId="179" fontId="25" fillId="8" borderId="4" xfId="0" applyNumberFormat="1" applyFont="1" applyFill="1" applyBorder="1" applyAlignment="1">
      <alignment horizontal="center" vertical="center"/>
    </xf>
    <xf numFmtId="176" fontId="25" fillId="0" borderId="4" xfId="0" applyFont="1" applyFill="1" applyBorder="1" applyAlignment="1">
      <alignment vertical="center" wrapText="1"/>
    </xf>
    <xf numFmtId="176" fontId="27" fillId="0" borderId="1" xfId="0" applyFont="1" applyFill="1" applyBorder="1" applyAlignment="1">
      <alignment vertical="center" wrapText="1"/>
    </xf>
    <xf numFmtId="179" fontId="25" fillId="0" borderId="1" xfId="0" applyNumberFormat="1" applyFont="1" applyBorder="1" applyAlignment="1">
      <alignment vertical="center"/>
    </xf>
    <xf numFmtId="0" fontId="25" fillId="0" borderId="10" xfId="0" applyNumberFormat="1" applyFont="1" applyFill="1" applyBorder="1" applyAlignment="1">
      <alignment horizontal="center" vertical="center"/>
    </xf>
    <xf numFmtId="0" fontId="25" fillId="0" borderId="11" xfId="0" applyNumberFormat="1" applyFont="1" applyFill="1" applyBorder="1" applyAlignment="1">
      <alignment horizontal="center" vertical="center"/>
    </xf>
    <xf numFmtId="176" fontId="25" fillId="0" borderId="4" xfId="0" applyFont="1" applyBorder="1" applyAlignment="1">
      <alignment horizontal="center" vertical="center"/>
    </xf>
    <xf numFmtId="9" fontId="25" fillId="0" borderId="4" xfId="0" applyNumberFormat="1" applyFont="1" applyBorder="1" applyAlignment="1">
      <alignment horizontal="center" vertical="center"/>
    </xf>
    <xf numFmtId="179" fontId="25" fillId="0" borderId="4" xfId="0" applyNumberFormat="1" applyFont="1" applyBorder="1" applyAlignment="1">
      <alignment horizontal="center" vertical="center"/>
    </xf>
    <xf numFmtId="49" fontId="25" fillId="0" borderId="4" xfId="0" applyNumberFormat="1" applyFont="1" applyFill="1" applyBorder="1" applyAlignment="1">
      <alignment horizontal="center" vertical="center" wrapText="1"/>
    </xf>
    <xf numFmtId="176" fontId="25" fillId="0" borderId="4" xfId="0" applyFont="1" applyBorder="1" applyAlignment="1">
      <alignment vertical="center" wrapText="1"/>
    </xf>
    <xf numFmtId="176" fontId="25" fillId="0" borderId="4" xfId="0" applyFont="1" applyBorder="1" applyAlignment="1">
      <alignment horizontal="left" vertical="center" wrapText="1"/>
    </xf>
    <xf numFmtId="0" fontId="25" fillId="0" borderId="3" xfId="0" applyNumberFormat="1" applyFont="1" applyBorder="1" applyAlignment="1">
      <alignment horizontal="center" vertical="center"/>
    </xf>
    <xf numFmtId="176" fontId="25" fillId="0" borderId="3" xfId="0" applyFont="1" applyBorder="1" applyAlignment="1">
      <alignment vertical="center" wrapText="1"/>
    </xf>
    <xf numFmtId="176" fontId="25" fillId="0" borderId="3" xfId="0" applyFont="1" applyBorder="1" applyAlignment="1">
      <alignment vertical="center"/>
    </xf>
    <xf numFmtId="176" fontId="25" fillId="0" borderId="3" xfId="0" applyFont="1" applyBorder="1" applyAlignment="1">
      <alignment horizontal="left" vertical="center" wrapText="1"/>
    </xf>
    <xf numFmtId="0" fontId="25" fillId="0" borderId="0" xfId="0" applyNumberFormat="1" applyFont="1" applyAlignment="1">
      <alignment horizontal="center" vertical="center"/>
    </xf>
    <xf numFmtId="176" fontId="25" fillId="0" borderId="0" xfId="0" applyFont="1" applyAlignment="1">
      <alignment horizontal="center" vertical="center"/>
    </xf>
    <xf numFmtId="176" fontId="25" fillId="0" borderId="0" xfId="0" applyFont="1" applyAlignment="1">
      <alignment vertical="center"/>
    </xf>
    <xf numFmtId="0" fontId="25" fillId="0" borderId="0" xfId="0" applyNumberFormat="1" applyFont="1" applyAlignment="1">
      <alignment vertical="center"/>
    </xf>
    <xf numFmtId="176" fontId="0" fillId="0" borderId="0" xfId="0" applyAlignment="1">
      <alignment vertical="center"/>
    </xf>
    <xf numFmtId="0" fontId="5" fillId="0" borderId="1"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xwechat_files\wxid_dpubp73711ka12_dee1\msg\file\2026-05\2026.5.23-2026.5.29&#39033;&#30446;&#21608;&#25253;&#27719;&#2463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xwechat_files\wxid_dpubp73711ka12_dee1\msg\file\2026-05\2026.5.25-2026.5.29&#39033;&#30446;&#21608;&#25253;&#27719;&#24635;-&#20132;&#20184;-&#29289;&#19994;&#3245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xwechat_files\wxid_dpubp73711ka12_dee1\msg\file\2026-05\2026.5.25-2026.5.29&#39033;&#30446;&#21608;&#25253;&#27719;&#24635;-&#20132;&#20184;-AI&#22823;&#25968;&#25454;&#3245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xwechat_files\wxid_dpubp73711ka12_dee1\msg\file\2026-05\2026.5.25-2026.5.29&#39033;&#30446;&#21608;&#25253;&#27719;&#24635;-&#20132;&#20184;-JD&#3245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55"/>
  <sheetViews>
    <sheetView tabSelected="1" zoomScale="55" zoomScaleNormal="55" workbookViewId="0">
      <pane xSplit="5" ySplit="2" topLeftCell="F3" activePane="bottomRight" state="frozen"/>
      <selection/>
      <selection pane="topRight"/>
      <selection pane="bottomLeft"/>
      <selection pane="bottomRight" activeCell="L34" sqref="L34"/>
    </sheetView>
  </sheetViews>
  <sheetFormatPr defaultColWidth="9" defaultRowHeight="13.8"/>
  <cols>
    <col min="1" max="1" width="7.11111111111111" style="347" customWidth="1"/>
    <col min="2" max="2" width="15.4444444444444" customWidth="1"/>
    <col min="3" max="3" width="14.4444444444444" customWidth="1"/>
    <col min="4" max="4" width="21.8888888888889" style="347"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348" customWidth="1"/>
    <col min="11" max="11" width="13.0277777777778" style="347" customWidth="1"/>
    <col min="12" max="12" width="32.3240740740741" style="349" customWidth="1"/>
    <col min="13" max="13" width="20.6296296296296" style="349" customWidth="1"/>
    <col min="14" max="14" width="19.7777777777778" style="347" customWidth="1"/>
    <col min="15" max="15" width="20.1574074074074" style="347" customWidth="1"/>
    <col min="16" max="16" width="21.2685185185185" style="350" customWidth="1"/>
    <col min="17" max="17" width="19.2037037037037" customWidth="1"/>
    <col min="18" max="18" width="16.3518518518519" customWidth="1"/>
    <col min="19" max="19" width="91.5740740740741" style="351" customWidth="1"/>
    <col min="20" max="20" width="39.6759259259259" style="352" customWidth="1"/>
  </cols>
  <sheetData>
    <row r="1" ht="37.5" customHeight="1" spans="1:20">
      <c r="A1" s="353" t="s">
        <v>0</v>
      </c>
      <c r="B1" s="353"/>
      <c r="C1" s="353"/>
      <c r="D1" s="353"/>
      <c r="E1" s="353"/>
      <c r="F1" s="353"/>
      <c r="G1" s="353"/>
      <c r="H1" s="353"/>
      <c r="I1" s="353"/>
      <c r="J1" s="353"/>
      <c r="K1" s="353"/>
      <c r="L1" s="354"/>
      <c r="M1" s="354"/>
      <c r="N1" s="353"/>
      <c r="O1" s="353"/>
      <c r="P1" s="353"/>
      <c r="Q1" s="353"/>
      <c r="R1" s="353"/>
      <c r="S1" s="355"/>
    </row>
    <row r="2" ht="46" customHeight="1" spans="1:20">
      <c r="A2" s="356" t="s">
        <v>1</v>
      </c>
      <c r="B2" s="357" t="s">
        <v>2</v>
      </c>
      <c r="C2" s="357" t="s">
        <v>3</v>
      </c>
      <c r="D2" s="356" t="s">
        <v>4</v>
      </c>
      <c r="E2" s="357" t="s">
        <v>5</v>
      </c>
      <c r="F2" s="357" t="s">
        <v>6</v>
      </c>
      <c r="G2" s="357" t="s">
        <v>7</v>
      </c>
      <c r="H2" s="357" t="s">
        <v>8</v>
      </c>
      <c r="I2" s="357" t="s">
        <v>9</v>
      </c>
      <c r="J2" s="358" t="s">
        <v>10</v>
      </c>
      <c r="K2" s="359" t="s">
        <v>11</v>
      </c>
      <c r="L2" s="360" t="s">
        <v>12</v>
      </c>
      <c r="M2" s="361" t="s">
        <v>13</v>
      </c>
      <c r="N2" s="356" t="s">
        <v>14</v>
      </c>
      <c r="O2" s="356" t="s">
        <v>15</v>
      </c>
      <c r="P2" s="362" t="s">
        <v>16</v>
      </c>
      <c r="Q2" s="363" t="s">
        <v>17</v>
      </c>
      <c r="R2" s="357" t="s">
        <v>18</v>
      </c>
      <c r="S2" s="357" t="s">
        <v>19</v>
      </c>
    </row>
    <row r="3" ht="35" customHeight="1" spans="1:20">
      <c r="A3" s="364">
        <v>1</v>
      </c>
      <c r="B3" s="365" t="s">
        <v>20</v>
      </c>
      <c r="C3" s="366" t="s">
        <v>21</v>
      </c>
      <c r="D3" s="364">
        <v>22220901</v>
      </c>
      <c r="E3" s="367" t="s">
        <v>22</v>
      </c>
      <c r="F3" s="368" t="s">
        <v>23</v>
      </c>
      <c r="G3" s="368" t="s">
        <v>24</v>
      </c>
      <c r="H3" s="368" t="s">
        <v>25</v>
      </c>
      <c r="I3" s="368" t="s">
        <v>26</v>
      </c>
      <c r="J3" s="369" t="s">
        <v>27</v>
      </c>
      <c r="K3" s="370" t="s">
        <v>27</v>
      </c>
      <c r="L3" s="370" t="s">
        <v>27</v>
      </c>
      <c r="M3" s="370">
        <v>25.328</v>
      </c>
      <c r="N3" s="371">
        <v>6.5</v>
      </c>
      <c r="O3" s="371">
        <v>11.5</v>
      </c>
      <c r="P3" s="372" t="str">
        <f>ROUND(O3-N3,2)&amp;"("&amp;ROUND(((O3-N3)/N3*100),0)&amp;"%)"</f>
        <v>5(77%)</v>
      </c>
      <c r="Q3" s="373"/>
      <c r="R3" s="367"/>
      <c r="S3" s="374"/>
    </row>
    <row r="4" ht="161" customHeight="1" spans="1:20">
      <c r="A4" s="364">
        <v>2</v>
      </c>
      <c r="B4" s="375"/>
      <c r="C4" s="368"/>
      <c r="D4" s="364">
        <v>22250226</v>
      </c>
      <c r="E4" s="367" t="s">
        <v>28</v>
      </c>
      <c r="F4" s="368" t="s">
        <v>23</v>
      </c>
      <c r="G4" s="368" t="s">
        <v>29</v>
      </c>
      <c r="H4" s="368" t="s">
        <v>30</v>
      </c>
      <c r="I4" s="368" t="s">
        <v>26</v>
      </c>
      <c r="J4" s="376">
        <v>0.94</v>
      </c>
      <c r="K4" s="377">
        <v>423.78</v>
      </c>
      <c r="L4" s="370">
        <v>80</v>
      </c>
      <c r="M4" s="370">
        <v>148.58</v>
      </c>
      <c r="N4" s="371">
        <v>13.5</v>
      </c>
      <c r="O4" s="371">
        <v>9</v>
      </c>
      <c r="P4" s="372" t="str">
        <f t="shared" ref="P4:P6" si="0">ROUND(O4-N4,2)&amp;"("&amp;ROUND(((O4-N4)/N4*100),0)&amp;"%)"</f>
        <v>-4.5(-33%)</v>
      </c>
      <c r="Q4" s="373"/>
      <c r="R4" s="367"/>
      <c r="S4" s="378" t="s">
        <v>31</v>
      </c>
    </row>
    <row r="5" ht="32" customHeight="1" spans="1:20">
      <c r="A5" s="364">
        <v>3</v>
      </c>
      <c r="B5" s="375"/>
      <c r="C5" s="368"/>
      <c r="D5" s="364">
        <v>22220202</v>
      </c>
      <c r="E5" s="367" t="s">
        <v>32</v>
      </c>
      <c r="F5" s="368" t="s">
        <v>33</v>
      </c>
      <c r="G5" s="366" t="s">
        <v>34</v>
      </c>
      <c r="H5" s="368" t="s">
        <v>25</v>
      </c>
      <c r="I5" s="368" t="s">
        <v>26</v>
      </c>
      <c r="J5" s="369" t="s">
        <v>27</v>
      </c>
      <c r="K5" s="379">
        <v>292.75</v>
      </c>
      <c r="L5" s="379"/>
      <c r="M5" s="379">
        <v>27.147</v>
      </c>
      <c r="N5" s="371">
        <v>0</v>
      </c>
      <c r="O5" s="371">
        <v>0</v>
      </c>
      <c r="P5" s="372">
        <v>0</v>
      </c>
      <c r="Q5" s="366"/>
      <c r="R5" s="367"/>
      <c r="S5" s="378" t="s">
        <v>35</v>
      </c>
    </row>
    <row r="6" ht="23" customHeight="1" spans="1:20">
      <c r="A6" s="364">
        <v>4</v>
      </c>
      <c r="B6" s="375"/>
      <c r="C6" s="368"/>
      <c r="D6" s="364">
        <v>22220701</v>
      </c>
      <c r="E6" s="367" t="s">
        <v>36</v>
      </c>
      <c r="F6" s="368" t="s">
        <v>33</v>
      </c>
      <c r="G6" s="366" t="s">
        <v>34</v>
      </c>
      <c r="H6" s="368" t="s">
        <v>25</v>
      </c>
      <c r="I6" s="368" t="s">
        <v>26</v>
      </c>
      <c r="J6" s="369" t="s">
        <v>27</v>
      </c>
      <c r="K6" s="380"/>
      <c r="L6" s="380"/>
      <c r="M6" s="380"/>
      <c r="N6" s="371">
        <v>0</v>
      </c>
      <c r="O6" s="371">
        <v>0</v>
      </c>
      <c r="P6" s="372">
        <v>0</v>
      </c>
      <c r="Q6" s="366"/>
      <c r="R6" s="367"/>
      <c r="S6" s="378" t="s">
        <v>37</v>
      </c>
    </row>
    <row r="7" ht="23" customHeight="1" spans="1:20">
      <c r="A7" s="364">
        <v>5</v>
      </c>
      <c r="B7" s="375"/>
      <c r="C7" s="366" t="s">
        <v>38</v>
      </c>
      <c r="D7" s="364">
        <v>22221201</v>
      </c>
      <c r="E7" s="367" t="s">
        <v>39</v>
      </c>
      <c r="F7" s="368" t="s">
        <v>40</v>
      </c>
      <c r="G7" s="366" t="s">
        <v>24</v>
      </c>
      <c r="H7" s="368" t="s">
        <v>25</v>
      </c>
      <c r="I7" s="368" t="s">
        <v>26</v>
      </c>
      <c r="J7" s="369">
        <v>0.99</v>
      </c>
      <c r="K7" s="370" t="s">
        <v>27</v>
      </c>
      <c r="L7" s="370"/>
      <c r="M7" s="370">
        <v>9.02</v>
      </c>
      <c r="N7" s="371">
        <v>4</v>
      </c>
      <c r="O7" s="371"/>
      <c r="P7" s="372" t="str">
        <f t="shared" ref="P7:P15" si="1">O7-N7&amp;"("&amp;ROUND(((O7-N7)/N7*100),0)&amp;"%)"</f>
        <v>-4(-100%)</v>
      </c>
      <c r="Q7" s="373"/>
      <c r="R7" s="367"/>
      <c r="S7" s="381"/>
    </row>
    <row r="8" ht="90" customHeight="1" spans="1:20">
      <c r="A8" s="364">
        <v>6</v>
      </c>
      <c r="B8" s="375"/>
      <c r="C8" s="368"/>
      <c r="D8" s="364">
        <v>22250314</v>
      </c>
      <c r="E8" s="367" t="s">
        <v>41</v>
      </c>
      <c r="F8" s="368" t="s">
        <v>42</v>
      </c>
      <c r="G8" s="368" t="s">
        <v>29</v>
      </c>
      <c r="H8" s="368" t="s">
        <v>30</v>
      </c>
      <c r="I8" s="382" t="s">
        <v>43</v>
      </c>
      <c r="J8" s="383">
        <v>0.95</v>
      </c>
      <c r="K8" s="370">
        <v>89.653</v>
      </c>
      <c r="L8" s="370"/>
      <c r="M8" s="384">
        <v>96.36</v>
      </c>
      <c r="N8" s="371">
        <v>9.5</v>
      </c>
      <c r="O8" s="371">
        <v>10.5</v>
      </c>
      <c r="P8" s="372" t="str">
        <f t="shared" si="1"/>
        <v>1(11%)</v>
      </c>
      <c r="Q8" s="385" t="s">
        <v>44</v>
      </c>
      <c r="R8" s="367"/>
      <c r="S8" s="378" t="s">
        <v>45</v>
      </c>
    </row>
    <row r="9" ht="23" customHeight="1" spans="1:20">
      <c r="A9" s="364">
        <v>7</v>
      </c>
      <c r="B9" s="375"/>
      <c r="C9" s="368"/>
      <c r="D9" s="371" t="s">
        <v>46</v>
      </c>
      <c r="E9" s="386" t="s">
        <v>47</v>
      </c>
      <c r="F9" s="387" t="s">
        <v>48</v>
      </c>
      <c r="G9" s="387" t="s">
        <v>29</v>
      </c>
      <c r="H9" s="387" t="s">
        <v>49</v>
      </c>
      <c r="I9" s="387" t="s">
        <v>26</v>
      </c>
      <c r="J9" s="369" t="s">
        <v>27</v>
      </c>
      <c r="K9" s="388">
        <v>37.96</v>
      </c>
      <c r="L9" s="388"/>
      <c r="M9" s="388">
        <v>18.6</v>
      </c>
      <c r="N9" s="389">
        <v>10</v>
      </c>
      <c r="O9" s="389">
        <v>10</v>
      </c>
      <c r="P9" s="372" t="str">
        <f t="shared" si="1"/>
        <v>0(0%)</v>
      </c>
      <c r="Q9" s="373"/>
      <c r="R9" s="367"/>
      <c r="S9" s="381" t="s">
        <v>50</v>
      </c>
    </row>
    <row r="10" ht="84" customHeight="1" spans="1:20">
      <c r="A10" s="364">
        <v>8</v>
      </c>
      <c r="B10" s="375"/>
      <c r="C10" s="368"/>
      <c r="D10" s="371">
        <v>23260410</v>
      </c>
      <c r="E10" s="386" t="s">
        <v>51</v>
      </c>
      <c r="F10" s="387" t="s">
        <v>52</v>
      </c>
      <c r="G10" s="387" t="s">
        <v>29</v>
      </c>
      <c r="H10" s="368" t="s">
        <v>53</v>
      </c>
      <c r="I10" s="387" t="s">
        <v>26</v>
      </c>
      <c r="J10" s="383">
        <v>0.3</v>
      </c>
      <c r="K10" s="372">
        <v>156.5</v>
      </c>
      <c r="L10" s="388" t="s">
        <v>54</v>
      </c>
      <c r="M10" s="388">
        <v>48.7</v>
      </c>
      <c r="N10" s="389">
        <v>24.5</v>
      </c>
      <c r="O10" s="389">
        <v>16.5</v>
      </c>
      <c r="P10" s="389" t="str">
        <f t="shared" si="1"/>
        <v>-8(-33%)</v>
      </c>
      <c r="Q10" s="390"/>
      <c r="R10" s="386"/>
      <c r="S10" s="378" t="s">
        <v>55</v>
      </c>
      <c r="T10" s="352" t="s">
        <v>56</v>
      </c>
    </row>
    <row r="11" ht="23" customHeight="1" spans="1:20">
      <c r="A11" s="364">
        <v>9</v>
      </c>
      <c r="B11" s="375"/>
      <c r="C11" s="365" t="s">
        <v>57</v>
      </c>
      <c r="D11" s="371">
        <v>22240822</v>
      </c>
      <c r="E11" s="386" t="s">
        <v>58</v>
      </c>
      <c r="F11" s="387" t="s">
        <v>59</v>
      </c>
      <c r="G11" s="387" t="s">
        <v>29</v>
      </c>
      <c r="H11" s="387" t="s">
        <v>49</v>
      </c>
      <c r="I11" s="387" t="s">
        <v>26</v>
      </c>
      <c r="J11" s="383">
        <v>1</v>
      </c>
      <c r="K11" s="372">
        <v>165.5</v>
      </c>
      <c r="L11" s="388" t="s">
        <v>60</v>
      </c>
      <c r="M11" s="388">
        <v>78.93</v>
      </c>
      <c r="N11" s="389">
        <v>2</v>
      </c>
      <c r="O11" s="389">
        <v>2</v>
      </c>
      <c r="P11" s="372" t="str">
        <f t="shared" si="1"/>
        <v>0(0%)</v>
      </c>
      <c r="Q11" s="390"/>
      <c r="R11" s="386"/>
      <c r="S11" s="381" t="s">
        <v>61</v>
      </c>
    </row>
    <row r="12" ht="23" customHeight="1" spans="1:20">
      <c r="A12" s="364">
        <v>10</v>
      </c>
      <c r="B12" s="375"/>
      <c r="C12" s="391"/>
      <c r="D12" s="371">
        <v>23251211</v>
      </c>
      <c r="E12" s="386" t="s">
        <v>62</v>
      </c>
      <c r="F12" s="387" t="s">
        <v>63</v>
      </c>
      <c r="G12" s="387" t="s">
        <v>29</v>
      </c>
      <c r="H12" s="387" t="s">
        <v>64</v>
      </c>
      <c r="I12" s="387" t="s">
        <v>26</v>
      </c>
      <c r="J12" s="383">
        <v>0.9</v>
      </c>
      <c r="K12" s="372" t="s">
        <v>65</v>
      </c>
      <c r="L12" s="392" t="s">
        <v>66</v>
      </c>
      <c r="M12" s="392">
        <v>25.68</v>
      </c>
      <c r="N12" s="389">
        <v>10.5</v>
      </c>
      <c r="O12" s="389">
        <v>6.5</v>
      </c>
      <c r="P12" s="393" t="str">
        <f t="shared" si="1"/>
        <v>-4(-38%)</v>
      </c>
      <c r="Q12" s="390"/>
      <c r="R12" s="386"/>
      <c r="S12" s="381" t="s">
        <v>67</v>
      </c>
    </row>
    <row r="13" ht="23" customHeight="1" spans="1:20">
      <c r="A13" s="371">
        <v>12</v>
      </c>
      <c r="B13" s="375"/>
      <c r="C13" s="366" t="s">
        <v>68</v>
      </c>
      <c r="D13" s="364">
        <v>222201001</v>
      </c>
      <c r="E13" s="367" t="s">
        <v>69</v>
      </c>
      <c r="F13" s="368" t="s">
        <v>70</v>
      </c>
      <c r="G13" s="366" t="s">
        <v>34</v>
      </c>
      <c r="H13" s="368" t="s">
        <v>25</v>
      </c>
      <c r="I13" s="368" t="s">
        <v>26</v>
      </c>
      <c r="J13" s="369">
        <v>0.99</v>
      </c>
      <c r="K13" s="394">
        <v>236.56</v>
      </c>
      <c r="L13" s="395"/>
      <c r="M13" s="379">
        <v>46.211</v>
      </c>
      <c r="N13" s="389">
        <v>1.5</v>
      </c>
      <c r="O13" s="389">
        <v>0</v>
      </c>
      <c r="P13" s="393" t="str">
        <f t="shared" si="1"/>
        <v>-1.5(-100%)</v>
      </c>
      <c r="Q13" s="366"/>
      <c r="R13" s="367"/>
      <c r="S13" s="381" t="s">
        <v>71</v>
      </c>
    </row>
    <row r="14" ht="41" customHeight="1" spans="1:20">
      <c r="A14" s="371">
        <v>13</v>
      </c>
      <c r="B14" s="375"/>
      <c r="C14" s="368"/>
      <c r="D14" s="364">
        <v>22220905</v>
      </c>
      <c r="E14" s="367" t="s">
        <v>72</v>
      </c>
      <c r="F14" s="368" t="s">
        <v>70</v>
      </c>
      <c r="G14" s="366" t="s">
        <v>34</v>
      </c>
      <c r="H14" s="368" t="s">
        <v>25</v>
      </c>
      <c r="I14" s="368" t="s">
        <v>26</v>
      </c>
      <c r="J14" s="369">
        <v>0.99</v>
      </c>
      <c r="K14" s="396"/>
      <c r="L14" s="395"/>
      <c r="M14" s="380"/>
      <c r="N14" s="389">
        <v>8</v>
      </c>
      <c r="O14" s="389">
        <v>6.75</v>
      </c>
      <c r="P14" s="397" t="str">
        <f t="shared" si="1"/>
        <v>-1.25(-16%)</v>
      </c>
      <c r="Q14" s="373"/>
      <c r="R14" s="367"/>
      <c r="S14" s="381" t="s">
        <v>73</v>
      </c>
    </row>
    <row r="15" ht="43" customHeight="1" spans="1:20">
      <c r="A15" s="371">
        <v>14</v>
      </c>
      <c r="B15" s="375"/>
      <c r="C15" s="368"/>
      <c r="D15" s="364">
        <v>21250326</v>
      </c>
      <c r="E15" s="367" t="s">
        <v>74</v>
      </c>
      <c r="F15" s="368" t="s">
        <v>70</v>
      </c>
      <c r="G15" s="366" t="s">
        <v>29</v>
      </c>
      <c r="H15" s="368" t="s">
        <v>53</v>
      </c>
      <c r="I15" s="398" t="s">
        <v>75</v>
      </c>
      <c r="J15" s="383">
        <v>0.85</v>
      </c>
      <c r="K15" s="377" t="s">
        <v>76</v>
      </c>
      <c r="L15" s="399"/>
      <c r="M15" s="399">
        <v>47.86</v>
      </c>
      <c r="N15" s="389">
        <v>10.5</v>
      </c>
      <c r="O15" s="389">
        <v>12</v>
      </c>
      <c r="P15" s="372" t="str">
        <f t="shared" ref="P14:P23" si="2">O15-N15&amp;"("&amp;ROUND(((O15-N15)/N15*100),0)&amp;"%)"</f>
        <v>1.5(14%)</v>
      </c>
      <c r="Q15" s="373"/>
      <c r="R15" s="367"/>
      <c r="S15" s="378" t="s">
        <v>77</v>
      </c>
    </row>
    <row r="16" ht="23" customHeight="1" spans="1:20">
      <c r="A16" s="371">
        <v>15</v>
      </c>
      <c r="B16" s="375"/>
      <c r="C16" s="368"/>
      <c r="D16" s="364" t="s">
        <v>78</v>
      </c>
      <c r="E16" s="367" t="s">
        <v>79</v>
      </c>
      <c r="F16" s="368" t="s">
        <v>80</v>
      </c>
      <c r="G16" s="366" t="s">
        <v>29</v>
      </c>
      <c r="H16" s="368" t="s">
        <v>81</v>
      </c>
      <c r="I16" s="368" t="s">
        <v>26</v>
      </c>
      <c r="J16" s="383">
        <v>0.99</v>
      </c>
      <c r="K16" s="377" t="s">
        <v>82</v>
      </c>
      <c r="L16" s="399"/>
      <c r="M16" s="399">
        <v>5.94</v>
      </c>
      <c r="N16" s="389">
        <v>0</v>
      </c>
      <c r="O16" s="389">
        <v>0</v>
      </c>
      <c r="P16" s="372">
        <v>0</v>
      </c>
      <c r="Q16" s="373"/>
      <c r="R16" s="367"/>
      <c r="S16" s="374" t="s">
        <v>83</v>
      </c>
    </row>
    <row r="17" ht="23" customHeight="1" spans="1:19">
      <c r="A17" s="364">
        <v>16</v>
      </c>
      <c r="B17" s="375"/>
      <c r="C17" s="366" t="s">
        <v>84</v>
      </c>
      <c r="D17" s="364" t="s">
        <v>85</v>
      </c>
      <c r="E17" s="367" t="s">
        <v>86</v>
      </c>
      <c r="F17" s="368" t="s">
        <v>87</v>
      </c>
      <c r="G17" s="368" t="s">
        <v>29</v>
      </c>
      <c r="H17" s="368" t="s">
        <v>30</v>
      </c>
      <c r="I17" s="368" t="s">
        <v>26</v>
      </c>
      <c r="J17" s="369">
        <v>0.95</v>
      </c>
      <c r="K17" s="377">
        <v>149.1</v>
      </c>
      <c r="L17" s="370">
        <v>0</v>
      </c>
      <c r="M17" s="370">
        <v>33.35</v>
      </c>
      <c r="N17" s="389">
        <v>5</v>
      </c>
      <c r="O17" s="389">
        <v>9</v>
      </c>
      <c r="P17" s="397" t="str">
        <f t="shared" si="2"/>
        <v>4(80%)</v>
      </c>
      <c r="Q17" s="373"/>
      <c r="R17" s="367"/>
      <c r="S17" s="400" t="s">
        <v>88</v>
      </c>
    </row>
    <row r="18" ht="23" customHeight="1" spans="1:19">
      <c r="A18" s="364">
        <v>17</v>
      </c>
      <c r="B18" s="375"/>
      <c r="C18" s="368"/>
      <c r="D18" s="371"/>
      <c r="E18" s="367" t="s">
        <v>89</v>
      </c>
      <c r="F18" s="368" t="s">
        <v>87</v>
      </c>
      <c r="G18" s="368" t="s">
        <v>29</v>
      </c>
      <c r="H18" s="387" t="s">
        <v>49</v>
      </c>
      <c r="I18" s="368" t="s">
        <v>26</v>
      </c>
      <c r="J18" s="369" t="s">
        <v>27</v>
      </c>
      <c r="K18" s="377"/>
      <c r="L18" s="370"/>
      <c r="M18" s="370">
        <v>10.68</v>
      </c>
      <c r="N18" s="389">
        <v>10</v>
      </c>
      <c r="O18" s="389">
        <v>6</v>
      </c>
      <c r="P18" s="397" t="str">
        <f t="shared" si="2"/>
        <v>-4(-40%)</v>
      </c>
      <c r="Q18" s="373"/>
      <c r="R18" s="367"/>
      <c r="S18" s="378"/>
    </row>
    <row r="19" ht="23" customHeight="1" spans="1:19">
      <c r="A19" s="364">
        <v>18</v>
      </c>
      <c r="B19" s="375"/>
      <c r="C19" s="366" t="s">
        <v>90</v>
      </c>
      <c r="D19" s="364" t="s">
        <v>91</v>
      </c>
      <c r="E19" s="367" t="s">
        <v>92</v>
      </c>
      <c r="F19" s="368" t="s">
        <v>93</v>
      </c>
      <c r="G19" s="368" t="s">
        <v>29</v>
      </c>
      <c r="H19" s="387" t="s">
        <v>49</v>
      </c>
      <c r="I19" s="368" t="s">
        <v>26</v>
      </c>
      <c r="J19" s="369" t="s">
        <v>27</v>
      </c>
      <c r="K19" s="377"/>
      <c r="L19" s="370"/>
      <c r="M19" s="370">
        <v>21</v>
      </c>
      <c r="N19" s="389">
        <v>23</v>
      </c>
      <c r="O19" s="389">
        <v>23</v>
      </c>
      <c r="P19" s="397" t="str">
        <f t="shared" si="2"/>
        <v>0(0%)</v>
      </c>
      <c r="Q19" s="390"/>
      <c r="R19" s="386"/>
      <c r="S19" s="381"/>
    </row>
    <row r="20" ht="23" customHeight="1" spans="1:19">
      <c r="A20" s="364">
        <v>19</v>
      </c>
      <c r="B20" s="375"/>
      <c r="C20" s="368"/>
      <c r="D20" s="364"/>
      <c r="E20" s="367" t="s">
        <v>94</v>
      </c>
      <c r="F20" s="368" t="s">
        <v>42</v>
      </c>
      <c r="G20" s="368" t="s">
        <v>29</v>
      </c>
      <c r="H20" s="387" t="s">
        <v>49</v>
      </c>
      <c r="I20" s="368" t="s">
        <v>26</v>
      </c>
      <c r="J20" s="369" t="s">
        <v>27</v>
      </c>
      <c r="K20" s="377"/>
      <c r="L20" s="370"/>
      <c r="M20" s="370">
        <v>18.879</v>
      </c>
      <c r="N20" s="371">
        <v>8</v>
      </c>
      <c r="O20" s="371">
        <v>8</v>
      </c>
      <c r="P20" s="372" t="str">
        <f t="shared" si="2"/>
        <v>0(0%)</v>
      </c>
      <c r="Q20" s="390"/>
      <c r="R20" s="386"/>
      <c r="S20" s="381"/>
    </row>
    <row r="21" ht="23" customHeight="1" spans="1:19">
      <c r="A21" s="364">
        <v>20</v>
      </c>
      <c r="B21" s="375"/>
      <c r="C21" s="368"/>
      <c r="D21" s="364"/>
      <c r="E21" s="367" t="s">
        <v>95</v>
      </c>
      <c r="F21" s="368" t="s">
        <v>52</v>
      </c>
      <c r="G21" s="368" t="s">
        <v>29</v>
      </c>
      <c r="H21" s="387" t="s">
        <v>49</v>
      </c>
      <c r="I21" s="368" t="s">
        <v>26</v>
      </c>
      <c r="J21" s="369" t="s">
        <v>27</v>
      </c>
      <c r="K21" s="377"/>
      <c r="L21" s="399"/>
      <c r="M21" s="399">
        <v>23.643</v>
      </c>
      <c r="N21" s="371">
        <v>10</v>
      </c>
      <c r="O21" s="371">
        <v>16</v>
      </c>
      <c r="P21" s="372" t="str">
        <f t="shared" si="2"/>
        <v>6(60%)</v>
      </c>
      <c r="Q21" s="373"/>
      <c r="R21" s="367"/>
      <c r="S21" s="381"/>
    </row>
    <row r="22" ht="23" customHeight="1" spans="1:19">
      <c r="A22" s="364">
        <v>21</v>
      </c>
      <c r="B22" s="375"/>
      <c r="C22" s="368"/>
      <c r="D22" s="364"/>
      <c r="E22" s="367" t="s">
        <v>96</v>
      </c>
      <c r="F22" s="368" t="s">
        <v>63</v>
      </c>
      <c r="G22" s="368" t="s">
        <v>29</v>
      </c>
      <c r="H22" s="387" t="s">
        <v>49</v>
      </c>
      <c r="I22" s="368" t="s">
        <v>26</v>
      </c>
      <c r="J22" s="369" t="s">
        <v>27</v>
      </c>
      <c r="K22" s="377"/>
      <c r="L22" s="399"/>
      <c r="M22" s="399">
        <v>28.8</v>
      </c>
      <c r="N22" s="371">
        <v>28</v>
      </c>
      <c r="O22" s="371">
        <v>23</v>
      </c>
      <c r="P22" s="372" t="str">
        <f t="shared" si="2"/>
        <v>-5(-18%)</v>
      </c>
      <c r="Q22" s="373"/>
      <c r="R22" s="367"/>
      <c r="S22" s="381"/>
    </row>
    <row r="23" ht="23" customHeight="1" spans="1:19">
      <c r="A23" s="364">
        <v>22</v>
      </c>
      <c r="B23" s="375"/>
      <c r="C23" s="368"/>
      <c r="D23" s="364"/>
      <c r="E23" s="367" t="s">
        <v>97</v>
      </c>
      <c r="F23" s="368" t="s">
        <v>63</v>
      </c>
      <c r="G23" s="368" t="s">
        <v>29</v>
      </c>
      <c r="H23" s="387" t="s">
        <v>49</v>
      </c>
      <c r="I23" s="368" t="s">
        <v>26</v>
      </c>
      <c r="J23" s="369" t="s">
        <v>27</v>
      </c>
      <c r="K23" s="377"/>
      <c r="L23" s="399"/>
      <c r="M23" s="399">
        <v>3.922</v>
      </c>
      <c r="N23" s="371">
        <v>1.5</v>
      </c>
      <c r="O23" s="371">
        <v>1.5</v>
      </c>
      <c r="P23" s="372" t="str">
        <f t="shared" si="2"/>
        <v>0(0%)</v>
      </c>
      <c r="Q23" s="373"/>
      <c r="R23" s="367"/>
      <c r="S23" s="381"/>
    </row>
    <row r="24" ht="38.25" customHeight="1" spans="1:19">
      <c r="A24" s="401"/>
      <c r="B24" s="402"/>
      <c r="C24" s="403"/>
      <c r="D24" s="403"/>
      <c r="E24" s="403"/>
      <c r="F24" s="403"/>
      <c r="G24" s="403"/>
      <c r="H24" s="404"/>
      <c r="I24" s="404"/>
      <c r="J24" s="405"/>
      <c r="K24" s="405"/>
      <c r="L24" s="406" t="s">
        <v>98</v>
      </c>
      <c r="M24" s="406"/>
      <c r="N24" s="407">
        <f>SUM(N3:N23)</f>
        <v>186</v>
      </c>
      <c r="O24" s="405">
        <f>SUM(O3:O23)</f>
        <v>171.25</v>
      </c>
      <c r="P24" s="405"/>
      <c r="Q24" s="408" t="s">
        <v>99</v>
      </c>
      <c r="R24" s="409">
        <f>O24/34/5</f>
        <v>1.00735294117647</v>
      </c>
      <c r="S24" s="410" t="s">
        <v>100</v>
      </c>
    </row>
    <row r="25" ht="29" customHeight="1" spans="1:19">
      <c r="A25" s="411">
        <v>23</v>
      </c>
      <c r="B25" s="391" t="s">
        <v>101</v>
      </c>
      <c r="C25" s="391" t="s">
        <v>102</v>
      </c>
      <c r="D25" s="412" t="s">
        <v>103</v>
      </c>
      <c r="E25" s="413" t="s">
        <v>104</v>
      </c>
      <c r="F25" s="414" t="s">
        <v>105</v>
      </c>
      <c r="G25" s="414" t="s">
        <v>29</v>
      </c>
      <c r="H25" s="414" t="s">
        <v>106</v>
      </c>
      <c r="I25" s="414" t="s">
        <v>26</v>
      </c>
      <c r="J25" s="415">
        <v>0.5</v>
      </c>
      <c r="K25" s="416"/>
      <c r="L25" s="417"/>
      <c r="M25" s="417">
        <v>15.67</v>
      </c>
      <c r="N25" s="418">
        <v>0</v>
      </c>
      <c r="O25" s="418"/>
      <c r="P25" s="372">
        <v>0</v>
      </c>
      <c r="Q25" s="419"/>
      <c r="R25" s="413"/>
      <c r="S25" s="420"/>
    </row>
    <row r="26" ht="29" customHeight="1" spans="1:19">
      <c r="A26" s="411">
        <v>24</v>
      </c>
      <c r="B26" s="391"/>
      <c r="C26" s="391"/>
      <c r="D26" s="412"/>
      <c r="E26" s="413" t="s">
        <v>107</v>
      </c>
      <c r="F26" s="414" t="s">
        <v>108</v>
      </c>
      <c r="G26" s="414" t="s">
        <v>29</v>
      </c>
      <c r="H26" s="368" t="s">
        <v>53</v>
      </c>
      <c r="I26" s="414" t="s">
        <v>26</v>
      </c>
      <c r="J26" s="415" t="s">
        <v>24</v>
      </c>
      <c r="K26" s="416"/>
      <c r="L26" s="417"/>
      <c r="M26" s="417">
        <v>13.4576</v>
      </c>
      <c r="N26" s="371">
        <v>4.1</v>
      </c>
      <c r="O26" s="371">
        <v>3.8</v>
      </c>
      <c r="P26" s="372" t="str">
        <f t="shared" ref="P25:P30" si="3">O26-N26&amp;"("&amp;ROUND(((O26-N26)/N26*100),0)&amp;"%)"</f>
        <v>-0.3(-7%)</v>
      </c>
      <c r="Q26" s="419"/>
      <c r="R26" s="413"/>
      <c r="S26" s="420" t="s">
        <v>109</v>
      </c>
    </row>
    <row r="27" ht="25" customHeight="1" spans="1:19">
      <c r="A27" s="364">
        <v>25</v>
      </c>
      <c r="B27" s="391"/>
      <c r="C27" s="391"/>
      <c r="D27" s="364">
        <v>21260422</v>
      </c>
      <c r="E27" s="367" t="s">
        <v>110</v>
      </c>
      <c r="F27" s="368" t="s">
        <v>111</v>
      </c>
      <c r="G27" s="414" t="s">
        <v>29</v>
      </c>
      <c r="H27" s="368" t="s">
        <v>53</v>
      </c>
      <c r="I27" s="368" t="s">
        <v>26</v>
      </c>
      <c r="J27" s="369">
        <v>0.8</v>
      </c>
      <c r="K27" s="377"/>
      <c r="L27" s="399"/>
      <c r="M27" s="379">
        <v>19.224</v>
      </c>
      <c r="N27" s="421">
        <v>20</v>
      </c>
      <c r="O27" s="421">
        <v>19</v>
      </c>
      <c r="P27" s="372" t="str">
        <f t="shared" si="3"/>
        <v>-1(-5%)</v>
      </c>
      <c r="Q27" s="373"/>
      <c r="R27" s="367"/>
      <c r="S27" s="381"/>
    </row>
    <row r="28" ht="25" customHeight="1" spans="1:19">
      <c r="A28" s="364">
        <v>26</v>
      </c>
      <c r="B28" s="391"/>
      <c r="C28" s="391"/>
      <c r="D28" s="422">
        <v>21260423</v>
      </c>
      <c r="E28" s="423" t="s">
        <v>112</v>
      </c>
      <c r="F28" s="368" t="s">
        <v>111</v>
      </c>
      <c r="G28" s="414" t="s">
        <v>29</v>
      </c>
      <c r="H28" s="424" t="s">
        <v>53</v>
      </c>
      <c r="I28" s="424" t="s">
        <v>26</v>
      </c>
      <c r="J28" s="425">
        <v>0.5</v>
      </c>
      <c r="K28" s="394"/>
      <c r="L28" s="379"/>
      <c r="M28" s="379">
        <v>3.624</v>
      </c>
      <c r="N28" s="421">
        <v>8.4</v>
      </c>
      <c r="O28" s="421">
        <v>8.7</v>
      </c>
      <c r="P28" s="372" t="str">
        <f>ROUND(O28-N28,2)&amp;"("&amp;ROUND(((O28-N28)/N28*100),0)&amp;"%)"</f>
        <v>0.3(4%)</v>
      </c>
      <c r="Q28" s="426"/>
      <c r="R28" s="423"/>
      <c r="S28" s="427"/>
    </row>
    <row r="29" ht="25" customHeight="1" spans="1:19">
      <c r="A29" s="364">
        <v>27</v>
      </c>
      <c r="B29" s="391"/>
      <c r="C29" s="391"/>
      <c r="D29" s="364">
        <v>22220901</v>
      </c>
      <c r="E29" s="367" t="s">
        <v>113</v>
      </c>
      <c r="F29" s="368" t="s">
        <v>23</v>
      </c>
      <c r="G29" s="368" t="s">
        <v>24</v>
      </c>
      <c r="H29" s="368" t="s">
        <v>25</v>
      </c>
      <c r="I29" s="368" t="s">
        <v>26</v>
      </c>
      <c r="J29" s="369" t="s">
        <v>27</v>
      </c>
      <c r="K29" s="394"/>
      <c r="L29" s="379"/>
      <c r="M29" s="379">
        <v>5.888</v>
      </c>
      <c r="N29" s="421">
        <v>12</v>
      </c>
      <c r="O29" s="421">
        <v>12</v>
      </c>
      <c r="P29" s="372" t="str">
        <f t="shared" si="3"/>
        <v>0(0%)</v>
      </c>
      <c r="Q29" s="426"/>
      <c r="R29" s="423"/>
      <c r="S29" s="427"/>
    </row>
    <row r="30" ht="25" customHeight="1" spans="1:19">
      <c r="A30" s="364">
        <v>28</v>
      </c>
      <c r="B30" s="391"/>
      <c r="C30" s="391"/>
      <c r="D30" s="422">
        <v>22220905</v>
      </c>
      <c r="E30" s="426" t="s">
        <v>114</v>
      </c>
      <c r="F30" s="424" t="s">
        <v>70</v>
      </c>
      <c r="G30" s="368" t="s">
        <v>24</v>
      </c>
      <c r="H30" s="424" t="s">
        <v>25</v>
      </c>
      <c r="I30" s="424" t="s">
        <v>26</v>
      </c>
      <c r="J30" s="369" t="s">
        <v>27</v>
      </c>
      <c r="K30" s="394"/>
      <c r="L30" s="379"/>
      <c r="M30" s="379">
        <v>1.896</v>
      </c>
      <c r="N30" s="421">
        <v>0</v>
      </c>
      <c r="O30" s="421">
        <v>0</v>
      </c>
      <c r="P30" s="372" t="e">
        <f t="shared" si="3"/>
        <v>#DIV/0!</v>
      </c>
      <c r="Q30" s="426"/>
      <c r="R30" s="423"/>
      <c r="S30" s="427"/>
    </row>
    <row r="31" ht="41" customHeight="1" spans="1:19">
      <c r="A31" s="401"/>
      <c r="B31" s="428"/>
      <c r="C31" s="403"/>
      <c r="D31" s="403"/>
      <c r="E31" s="403"/>
      <c r="F31" s="403"/>
      <c r="G31" s="403"/>
      <c r="H31" s="404"/>
      <c r="I31" s="404"/>
      <c r="J31" s="405"/>
      <c r="K31" s="405"/>
      <c r="L31" s="406" t="s">
        <v>98</v>
      </c>
      <c r="M31" s="406"/>
      <c r="N31" s="407">
        <f>SUM(N25:N30)</f>
        <v>44.5</v>
      </c>
      <c r="O31" s="405">
        <f>SUM(O25:O30)</f>
        <v>43.5</v>
      </c>
      <c r="P31" s="405"/>
      <c r="Q31" s="408" t="s">
        <v>99</v>
      </c>
      <c r="R31" s="409">
        <f>O31/10/5</f>
        <v>0.87</v>
      </c>
      <c r="S31" s="410"/>
    </row>
    <row r="32" ht="23" customHeight="1" spans="1:19">
      <c r="A32" s="411">
        <v>29</v>
      </c>
      <c r="B32" s="391" t="s">
        <v>115</v>
      </c>
      <c r="C32" s="429" t="s">
        <v>102</v>
      </c>
      <c r="D32" s="412" t="s">
        <v>116</v>
      </c>
      <c r="E32" s="430" t="s">
        <v>117</v>
      </c>
      <c r="F32" s="414" t="s">
        <v>118</v>
      </c>
      <c r="G32" s="431" t="s">
        <v>29</v>
      </c>
      <c r="H32" s="414" t="s">
        <v>53</v>
      </c>
      <c r="I32" s="432" t="s">
        <v>75</v>
      </c>
      <c r="J32" s="415">
        <v>0.95</v>
      </c>
      <c r="K32" s="416" t="s">
        <v>119</v>
      </c>
      <c r="L32" s="417">
        <v>100</v>
      </c>
      <c r="M32" s="433">
        <v>101.1</v>
      </c>
      <c r="N32" s="412">
        <v>22</v>
      </c>
      <c r="O32" s="412">
        <v>12.5</v>
      </c>
      <c r="P32" s="416" t="str">
        <f>ROUND(O32-N32,2)&amp;"("&amp;ROUND(((O32-N32)/N32)*100,0)&amp;"%)"</f>
        <v>-9.5(-43%)</v>
      </c>
      <c r="Q32" s="434"/>
      <c r="R32" s="413"/>
      <c r="S32" s="420" t="s">
        <v>120</v>
      </c>
    </row>
    <row r="33" ht="23" customHeight="1" spans="1:19">
      <c r="A33" s="411">
        <v>30</v>
      </c>
      <c r="B33" s="391"/>
      <c r="C33" s="366"/>
      <c r="D33" s="364">
        <v>21250418</v>
      </c>
      <c r="E33" s="386" t="s">
        <v>121</v>
      </c>
      <c r="F33" s="368" t="s">
        <v>122</v>
      </c>
      <c r="G33" s="368" t="s">
        <v>29</v>
      </c>
      <c r="H33" s="368" t="s">
        <v>25</v>
      </c>
      <c r="I33" s="368" t="s">
        <v>26</v>
      </c>
      <c r="J33" s="369" t="s">
        <v>27</v>
      </c>
      <c r="K33" s="364" t="s">
        <v>123</v>
      </c>
      <c r="L33" s="388"/>
      <c r="M33" s="388">
        <v>58.93</v>
      </c>
      <c r="N33" s="371">
        <v>5</v>
      </c>
      <c r="O33" s="371">
        <v>5.5</v>
      </c>
      <c r="P33" s="416" t="str">
        <f>ROUND(O33-N33,2)&amp;"("&amp;ROUND(((O33-N33)/N33)*100,0)&amp;"%)"</f>
        <v>0.5(10%)</v>
      </c>
      <c r="Q33" s="435"/>
      <c r="R33" s="386"/>
      <c r="S33" s="378"/>
    </row>
    <row r="34" ht="23" customHeight="1" spans="1:19">
      <c r="A34" s="411">
        <v>31</v>
      </c>
      <c r="B34" s="391"/>
      <c r="C34" s="366"/>
      <c r="D34" s="371" t="s">
        <v>124</v>
      </c>
      <c r="E34" s="367" t="s">
        <v>125</v>
      </c>
      <c r="F34" s="387" t="s">
        <v>122</v>
      </c>
      <c r="G34" s="390" t="s">
        <v>29</v>
      </c>
      <c r="H34" s="387" t="s">
        <v>53</v>
      </c>
      <c r="I34" s="387" t="s">
        <v>26</v>
      </c>
      <c r="J34" s="383">
        <v>0.97</v>
      </c>
      <c r="K34" s="372" t="s">
        <v>119</v>
      </c>
      <c r="L34" s="388">
        <v>28.6</v>
      </c>
      <c r="M34" s="384">
        <v>31.94</v>
      </c>
      <c r="N34" s="371">
        <v>4</v>
      </c>
      <c r="O34" s="371">
        <v>6.5</v>
      </c>
      <c r="P34" s="416" t="str">
        <f>ROUND(O34-N34,2)&amp;"("&amp;ROUND(((O34-N34)/N34)*100,0)&amp;"%)"</f>
        <v>2.5(63%)</v>
      </c>
      <c r="Q34" s="435"/>
      <c r="R34" s="386"/>
      <c r="S34" s="378"/>
    </row>
    <row r="35" ht="23" customHeight="1" spans="1:19">
      <c r="A35" s="411">
        <v>32</v>
      </c>
      <c r="B35" s="391"/>
      <c r="C35" s="366"/>
      <c r="D35" s="371" t="s">
        <v>126</v>
      </c>
      <c r="E35" s="386" t="s">
        <v>127</v>
      </c>
      <c r="F35" s="387" t="s">
        <v>122</v>
      </c>
      <c r="G35" s="390" t="s">
        <v>29</v>
      </c>
      <c r="H35" s="387" t="s">
        <v>30</v>
      </c>
      <c r="I35" s="387" t="s">
        <v>26</v>
      </c>
      <c r="J35" s="383">
        <v>0.99</v>
      </c>
      <c r="K35" s="372"/>
      <c r="L35" s="388">
        <v>40</v>
      </c>
      <c r="M35" s="384">
        <v>64.09</v>
      </c>
      <c r="N35" s="371">
        <v>0</v>
      </c>
      <c r="O35" s="371">
        <v>7.5</v>
      </c>
      <c r="P35" s="416">
        <v>7.5</v>
      </c>
      <c r="Q35" s="435"/>
      <c r="R35" s="386"/>
      <c r="S35" s="378" t="s">
        <v>128</v>
      </c>
    </row>
    <row r="36" ht="23" customHeight="1" spans="1:19">
      <c r="A36" s="411">
        <v>33</v>
      </c>
      <c r="B36" s="391"/>
      <c r="C36" s="366"/>
      <c r="D36" s="364" t="s">
        <v>129</v>
      </c>
      <c r="E36" s="367" t="s">
        <v>130</v>
      </c>
      <c r="F36" s="387" t="s">
        <v>122</v>
      </c>
      <c r="G36" s="368" t="s">
        <v>29</v>
      </c>
      <c r="H36" s="368" t="s">
        <v>25</v>
      </c>
      <c r="I36" s="387" t="s">
        <v>26</v>
      </c>
      <c r="J36" s="369" t="s">
        <v>27</v>
      </c>
      <c r="K36" s="364" t="s">
        <v>123</v>
      </c>
      <c r="L36" s="436"/>
      <c r="M36" s="370">
        <v>17.05</v>
      </c>
      <c r="N36" s="364">
        <v>2</v>
      </c>
      <c r="O36" s="364">
        <v>1</v>
      </c>
      <c r="P36" s="416" t="str">
        <f>ROUND(O36-N36,2)&amp;"("&amp;ROUND(((O36-N36)/N36)*100,0)&amp;"%)"</f>
        <v>-1(-50%)</v>
      </c>
      <c r="Q36" s="367"/>
      <c r="R36" s="386"/>
      <c r="S36" s="378"/>
    </row>
    <row r="37" ht="23" customHeight="1" spans="1:19">
      <c r="A37" s="411">
        <v>34</v>
      </c>
      <c r="B37" s="391"/>
      <c r="C37" s="366"/>
      <c r="D37" s="364" t="s">
        <v>131</v>
      </c>
      <c r="E37" s="367" t="s">
        <v>132</v>
      </c>
      <c r="F37" s="368" t="s">
        <v>122</v>
      </c>
      <c r="G37" s="368" t="s">
        <v>29</v>
      </c>
      <c r="H37" s="368" t="s">
        <v>25</v>
      </c>
      <c r="I37" s="368" t="s">
        <v>26</v>
      </c>
      <c r="J37" s="369" t="s">
        <v>27</v>
      </c>
      <c r="K37" s="377" t="s">
        <v>82</v>
      </c>
      <c r="L37" s="399"/>
      <c r="M37" s="399">
        <v>7.42</v>
      </c>
      <c r="N37" s="364"/>
      <c r="O37" s="364"/>
      <c r="P37" s="416"/>
      <c r="Q37" s="373"/>
      <c r="R37" s="367"/>
      <c r="S37" s="378"/>
    </row>
    <row r="38" ht="23" customHeight="1" spans="1:19">
      <c r="A38" s="411">
        <v>35</v>
      </c>
      <c r="B38" s="391"/>
      <c r="C38" s="366"/>
      <c r="D38" s="364">
        <v>21250417</v>
      </c>
      <c r="E38" s="367" t="s">
        <v>133</v>
      </c>
      <c r="F38" s="368" t="s">
        <v>134</v>
      </c>
      <c r="G38" s="368" t="s">
        <v>29</v>
      </c>
      <c r="H38" s="387" t="s">
        <v>25</v>
      </c>
      <c r="I38" s="368" t="s">
        <v>26</v>
      </c>
      <c r="J38" s="369" t="s">
        <v>27</v>
      </c>
      <c r="K38" s="364" t="s">
        <v>82</v>
      </c>
      <c r="L38" s="436"/>
      <c r="M38" s="370">
        <v>18.25</v>
      </c>
      <c r="N38" s="364"/>
      <c r="O38" s="364"/>
      <c r="P38" s="416"/>
      <c r="Q38" s="367"/>
      <c r="R38" s="367"/>
      <c r="S38" s="378"/>
    </row>
    <row r="39" ht="23" customHeight="1" spans="1:19">
      <c r="A39" s="411">
        <v>36</v>
      </c>
      <c r="B39" s="391"/>
      <c r="C39" s="366"/>
      <c r="D39" s="364"/>
      <c r="E39" s="386" t="s">
        <v>135</v>
      </c>
      <c r="F39" s="387"/>
      <c r="G39" s="390" t="s">
        <v>34</v>
      </c>
      <c r="H39" s="387" t="s">
        <v>136</v>
      </c>
      <c r="I39" s="368"/>
      <c r="J39" s="369"/>
      <c r="K39" s="377"/>
      <c r="L39" s="399"/>
      <c r="M39" s="399">
        <v>0.46</v>
      </c>
      <c r="N39" s="364"/>
      <c r="O39" s="364"/>
      <c r="P39" s="416"/>
      <c r="Q39" s="373"/>
      <c r="R39" s="367"/>
      <c r="S39" s="378" t="s">
        <v>137</v>
      </c>
    </row>
    <row r="40" ht="23" customHeight="1" spans="1:19">
      <c r="A40" s="411">
        <v>37</v>
      </c>
      <c r="B40" s="391"/>
      <c r="C40" s="366"/>
      <c r="D40" s="364"/>
      <c r="E40" s="386" t="s">
        <v>138</v>
      </c>
      <c r="F40" s="368"/>
      <c r="G40" s="368" t="s">
        <v>139</v>
      </c>
      <c r="H40" s="368" t="s">
        <v>140</v>
      </c>
      <c r="I40" s="368"/>
      <c r="J40" s="369"/>
      <c r="K40" s="377"/>
      <c r="L40" s="399"/>
      <c r="M40" s="399">
        <v>0.72</v>
      </c>
      <c r="N40" s="364"/>
      <c r="O40" s="364"/>
      <c r="P40" s="416"/>
      <c r="Q40" s="373"/>
      <c r="R40" s="367"/>
      <c r="S40" s="378"/>
    </row>
    <row r="41" ht="23" customHeight="1" spans="1:19">
      <c r="A41" s="411">
        <v>38</v>
      </c>
      <c r="B41" s="391"/>
      <c r="C41" s="437" t="s">
        <v>91</v>
      </c>
      <c r="D41" s="438"/>
      <c r="E41" s="367" t="s">
        <v>141</v>
      </c>
      <c r="F41" s="368" t="s">
        <v>142</v>
      </c>
      <c r="G41" s="368" t="s">
        <v>29</v>
      </c>
      <c r="H41" s="387"/>
      <c r="I41" s="387"/>
      <c r="J41" s="383"/>
      <c r="K41" s="372"/>
      <c r="L41" s="388"/>
      <c r="M41" s="388">
        <v>3.244</v>
      </c>
      <c r="N41" s="371">
        <v>2</v>
      </c>
      <c r="O41" s="371"/>
      <c r="P41" s="416" t="str">
        <f>ROUND(O41-N41,2)&amp;"("&amp;ROUND(((O41-N41)/N41)*100,0)&amp;"%)"</f>
        <v>-2(-100%)</v>
      </c>
      <c r="Q41" s="435"/>
      <c r="R41" s="386"/>
      <c r="S41" s="378"/>
    </row>
    <row r="42" ht="47" customHeight="1" spans="1:19">
      <c r="A42" s="401"/>
      <c r="B42" s="428"/>
      <c r="C42" s="403"/>
      <c r="D42" s="403"/>
      <c r="E42" s="403"/>
      <c r="F42" s="403"/>
      <c r="G42" s="403"/>
      <c r="H42" s="404"/>
      <c r="I42" s="404"/>
      <c r="J42" s="405"/>
      <c r="K42" s="405"/>
      <c r="L42" s="406" t="s">
        <v>98</v>
      </c>
      <c r="M42" s="406"/>
      <c r="N42" s="407">
        <f>SUM(N32:N41)</f>
        <v>35</v>
      </c>
      <c r="O42" s="405">
        <f>SUM(O32:O41)</f>
        <v>33</v>
      </c>
      <c r="P42" s="405"/>
      <c r="Q42" s="408" t="s">
        <v>99</v>
      </c>
      <c r="R42" s="409">
        <f>O42/7/5</f>
        <v>0.942857142857143</v>
      </c>
      <c r="S42" s="410"/>
    </row>
    <row r="43" ht="28" customHeight="1" spans="1:19">
      <c r="A43" s="411">
        <v>39</v>
      </c>
      <c r="B43" s="391" t="s">
        <v>143</v>
      </c>
      <c r="C43" s="439" t="s">
        <v>102</v>
      </c>
      <c r="D43" s="411">
        <v>22210906</v>
      </c>
      <c r="E43" s="430" t="s">
        <v>144</v>
      </c>
      <c r="F43" s="439" t="s">
        <v>59</v>
      </c>
      <c r="G43" s="439" t="s">
        <v>24</v>
      </c>
      <c r="H43" s="439" t="s">
        <v>53</v>
      </c>
      <c r="I43" s="439" t="s">
        <v>26</v>
      </c>
      <c r="J43" s="440" t="s">
        <v>24</v>
      </c>
      <c r="K43" s="411"/>
      <c r="L43" s="441"/>
      <c r="M43" s="441">
        <v>49.488</v>
      </c>
      <c r="N43" s="418">
        <v>41</v>
      </c>
      <c r="O43" s="418">
        <v>40.5</v>
      </c>
      <c r="P43" s="442" t="str">
        <f>O43-N43&amp;"("&amp;ROUND(((O43-N43)/N43*100),0)&amp;"%)"</f>
        <v>-0.5(-1%)</v>
      </c>
      <c r="Q43" s="443"/>
      <c r="R43" s="430"/>
      <c r="S43" s="444"/>
    </row>
    <row r="44" ht="28" customHeight="1" spans="1:19">
      <c r="A44" s="445">
        <v>40</v>
      </c>
      <c r="B44" s="391"/>
      <c r="C44" s="375"/>
      <c r="D44" s="364">
        <v>121018</v>
      </c>
      <c r="E44" s="367" t="s">
        <v>145</v>
      </c>
      <c r="F44" s="368" t="s">
        <v>146</v>
      </c>
      <c r="G44" s="368" t="s">
        <v>147</v>
      </c>
      <c r="H44" s="368" t="s">
        <v>136</v>
      </c>
      <c r="I44" s="368" t="s">
        <v>26</v>
      </c>
      <c r="J44" s="369" t="s">
        <v>27</v>
      </c>
      <c r="K44" s="377"/>
      <c r="L44" s="370"/>
      <c r="M44" s="370">
        <v>107.59</v>
      </c>
      <c r="N44" s="389">
        <v>16.5</v>
      </c>
      <c r="O44" s="389">
        <v>20.5</v>
      </c>
      <c r="P44" s="442" t="str">
        <f>O44-N44&amp;"("&amp;ROUND(((O44-N44)/N44*100),0)&amp;"%)"</f>
        <v>4(24%)</v>
      </c>
      <c r="Q44" s="446"/>
      <c r="R44" s="447"/>
      <c r="S44" s="448"/>
    </row>
    <row r="45" ht="40" customHeight="1" spans="1:19">
      <c r="A45" s="401"/>
      <c r="B45" s="402"/>
      <c r="C45" s="403"/>
      <c r="D45" s="403"/>
      <c r="E45" s="403"/>
      <c r="F45" s="403"/>
      <c r="G45" s="403"/>
      <c r="H45" s="404"/>
      <c r="I45" s="404"/>
      <c r="J45" s="405"/>
      <c r="K45" s="405"/>
      <c r="L45" s="406" t="s">
        <v>98</v>
      </c>
      <c r="M45" s="406"/>
      <c r="N45" s="407">
        <f>SUM(N43:N43)</f>
        <v>41</v>
      </c>
      <c r="O45" s="405">
        <f>SUM(O43:O44)</f>
        <v>61</v>
      </c>
      <c r="P45" s="405"/>
      <c r="Q45" s="408" t="s">
        <v>99</v>
      </c>
      <c r="R45" s="409">
        <f>O45/22/5</f>
        <v>0.554545454545455</v>
      </c>
      <c r="S45" s="410"/>
    </row>
    <row r="46" ht="43.2" customHeight="1" spans="1:19">
      <c r="A46" s="449"/>
      <c r="B46" s="450"/>
      <c r="C46" s="450"/>
      <c r="D46" s="449"/>
      <c r="E46" s="451"/>
      <c r="F46" s="450"/>
    </row>
    <row r="47" ht="43.2" customHeight="1" spans="1:19">
      <c r="A47" s="449"/>
      <c r="B47" s="450"/>
      <c r="C47" s="450"/>
      <c r="D47" s="449"/>
      <c r="E47" s="451"/>
      <c r="F47" s="450"/>
    </row>
    <row r="48" ht="15.6" spans="1:19">
      <c r="A48" s="452"/>
      <c r="B48" s="451"/>
      <c r="C48" s="451"/>
      <c r="D48" s="452"/>
      <c r="E48" s="451"/>
      <c r="F48" s="451"/>
    </row>
    <row r="49" ht="15.6" customHeight="1" spans="1:6">
      <c r="A49" s="452"/>
      <c r="B49" s="451"/>
      <c r="C49" s="451"/>
      <c r="D49" s="452"/>
      <c r="E49" s="451"/>
      <c r="F49" s="451"/>
    </row>
    <row r="50" ht="15.6" spans="1:6">
      <c r="A50" s="452"/>
      <c r="B50" s="451"/>
      <c r="C50" s="451"/>
      <c r="D50" s="452"/>
      <c r="E50" s="451"/>
      <c r="F50" s="451"/>
    </row>
    <row r="51" ht="15.6" spans="1:6">
      <c r="A51" s="452"/>
      <c r="B51" s="451"/>
      <c r="C51" s="451"/>
      <c r="D51" s="452"/>
      <c r="E51" s="451"/>
      <c r="F51" s="451"/>
    </row>
    <row r="52" ht="15.6" spans="1:6">
      <c r="A52" s="452"/>
      <c r="B52" s="451"/>
      <c r="C52" s="451"/>
      <c r="D52" s="452"/>
      <c r="E52" s="451"/>
      <c r="F52" s="451"/>
    </row>
    <row r="53" ht="15.6" spans="1:6">
      <c r="A53" s="452"/>
      <c r="B53" s="451"/>
      <c r="C53" s="451"/>
      <c r="D53" s="452"/>
      <c r="E53" s="451"/>
      <c r="F53" s="451"/>
    </row>
    <row r="54" spans="1:6">
      <c r="A54" s="49"/>
      <c r="B54" s="453"/>
      <c r="C54" s="453"/>
      <c r="D54" s="49"/>
      <c r="E54" s="453"/>
      <c r="F54" s="453"/>
    </row>
    <row r="55" spans="1:6">
      <c r="A55" s="49"/>
      <c r="B55" s="453"/>
      <c r="C55" s="453"/>
      <c r="D55" s="49"/>
      <c r="E55" s="453"/>
      <c r="F55" s="453"/>
    </row>
  </sheetData>
  <mergeCells count="32">
    <mergeCell ref="A1:S1"/>
    <mergeCell ref="C24:G24"/>
    <mergeCell ref="H24:I24"/>
    <mergeCell ref="J24:K24"/>
    <mergeCell ref="C31:G31"/>
    <mergeCell ref="H31:I31"/>
    <mergeCell ref="J31:K31"/>
    <mergeCell ref="C41:D41"/>
    <mergeCell ref="C42:G42"/>
    <mergeCell ref="H42:I42"/>
    <mergeCell ref="J42:K42"/>
    <mergeCell ref="C45:G45"/>
    <mergeCell ref="H45:I45"/>
    <mergeCell ref="J45:K45"/>
    <mergeCell ref="B3:B24"/>
    <mergeCell ref="B25:B31"/>
    <mergeCell ref="B32:B42"/>
    <mergeCell ref="B43:B45"/>
    <mergeCell ref="C3:C6"/>
    <mergeCell ref="C7:C10"/>
    <mergeCell ref="C11:C12"/>
    <mergeCell ref="C13:C16"/>
    <mergeCell ref="C17:C18"/>
    <mergeCell ref="C19:C23"/>
    <mergeCell ref="C25:C30"/>
    <mergeCell ref="C32:C40"/>
    <mergeCell ref="D19:D23"/>
    <mergeCell ref="K5:K6"/>
    <mergeCell ref="K13:K14"/>
    <mergeCell ref="L5:L6"/>
    <mergeCell ref="M5:M6"/>
    <mergeCell ref="M13:M14"/>
  </mergeCells>
  <dataValidations count="7">
    <dataValidation type="list" allowBlank="1" showInputMessage="1" showErrorMessage="1" sqref="H8 H12 H43:H44">
      <formula1>"售前,立项,需求,开发,发布,实施,验收"</formula1>
    </dataValidation>
    <dataValidation type="list" allowBlank="1" showInputMessage="1" showErrorMessage="1" sqref="H9 H11 H32 H18:H23 H34:H35 H38:H39">
      <formula1>"售前,立项,需求,开发,发布,实施,验收,上线运行,维护"</formula1>
    </dataValidation>
    <dataValidation type="list" allowBlank="1" showInputMessage="1" showErrorMessage="1" sqref="H10 H33 H3:H7 H13:H17 H26:H30 H36:H37">
      <formula1>"售前,立项,需求,开发,发布,实施,验收,上线运行"</formula1>
    </dataValidation>
    <dataValidation type="list" allowBlank="1" showInputMessage="1" showErrorMessage="1" sqref="H25 H41">
      <formula1>"售前,立项,需求,设计,开发,发布,实施,验收"</formula1>
    </dataValidation>
    <dataValidation type="list" allowBlank="1" showInputMessage="1" showErrorMessage="1" sqref="I36">
      <formula1>"长期项目,正常,提前,延迟,严重延迟,暂停"</formula1>
    </dataValidation>
    <dataValidation type="list" allowBlank="1" showInputMessage="1" showErrorMessage="1" sqref="H40">
      <formula1>"售前,立项,需求,设计,开发,发布,实施,验收,挂起,暂停"</formula1>
    </dataValidation>
    <dataValidation type="list" allowBlank="1" showInputMessage="1" showErrorMessage="1" sqref="I3:I23 I25:I30 I32:I35 I37:I41 I43:I44">
      <formula1>"长期项目,正常,提前,延迟,严重延迟"</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30"/>
  <sheetViews>
    <sheetView workbookViewId="0">
      <pane ySplit="1" topLeftCell="A18" activePane="bottomLeft" state="frozen"/>
      <selection/>
      <selection pane="bottomLeft" activeCell="F28" sqref="F28:F29"/>
    </sheetView>
  </sheetViews>
  <sheetFormatPr defaultColWidth="9.11111111111111" defaultRowHeight="13.2"/>
  <cols>
    <col min="1" max="1" width="22.4444444444444" style="300" customWidth="1"/>
    <col min="2" max="2" width="11.6666666666667" style="300" customWidth="1"/>
    <col min="3" max="5" width="9.11111111111111" style="300"/>
    <col min="6" max="6" width="19.5555555555556" style="300" customWidth="1"/>
    <col min="7" max="7" width="9.11111111111111" style="300"/>
    <col min="8" max="8" width="74.4444444444444" style="300" customWidth="1"/>
    <col min="9" max="11" width="9.11111111111111" style="300"/>
    <col min="12" max="12" width="30.4444444444444" style="301" customWidth="1"/>
    <col min="13" max="16384" width="9.11111111111111" style="300"/>
  </cols>
  <sheetData>
    <row r="1" ht="69.6" spans="1:26">
      <c r="A1" s="302" t="s">
        <v>148</v>
      </c>
      <c r="B1" s="303" t="s">
        <v>6</v>
      </c>
      <c r="C1" s="302" t="s">
        <v>149</v>
      </c>
      <c r="D1" s="302" t="s">
        <v>150</v>
      </c>
      <c r="E1" s="303" t="s">
        <v>151</v>
      </c>
      <c r="F1" s="302" t="s">
        <v>152</v>
      </c>
      <c r="G1" s="302" t="s">
        <v>1</v>
      </c>
      <c r="H1" s="304" t="s">
        <v>153</v>
      </c>
      <c r="I1" s="302" t="s">
        <v>154</v>
      </c>
      <c r="J1" s="305" t="s">
        <v>155</v>
      </c>
      <c r="K1" s="302" t="s">
        <v>156</v>
      </c>
      <c r="L1" s="306" t="s">
        <v>157</v>
      </c>
      <c r="M1" s="307"/>
      <c r="N1" s="307"/>
      <c r="O1" s="307"/>
      <c r="P1" s="307"/>
      <c r="Q1" s="307"/>
      <c r="R1" s="307"/>
      <c r="S1" s="307"/>
      <c r="T1" s="307"/>
      <c r="U1" s="307"/>
      <c r="V1" s="307"/>
      <c r="W1" s="307"/>
      <c r="X1" s="307"/>
      <c r="Y1" s="307"/>
      <c r="Z1" s="307"/>
    </row>
    <row r="2" ht="87" customHeight="1" spans="1:26">
      <c r="A2" s="302" t="s">
        <v>158</v>
      </c>
      <c r="B2" s="308" t="s">
        <v>23</v>
      </c>
      <c r="C2" s="309" t="s">
        <v>24</v>
      </c>
      <c r="D2" s="310"/>
      <c r="E2" s="311"/>
      <c r="F2" s="310"/>
      <c r="G2" s="312">
        <v>1</v>
      </c>
      <c r="H2" s="313" t="s">
        <v>159</v>
      </c>
      <c r="I2" s="183" t="s">
        <v>23</v>
      </c>
      <c r="J2" s="309">
        <v>1</v>
      </c>
      <c r="K2" s="310"/>
      <c r="L2" s="308">
        <v>1</v>
      </c>
    </row>
    <row r="3" ht="45" spans="1:26">
      <c r="A3" s="302"/>
      <c r="B3" s="308"/>
      <c r="C3" s="310"/>
      <c r="D3" s="310"/>
      <c r="E3" s="311"/>
      <c r="F3" s="310"/>
      <c r="G3" s="310">
        <v>2</v>
      </c>
      <c r="H3" s="314" t="s">
        <v>160</v>
      </c>
      <c r="I3" s="183" t="s">
        <v>23</v>
      </c>
      <c r="J3" s="309">
        <v>1</v>
      </c>
      <c r="K3" s="310"/>
      <c r="L3" s="308">
        <v>0.75</v>
      </c>
    </row>
    <row r="4" ht="15.6" spans="1:26">
      <c r="A4" s="302"/>
      <c r="B4" s="308"/>
      <c r="C4" s="310"/>
      <c r="D4" s="310"/>
      <c r="E4" s="311"/>
      <c r="F4" s="310"/>
      <c r="G4" s="310">
        <v>3</v>
      </c>
      <c r="H4" s="314" t="s">
        <v>161</v>
      </c>
      <c r="I4" s="183" t="s">
        <v>23</v>
      </c>
      <c r="J4" s="309">
        <v>1</v>
      </c>
      <c r="K4" s="310"/>
      <c r="L4" s="308">
        <v>0.25</v>
      </c>
    </row>
    <row r="5" ht="15.6" spans="1:26">
      <c r="A5" s="302"/>
      <c r="B5" s="308"/>
      <c r="C5" s="310"/>
      <c r="D5" s="310"/>
      <c r="E5" s="311"/>
      <c r="F5" s="310"/>
      <c r="G5" s="310">
        <v>4</v>
      </c>
      <c r="H5" s="314" t="s">
        <v>162</v>
      </c>
      <c r="I5" s="183" t="s">
        <v>23</v>
      </c>
      <c r="J5" s="309">
        <v>1</v>
      </c>
      <c r="K5" s="310"/>
      <c r="L5" s="308">
        <v>0.5</v>
      </c>
    </row>
    <row r="6" ht="30" spans="1:26">
      <c r="A6" s="302"/>
      <c r="B6" s="308"/>
      <c r="C6" s="310"/>
      <c r="D6" s="310"/>
      <c r="E6" s="311"/>
      <c r="F6" s="310"/>
      <c r="G6" s="310">
        <v>5</v>
      </c>
      <c r="H6" s="314" t="s">
        <v>163</v>
      </c>
      <c r="I6" s="183" t="s">
        <v>23</v>
      </c>
      <c r="J6" s="309">
        <v>1</v>
      </c>
      <c r="K6" s="310"/>
      <c r="L6" s="308">
        <v>0.25</v>
      </c>
    </row>
    <row r="7" ht="15.6" spans="1:26">
      <c r="A7" s="302"/>
      <c r="B7" s="308"/>
      <c r="C7" s="310"/>
      <c r="D7" s="310"/>
      <c r="E7" s="311"/>
      <c r="F7" s="310"/>
      <c r="G7" s="310">
        <v>6</v>
      </c>
      <c r="H7" s="314" t="s">
        <v>164</v>
      </c>
      <c r="I7" s="183" t="s">
        <v>23</v>
      </c>
      <c r="J7" s="309">
        <v>1</v>
      </c>
      <c r="K7" s="310"/>
      <c r="L7" s="308">
        <v>0.25</v>
      </c>
    </row>
    <row r="8" ht="15.6" spans="1:26">
      <c r="A8" s="302"/>
      <c r="B8" s="308"/>
      <c r="C8" s="310"/>
      <c r="D8" s="310"/>
      <c r="E8" s="311"/>
      <c r="F8" s="310"/>
      <c r="G8" s="310">
        <v>7</v>
      </c>
      <c r="H8" s="314" t="s">
        <v>165</v>
      </c>
      <c r="I8" s="183" t="s">
        <v>23</v>
      </c>
      <c r="J8" s="309">
        <v>1</v>
      </c>
      <c r="K8" s="310"/>
      <c r="L8" s="308">
        <v>0.5</v>
      </c>
    </row>
    <row r="9" ht="30" spans="1:26">
      <c r="A9" s="302"/>
      <c r="B9" s="308"/>
      <c r="C9" s="310"/>
      <c r="D9" s="310"/>
      <c r="E9" s="311"/>
      <c r="F9" s="310"/>
      <c r="G9" s="310">
        <v>8</v>
      </c>
      <c r="H9" s="314" t="s">
        <v>166</v>
      </c>
      <c r="I9" s="183" t="s">
        <v>167</v>
      </c>
      <c r="J9" s="309">
        <v>1</v>
      </c>
      <c r="K9" s="310"/>
      <c r="L9" s="308">
        <v>3</v>
      </c>
    </row>
    <row r="10" ht="60" spans="1:26">
      <c r="A10" s="302"/>
      <c r="B10" s="308"/>
      <c r="C10" s="310"/>
      <c r="D10" s="310"/>
      <c r="E10" s="311"/>
      <c r="F10" s="310"/>
      <c r="G10" s="310">
        <v>9</v>
      </c>
      <c r="H10" s="315" t="s">
        <v>168</v>
      </c>
      <c r="I10" s="183" t="s">
        <v>167</v>
      </c>
      <c r="J10" s="309">
        <v>1</v>
      </c>
      <c r="K10" s="310"/>
      <c r="L10" s="308">
        <v>2</v>
      </c>
    </row>
    <row r="11" ht="15.6" spans="1:26">
      <c r="A11" s="302"/>
      <c r="B11" s="308"/>
      <c r="C11" s="310"/>
      <c r="D11" s="310"/>
      <c r="E11" s="311"/>
      <c r="F11" s="310"/>
      <c r="G11" s="310">
        <v>10</v>
      </c>
      <c r="H11" s="315" t="s">
        <v>169</v>
      </c>
      <c r="I11" s="310" t="s">
        <v>170</v>
      </c>
      <c r="J11" s="309">
        <v>1</v>
      </c>
      <c r="K11" s="310"/>
      <c r="L11" s="308">
        <v>2</v>
      </c>
    </row>
    <row r="12" ht="15.6" spans="1:26">
      <c r="A12" s="302"/>
      <c r="B12" s="308"/>
      <c r="C12" s="310"/>
      <c r="D12" s="310"/>
      <c r="E12" s="311"/>
      <c r="F12" s="310"/>
      <c r="G12" s="310">
        <v>11</v>
      </c>
      <c r="H12" s="316" t="s">
        <v>171</v>
      </c>
      <c r="I12" s="310" t="s">
        <v>23</v>
      </c>
      <c r="J12" s="309">
        <v>1</v>
      </c>
      <c r="K12" s="310"/>
      <c r="L12" s="308">
        <v>0.5</v>
      </c>
    </row>
    <row r="13" ht="15.6" spans="1:26">
      <c r="A13" s="302"/>
      <c r="B13" s="308"/>
      <c r="C13" s="310"/>
      <c r="D13" s="310"/>
      <c r="E13" s="311"/>
      <c r="F13" s="310"/>
      <c r="G13" s="310">
        <v>12</v>
      </c>
      <c r="H13" s="317"/>
      <c r="I13" s="310" t="s">
        <v>172</v>
      </c>
      <c r="J13" s="309">
        <v>1</v>
      </c>
      <c r="K13" s="310"/>
      <c r="L13" s="308">
        <v>0.5</v>
      </c>
    </row>
    <row r="14" ht="15" spans="1:26">
      <c r="A14" s="302"/>
      <c r="B14" s="308"/>
      <c r="C14" s="310"/>
      <c r="D14" s="310"/>
      <c r="E14" s="192" t="s">
        <v>173</v>
      </c>
      <c r="F14" s="192"/>
      <c r="G14" s="192"/>
      <c r="H14" s="192"/>
      <c r="I14" s="192"/>
      <c r="J14" s="193"/>
      <c r="K14" s="194"/>
      <c r="L14" s="195">
        <f>SUM(L2:L13)</f>
        <v>11.5</v>
      </c>
    </row>
    <row r="15" ht="15.6" spans="1:26">
      <c r="A15" s="302"/>
      <c r="B15" s="308"/>
      <c r="C15" s="310"/>
      <c r="D15" s="310"/>
      <c r="E15" s="311" t="s">
        <v>174</v>
      </c>
      <c r="F15" s="311" t="s">
        <v>53</v>
      </c>
      <c r="G15" s="311">
        <v>1</v>
      </c>
      <c r="H15" s="318"/>
      <c r="I15" s="310"/>
      <c r="J15" s="319"/>
      <c r="K15" s="311"/>
      <c r="L15" s="320"/>
    </row>
    <row r="16" ht="15.6" spans="1:26">
      <c r="A16" s="302"/>
      <c r="B16" s="308"/>
      <c r="C16" s="310"/>
      <c r="D16" s="310"/>
      <c r="E16" s="311"/>
      <c r="F16" s="311"/>
      <c r="G16" s="311">
        <v>2</v>
      </c>
      <c r="H16" s="318"/>
      <c r="I16" s="311"/>
      <c r="J16" s="319"/>
      <c r="K16" s="311"/>
      <c r="L16" s="320"/>
    </row>
    <row r="17" ht="32.4" customHeight="1" spans="1:12">
      <c r="A17" s="302" t="s">
        <v>175</v>
      </c>
      <c r="B17" s="308" t="s">
        <v>23</v>
      </c>
      <c r="C17" s="309">
        <v>0.94</v>
      </c>
      <c r="D17" s="310"/>
      <c r="E17" s="311" t="s">
        <v>176</v>
      </c>
      <c r="F17" s="312" t="s">
        <v>177</v>
      </c>
      <c r="G17" s="310">
        <v>1</v>
      </c>
      <c r="H17" s="321" t="s">
        <v>178</v>
      </c>
      <c r="I17" s="183" t="s">
        <v>23</v>
      </c>
      <c r="J17" s="309">
        <v>1</v>
      </c>
      <c r="K17" s="311"/>
      <c r="L17" s="308">
        <v>1.5</v>
      </c>
    </row>
    <row r="18" ht="120" spans="1:12">
      <c r="A18" s="302"/>
      <c r="B18" s="308"/>
      <c r="C18" s="309"/>
      <c r="D18" s="310"/>
      <c r="E18" s="311"/>
      <c r="F18" s="322"/>
      <c r="G18" s="310">
        <v>2</v>
      </c>
      <c r="H18" s="321" t="s">
        <v>179</v>
      </c>
      <c r="I18" s="183" t="s">
        <v>172</v>
      </c>
      <c r="J18" s="309">
        <v>1</v>
      </c>
      <c r="K18" s="311"/>
      <c r="L18" s="308">
        <v>4.5</v>
      </c>
    </row>
    <row r="19" ht="15" spans="1:12">
      <c r="A19" s="302"/>
      <c r="B19" s="308"/>
      <c r="C19" s="310"/>
      <c r="D19" s="310"/>
      <c r="E19" s="311"/>
      <c r="F19" s="183" t="s">
        <v>180</v>
      </c>
      <c r="G19" s="323">
        <v>1</v>
      </c>
      <c r="H19" s="314" t="s">
        <v>181</v>
      </c>
      <c r="I19" s="183" t="s">
        <v>170</v>
      </c>
      <c r="J19" s="324">
        <v>1</v>
      </c>
      <c r="K19" s="325"/>
      <c r="L19" s="326">
        <v>3</v>
      </c>
    </row>
    <row r="20" ht="15" spans="1:12">
      <c r="A20" s="302"/>
      <c r="B20" s="308"/>
      <c r="C20" s="310"/>
      <c r="D20" s="310"/>
      <c r="E20" s="311"/>
      <c r="F20" s="183"/>
      <c r="G20" s="323">
        <v>2</v>
      </c>
      <c r="H20" s="314"/>
      <c r="I20" s="183"/>
      <c r="J20" s="324"/>
      <c r="K20" s="325"/>
      <c r="L20" s="326"/>
    </row>
    <row r="21" ht="28.8" customHeight="1" spans="1:12">
      <c r="A21" s="302"/>
      <c r="B21" s="308"/>
      <c r="C21" s="310"/>
      <c r="D21" s="310"/>
      <c r="E21" s="311"/>
      <c r="F21" s="183"/>
      <c r="G21" s="323">
        <v>3</v>
      </c>
      <c r="H21" s="314"/>
      <c r="I21" s="183"/>
      <c r="J21" s="324"/>
      <c r="K21" s="325"/>
      <c r="L21" s="326"/>
    </row>
    <row r="22" ht="15" spans="1:12">
      <c r="A22" s="302"/>
      <c r="B22" s="308"/>
      <c r="C22" s="310"/>
      <c r="D22" s="310"/>
      <c r="E22" s="192" t="s">
        <v>173</v>
      </c>
      <c r="F22" s="192"/>
      <c r="G22" s="192"/>
      <c r="H22" s="192"/>
      <c r="I22" s="192"/>
      <c r="J22" s="193"/>
      <c r="K22" s="194"/>
      <c r="L22" s="195">
        <f>SUM(L17:L21)</f>
        <v>9</v>
      </c>
    </row>
    <row r="23" ht="15.6" spans="1:12">
      <c r="A23" s="302"/>
      <c r="B23" s="308"/>
      <c r="C23" s="310"/>
      <c r="D23" s="310"/>
      <c r="E23" s="311" t="s">
        <v>174</v>
      </c>
      <c r="F23" s="311" t="s">
        <v>53</v>
      </c>
      <c r="G23" s="311">
        <v>1</v>
      </c>
      <c r="H23" s="318"/>
      <c r="I23" s="310"/>
      <c r="J23" s="319"/>
      <c r="K23" s="311"/>
      <c r="L23" s="320"/>
    </row>
    <row r="24" ht="15" spans="1:12">
      <c r="A24" s="302"/>
      <c r="B24" s="308"/>
      <c r="C24" s="310"/>
      <c r="D24" s="310"/>
      <c r="E24" s="311"/>
      <c r="F24" s="311"/>
      <c r="G24" s="311">
        <v>2</v>
      </c>
      <c r="H24" s="315"/>
      <c r="I24" s="311"/>
      <c r="J24" s="319"/>
      <c r="K24" s="311"/>
      <c r="L24" s="320"/>
    </row>
    <row r="25" s="299" customFormat="1" customHeight="1" spans="1:12">
      <c r="A25" s="327" t="s">
        <v>182</v>
      </c>
      <c r="B25" s="328" t="s">
        <v>93</v>
      </c>
      <c r="C25" s="329"/>
      <c r="D25" s="330"/>
      <c r="E25" s="331" t="s">
        <v>176</v>
      </c>
      <c r="F25" s="287" t="s">
        <v>183</v>
      </c>
      <c r="G25" s="287">
        <v>1</v>
      </c>
      <c r="H25" s="288" t="s">
        <v>184</v>
      </c>
      <c r="I25" s="289" t="s">
        <v>93</v>
      </c>
      <c r="J25" s="290">
        <v>1</v>
      </c>
      <c r="K25" s="291"/>
      <c r="L25" s="332">
        <v>3</v>
      </c>
    </row>
    <row r="26" s="299" customFormat="1" customHeight="1" spans="1:12">
      <c r="A26" s="333"/>
      <c r="B26" s="334"/>
      <c r="C26" s="335"/>
      <c r="D26" s="336"/>
      <c r="E26" s="337"/>
      <c r="F26" s="287"/>
      <c r="G26" s="287"/>
      <c r="H26" s="288"/>
      <c r="I26" s="289" t="s">
        <v>185</v>
      </c>
      <c r="J26" s="290">
        <v>1</v>
      </c>
      <c r="K26" s="291"/>
      <c r="L26" s="332">
        <v>5</v>
      </c>
    </row>
    <row r="27" s="299" customFormat="1" customHeight="1" spans="1:12">
      <c r="A27" s="333"/>
      <c r="B27" s="334"/>
      <c r="C27" s="335"/>
      <c r="D27" s="336"/>
      <c r="E27" s="337"/>
      <c r="F27" s="287"/>
      <c r="G27" s="287"/>
      <c r="H27" s="288"/>
      <c r="I27" s="289" t="s">
        <v>186</v>
      </c>
      <c r="J27" s="290">
        <v>1</v>
      </c>
      <c r="K27" s="291"/>
      <c r="L27" s="332">
        <v>7</v>
      </c>
    </row>
    <row r="28" s="299" customFormat="1" ht="151.2" customHeight="1" spans="1:12">
      <c r="A28" s="333"/>
      <c r="B28" s="334"/>
      <c r="C28" s="335"/>
      <c r="D28" s="336"/>
      <c r="E28" s="337"/>
      <c r="F28" s="291" t="s">
        <v>187</v>
      </c>
      <c r="G28" s="287">
        <v>1</v>
      </c>
      <c r="H28" s="288" t="s">
        <v>188</v>
      </c>
      <c r="I28" s="289" t="s">
        <v>189</v>
      </c>
      <c r="J28" s="290">
        <v>1</v>
      </c>
      <c r="K28" s="291"/>
      <c r="L28" s="293">
        <v>4</v>
      </c>
    </row>
    <row r="29" s="299" customFormat="1" ht="139.8" customHeight="1" spans="1:12">
      <c r="A29" s="333"/>
      <c r="B29" s="334"/>
      <c r="C29" s="335"/>
      <c r="D29" s="336"/>
      <c r="E29" s="338"/>
      <c r="F29" s="291"/>
      <c r="G29" s="287"/>
      <c r="H29" s="288"/>
      <c r="I29" s="289" t="s">
        <v>190</v>
      </c>
      <c r="J29" s="290">
        <v>1</v>
      </c>
      <c r="K29" s="291"/>
      <c r="L29" s="293">
        <v>4</v>
      </c>
    </row>
    <row r="30" s="299" customFormat="1" customHeight="1" spans="1:12">
      <c r="A30" s="339"/>
      <c r="B30" s="340"/>
      <c r="C30" s="341"/>
      <c r="D30" s="342"/>
      <c r="E30" s="343" t="s">
        <v>173</v>
      </c>
      <c r="F30" s="343"/>
      <c r="G30" s="343"/>
      <c r="H30" s="343"/>
      <c r="I30" s="343"/>
      <c r="J30" s="344"/>
      <c r="K30" s="345"/>
      <c r="L30" s="346">
        <f>SUM(L25:L29)</f>
        <v>23</v>
      </c>
    </row>
  </sheetData>
  <autoFilter xmlns:etc="http://www.wps.cn/officeDocument/2017/etCustomData" ref="A1:L24" etc:filterBottomFollowUsedRange="0">
    <extLst/>
  </autoFilter>
  <mergeCells count="32">
    <mergeCell ref="E14:H14"/>
    <mergeCell ref="E22:H22"/>
    <mergeCell ref="E30:H30"/>
    <mergeCell ref="A2:A16"/>
    <mergeCell ref="A17:A24"/>
    <mergeCell ref="A25:A30"/>
    <mergeCell ref="B2:B16"/>
    <mergeCell ref="B17:B24"/>
    <mergeCell ref="B25:B30"/>
    <mergeCell ref="C2:C16"/>
    <mergeCell ref="C17:C24"/>
    <mergeCell ref="C25:C30"/>
    <mergeCell ref="D2:D16"/>
    <mergeCell ref="D17:D24"/>
    <mergeCell ref="D25:D30"/>
    <mergeCell ref="E2:E13"/>
    <mergeCell ref="E15:E16"/>
    <mergeCell ref="E17:E21"/>
    <mergeCell ref="E23:E24"/>
    <mergeCell ref="E25:E29"/>
    <mergeCell ref="F2:F13"/>
    <mergeCell ref="F15:F16"/>
    <mergeCell ref="F17:F18"/>
    <mergeCell ref="F19:F21"/>
    <mergeCell ref="F23:F24"/>
    <mergeCell ref="F25:F27"/>
    <mergeCell ref="F28:F29"/>
    <mergeCell ref="G25:G27"/>
    <mergeCell ref="G28:G29"/>
    <mergeCell ref="H12:H13"/>
    <mergeCell ref="H25:H27"/>
    <mergeCell ref="H28:H29"/>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65"/>
  <sheetViews>
    <sheetView workbookViewId="0">
      <pane ySplit="1" topLeftCell="A9" activePane="bottomLeft" state="frozen"/>
      <selection/>
      <selection pane="bottomLeft" activeCell="L24" sqref="L24"/>
    </sheetView>
  </sheetViews>
  <sheetFormatPr defaultColWidth="9.11111111111111" defaultRowHeight="13.2"/>
  <cols>
    <col min="1" max="1" width="22.4444444444444" style="1" customWidth="1"/>
    <col min="2" max="2" width="11.6666666666667" style="1" customWidth="1"/>
    <col min="3"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148</v>
      </c>
      <c r="B1" s="4" t="s">
        <v>6</v>
      </c>
      <c r="C1" s="3" t="s">
        <v>149</v>
      </c>
      <c r="D1" s="3" t="s">
        <v>150</v>
      </c>
      <c r="E1" s="4" t="s">
        <v>151</v>
      </c>
      <c r="F1" s="3" t="s">
        <v>152</v>
      </c>
      <c r="G1" s="3" t="s">
        <v>1</v>
      </c>
      <c r="H1" s="5" t="s">
        <v>153</v>
      </c>
      <c r="I1" s="3" t="s">
        <v>154</v>
      </c>
      <c r="J1" s="6" t="s">
        <v>155</v>
      </c>
      <c r="K1" s="3" t="s">
        <v>156</v>
      </c>
      <c r="L1" s="7" t="s">
        <v>157</v>
      </c>
      <c r="M1" s="8"/>
      <c r="N1" s="8"/>
      <c r="O1" s="8"/>
      <c r="P1" s="8"/>
      <c r="Q1" s="8"/>
      <c r="R1" s="8"/>
      <c r="S1" s="8"/>
      <c r="T1" s="8"/>
      <c r="U1" s="8"/>
      <c r="V1" s="8"/>
      <c r="W1" s="8"/>
      <c r="X1" s="8"/>
      <c r="Y1" s="8"/>
      <c r="Z1" s="8"/>
    </row>
    <row r="2" s="1" customFormat="1" ht="15.6" spans="1:26">
      <c r="A2" s="3" t="s">
        <v>191</v>
      </c>
      <c r="B2" s="9" t="s">
        <v>40</v>
      </c>
      <c r="C2" s="454" t="s">
        <v>192</v>
      </c>
      <c r="D2" s="10"/>
      <c r="E2" s="11" t="s">
        <v>176</v>
      </c>
      <c r="F2" s="10" t="s">
        <v>53</v>
      </c>
      <c r="G2" s="10">
        <v>1</v>
      </c>
      <c r="H2" s="13"/>
      <c r="I2" s="14"/>
      <c r="J2" s="15"/>
      <c r="K2" s="10"/>
      <c r="L2" s="9"/>
    </row>
    <row r="3" s="1" customFormat="1" ht="15.6" spans="1:26">
      <c r="A3" s="3"/>
      <c r="B3" s="9"/>
      <c r="C3" s="10"/>
      <c r="D3" s="10"/>
      <c r="E3" s="11"/>
      <c r="F3" s="10"/>
      <c r="G3" s="10">
        <v>2</v>
      </c>
      <c r="H3" s="17"/>
      <c r="I3" s="14"/>
      <c r="J3" s="15"/>
      <c r="K3" s="10"/>
      <c r="L3" s="9"/>
    </row>
    <row r="4" s="1" customFormat="1" ht="15.6" spans="1:26">
      <c r="A4" s="3"/>
      <c r="B4" s="9"/>
      <c r="C4" s="10"/>
      <c r="D4" s="10"/>
      <c r="E4" s="11"/>
      <c r="F4" s="10"/>
      <c r="G4" s="10">
        <v>3</v>
      </c>
      <c r="H4" s="9"/>
      <c r="I4" s="14"/>
      <c r="J4" s="15"/>
      <c r="K4" s="10"/>
    </row>
    <row r="5" s="1" customFormat="1" ht="15" spans="1:26">
      <c r="A5" s="3"/>
      <c r="B5" s="9"/>
      <c r="C5" s="10"/>
      <c r="D5" s="10"/>
      <c r="E5" s="38" t="s">
        <v>173</v>
      </c>
      <c r="F5" s="38"/>
      <c r="G5" s="38"/>
      <c r="H5" s="38"/>
      <c r="I5" s="38"/>
      <c r="J5" s="39"/>
      <c r="K5" s="40"/>
      <c r="L5" s="41">
        <f>SUM(L2:L4)</f>
        <v>0</v>
      </c>
    </row>
    <row r="6" s="1" customFormat="1" ht="15" spans="1:26">
      <c r="A6" s="3"/>
      <c r="B6" s="9"/>
      <c r="C6" s="10"/>
      <c r="D6" s="10"/>
      <c r="E6" s="11" t="s">
        <v>174</v>
      </c>
      <c r="F6" s="11" t="s">
        <v>53</v>
      </c>
      <c r="G6" s="11">
        <v>1</v>
      </c>
      <c r="H6" s="13"/>
      <c r="I6" s="10"/>
      <c r="J6" s="44"/>
      <c r="K6" s="11"/>
      <c r="L6" s="45"/>
    </row>
    <row r="7" s="1" customFormat="1" ht="15" spans="1:26">
      <c r="A7" s="3"/>
      <c r="B7" s="9"/>
      <c r="C7" s="10"/>
      <c r="D7" s="10"/>
      <c r="E7" s="11"/>
      <c r="F7" s="11"/>
      <c r="G7" s="11">
        <v>2</v>
      </c>
      <c r="H7" s="13"/>
      <c r="I7" s="11"/>
      <c r="J7" s="44"/>
      <c r="K7" s="11"/>
      <c r="L7" s="45"/>
    </row>
    <row r="8" ht="120" spans="1:26">
      <c r="A8" s="3" t="s">
        <v>193</v>
      </c>
      <c r="B8" s="9" t="s">
        <v>48</v>
      </c>
      <c r="C8" s="10"/>
      <c r="D8" s="10"/>
      <c r="E8" s="282" t="s">
        <v>176</v>
      </c>
      <c r="F8" s="12" t="s">
        <v>194</v>
      </c>
      <c r="G8" s="10">
        <v>1</v>
      </c>
      <c r="H8" s="283" t="s">
        <v>195</v>
      </c>
      <c r="I8" s="14" t="s">
        <v>48</v>
      </c>
      <c r="J8" s="15">
        <v>1</v>
      </c>
      <c r="K8" s="11"/>
      <c r="L8" s="9">
        <v>4</v>
      </c>
      <c r="M8" s="8"/>
      <c r="N8" s="8"/>
      <c r="O8" s="8"/>
      <c r="P8" s="8"/>
      <c r="Q8" s="8"/>
      <c r="R8" s="8"/>
      <c r="S8" s="8"/>
      <c r="T8" s="8"/>
      <c r="U8" s="8"/>
      <c r="V8" s="8"/>
      <c r="W8" s="8"/>
      <c r="X8" s="8"/>
      <c r="Y8" s="8"/>
      <c r="Z8" s="8"/>
    </row>
    <row r="9" ht="180" spans="1:26">
      <c r="A9" s="3"/>
      <c r="B9" s="9"/>
      <c r="C9" s="10"/>
      <c r="D9" s="10"/>
      <c r="E9" s="284"/>
      <c r="F9" s="21"/>
      <c r="G9" s="10">
        <v>2</v>
      </c>
      <c r="H9" s="283" t="s">
        <v>196</v>
      </c>
      <c r="I9" s="14" t="s">
        <v>197</v>
      </c>
      <c r="J9" s="15">
        <v>1</v>
      </c>
      <c r="K9" s="10"/>
      <c r="L9" s="9">
        <v>5</v>
      </c>
      <c r="M9" s="8"/>
      <c r="N9" s="8"/>
      <c r="O9" s="8"/>
      <c r="P9" s="8"/>
      <c r="Q9" s="8"/>
      <c r="R9" s="8"/>
      <c r="S9" s="8"/>
      <c r="T9" s="8"/>
      <c r="U9" s="8"/>
      <c r="V9" s="8"/>
      <c r="W9" s="8"/>
      <c r="X9" s="8"/>
      <c r="Y9" s="8"/>
      <c r="Z9" s="8"/>
    </row>
    <row r="10" ht="30" spans="1:26">
      <c r="A10" s="3"/>
      <c r="B10" s="9"/>
      <c r="C10" s="10"/>
      <c r="D10" s="10"/>
      <c r="E10" s="284"/>
      <c r="F10" s="21" t="s">
        <v>53</v>
      </c>
      <c r="G10" s="10">
        <v>3</v>
      </c>
      <c r="H10" s="283" t="s">
        <v>198</v>
      </c>
      <c r="I10" s="14" t="s">
        <v>48</v>
      </c>
      <c r="J10" s="15">
        <v>1</v>
      </c>
      <c r="K10" s="10"/>
      <c r="L10" s="9">
        <v>1</v>
      </c>
      <c r="M10" s="8"/>
      <c r="N10" s="8"/>
      <c r="O10" s="8"/>
      <c r="P10" s="8"/>
      <c r="Q10" s="8"/>
      <c r="R10" s="8"/>
      <c r="S10" s="8"/>
      <c r="T10" s="8"/>
      <c r="U10" s="8"/>
      <c r="V10" s="8"/>
      <c r="W10" s="8"/>
      <c r="X10" s="8"/>
      <c r="Y10" s="8"/>
      <c r="Z10" s="8"/>
    </row>
    <row r="11" ht="15.6" spans="1:26">
      <c r="A11" s="3"/>
      <c r="B11" s="9"/>
      <c r="C11" s="10"/>
      <c r="D11" s="10"/>
      <c r="E11" s="38" t="s">
        <v>173</v>
      </c>
      <c r="F11" s="38"/>
      <c r="G11" s="38"/>
      <c r="H11" s="38"/>
      <c r="I11" s="38"/>
      <c r="J11" s="39"/>
      <c r="K11" s="40"/>
      <c r="L11" s="285">
        <f>SUM(L8:L10)</f>
        <v>10</v>
      </c>
      <c r="M11" s="8"/>
      <c r="N11" s="8"/>
      <c r="O11" s="8"/>
      <c r="P11" s="8"/>
      <c r="Q11" s="8"/>
      <c r="R11" s="8"/>
      <c r="S11" s="8"/>
      <c r="T11" s="8"/>
      <c r="U11" s="8"/>
      <c r="V11" s="8"/>
      <c r="W11" s="8"/>
      <c r="X11" s="8"/>
      <c r="Y11" s="8"/>
      <c r="Z11" s="8"/>
    </row>
    <row r="12" ht="15.6" spans="1:26">
      <c r="A12" s="3"/>
      <c r="B12" s="9"/>
      <c r="C12" s="10"/>
      <c r="D12" s="10"/>
      <c r="E12" s="11" t="s">
        <v>174</v>
      </c>
      <c r="F12" s="11"/>
      <c r="G12" s="11"/>
      <c r="H12" s="43"/>
      <c r="I12" s="10"/>
      <c r="J12" s="44"/>
      <c r="K12" s="11"/>
      <c r="L12" s="45"/>
      <c r="M12" s="8"/>
      <c r="N12" s="8"/>
      <c r="O12" s="8"/>
      <c r="P12" s="8"/>
      <c r="Q12" s="8"/>
      <c r="R12" s="8"/>
      <c r="S12" s="8"/>
      <c r="T12" s="8"/>
      <c r="U12" s="8"/>
      <c r="V12" s="8"/>
      <c r="W12" s="8"/>
      <c r="X12" s="8"/>
      <c r="Y12" s="8"/>
      <c r="Z12" s="8"/>
    </row>
    <row r="13" ht="15" spans="1:26">
      <c r="A13" s="3"/>
      <c r="B13" s="9"/>
      <c r="C13" s="10"/>
      <c r="D13" s="10"/>
      <c r="E13" s="11"/>
      <c r="F13" s="11"/>
      <c r="G13" s="11"/>
      <c r="H13" s="13"/>
      <c r="I13" s="11"/>
      <c r="J13" s="44"/>
      <c r="K13" s="11"/>
      <c r="L13" s="45"/>
      <c r="M13" s="8"/>
      <c r="N13" s="8"/>
      <c r="O13" s="8"/>
      <c r="P13" s="8"/>
      <c r="Q13" s="8"/>
      <c r="R13" s="8"/>
      <c r="S13" s="8"/>
      <c r="T13" s="8"/>
      <c r="U13" s="8"/>
      <c r="V13" s="8"/>
      <c r="W13" s="8"/>
      <c r="X13" s="8"/>
      <c r="Y13" s="8"/>
      <c r="Z13" s="8"/>
    </row>
    <row r="14" s="1" customFormat="1" ht="30" spans="1:26">
      <c r="A14" s="3" t="s">
        <v>199</v>
      </c>
      <c r="B14" s="9" t="s">
        <v>42</v>
      </c>
      <c r="C14" s="10"/>
      <c r="D14" s="10"/>
      <c r="E14" s="11"/>
      <c r="F14" s="10"/>
      <c r="G14" s="10">
        <v>1</v>
      </c>
      <c r="H14" s="13" t="s">
        <v>200</v>
      </c>
      <c r="I14" s="14" t="s">
        <v>80</v>
      </c>
      <c r="J14" s="15">
        <v>1</v>
      </c>
      <c r="K14" s="11"/>
      <c r="L14" s="45">
        <v>0</v>
      </c>
    </row>
    <row r="15" s="1" customFormat="1" ht="69" customHeight="1" spans="1:26">
      <c r="A15" s="3"/>
      <c r="B15" s="9"/>
      <c r="C15" s="10"/>
      <c r="D15" s="10"/>
      <c r="E15" s="11"/>
      <c r="F15" s="10"/>
      <c r="G15" s="10">
        <v>2</v>
      </c>
      <c r="H15" s="286" t="s">
        <v>201</v>
      </c>
      <c r="I15" s="14" t="s">
        <v>42</v>
      </c>
      <c r="J15" s="15">
        <v>1</v>
      </c>
      <c r="K15" s="11"/>
      <c r="L15" s="45">
        <v>2</v>
      </c>
    </row>
    <row r="16" s="1" customFormat="1" ht="45" spans="1:26">
      <c r="A16" s="3"/>
      <c r="B16" s="9"/>
      <c r="C16" s="10"/>
      <c r="D16" s="10"/>
      <c r="E16" s="11"/>
      <c r="F16" s="10"/>
      <c r="G16" s="10">
        <v>3</v>
      </c>
      <c r="H16" s="286" t="s">
        <v>202</v>
      </c>
      <c r="I16" s="14" t="s">
        <v>203</v>
      </c>
      <c r="J16" s="15">
        <v>1</v>
      </c>
      <c r="K16" s="11"/>
      <c r="L16" s="45">
        <v>2</v>
      </c>
    </row>
    <row r="17" s="1" customFormat="1" ht="15" spans="1:12">
      <c r="A17" s="3"/>
      <c r="B17" s="9"/>
      <c r="C17" s="10"/>
      <c r="D17" s="10"/>
      <c r="E17" s="11"/>
      <c r="F17" s="10"/>
      <c r="G17" s="287">
        <v>4</v>
      </c>
      <c r="H17" s="288" t="s">
        <v>204</v>
      </c>
      <c r="I17" s="289" t="s">
        <v>93</v>
      </c>
      <c r="J17" s="290">
        <v>1</v>
      </c>
      <c r="K17" s="291"/>
      <c r="L17" s="292">
        <v>2</v>
      </c>
    </row>
    <row r="18" s="1" customFormat="1" ht="15" spans="1:12">
      <c r="A18" s="3"/>
      <c r="B18" s="9"/>
      <c r="C18" s="10"/>
      <c r="D18" s="10"/>
      <c r="E18" s="11"/>
      <c r="F18" s="10"/>
      <c r="G18" s="287"/>
      <c r="H18" s="288"/>
      <c r="I18" s="289" t="s">
        <v>185</v>
      </c>
      <c r="J18" s="290">
        <v>1</v>
      </c>
      <c r="K18" s="291"/>
      <c r="L18" s="292">
        <v>0</v>
      </c>
    </row>
    <row r="19" s="1" customFormat="1" ht="15" spans="1:12">
      <c r="A19" s="3"/>
      <c r="B19" s="9"/>
      <c r="C19" s="10"/>
      <c r="D19" s="10"/>
      <c r="E19" s="11"/>
      <c r="F19" s="10"/>
      <c r="G19" s="287"/>
      <c r="H19" s="288"/>
      <c r="I19" s="289" t="s">
        <v>186</v>
      </c>
      <c r="J19" s="290">
        <v>1</v>
      </c>
      <c r="K19" s="291"/>
      <c r="L19" s="292">
        <v>0</v>
      </c>
    </row>
    <row r="20" s="1" customFormat="1" ht="15" spans="1:12">
      <c r="A20" s="3"/>
      <c r="B20" s="9"/>
      <c r="C20" s="10"/>
      <c r="D20" s="10"/>
      <c r="E20" s="11"/>
      <c r="F20" s="10"/>
      <c r="G20" s="287">
        <v>5</v>
      </c>
      <c r="H20" s="288" t="s">
        <v>205</v>
      </c>
      <c r="I20" s="289" t="s">
        <v>189</v>
      </c>
      <c r="J20" s="290">
        <v>1</v>
      </c>
      <c r="K20" s="291"/>
      <c r="L20" s="293">
        <v>1</v>
      </c>
    </row>
    <row r="21" s="1" customFormat="1" ht="15" spans="1:12">
      <c r="A21" s="3"/>
      <c r="B21" s="9"/>
      <c r="C21" s="10"/>
      <c r="D21" s="10"/>
      <c r="E21" s="11"/>
      <c r="F21" s="10"/>
      <c r="G21" s="287"/>
      <c r="H21" s="288"/>
      <c r="I21" s="289" t="s">
        <v>190</v>
      </c>
      <c r="J21" s="290">
        <v>1</v>
      </c>
      <c r="K21" s="291"/>
      <c r="L21" s="293">
        <v>1</v>
      </c>
    </row>
    <row r="22" s="1" customFormat="1" ht="15" spans="1:12">
      <c r="A22" s="3"/>
      <c r="B22" s="9"/>
      <c r="C22" s="10"/>
      <c r="D22" s="10"/>
      <c r="E22" s="38" t="s">
        <v>173</v>
      </c>
      <c r="F22" s="38"/>
      <c r="G22" s="38"/>
      <c r="H22" s="38"/>
      <c r="I22" s="38"/>
      <c r="J22" s="39"/>
      <c r="K22" s="40"/>
      <c r="L22" s="41">
        <f>SUM(L14:L21)</f>
        <v>8</v>
      </c>
    </row>
    <row r="23" s="1" customFormat="1" ht="15.6" spans="1:12">
      <c r="A23" s="3"/>
      <c r="B23" s="9"/>
      <c r="C23" s="10"/>
      <c r="D23" s="10"/>
      <c r="E23" s="11" t="s">
        <v>174</v>
      </c>
      <c r="F23" s="11"/>
      <c r="G23" s="11"/>
      <c r="H23" s="43"/>
      <c r="I23" s="10"/>
      <c r="J23" s="44"/>
      <c r="K23" s="11"/>
      <c r="L23" s="45"/>
    </row>
    <row r="24" s="1" customFormat="1" ht="15" spans="1:12">
      <c r="A24" s="3"/>
      <c r="B24" s="9"/>
      <c r="C24" s="10"/>
      <c r="D24" s="10"/>
      <c r="E24" s="11"/>
      <c r="F24" s="11"/>
      <c r="G24" s="11"/>
      <c r="H24" s="13"/>
      <c r="I24" s="11"/>
      <c r="J24" s="44"/>
      <c r="K24" s="11"/>
      <c r="L24" s="45"/>
    </row>
    <row r="25" s="1" customFormat="1" ht="75" spans="1:12">
      <c r="A25" s="3" t="s">
        <v>41</v>
      </c>
      <c r="B25" s="9" t="s">
        <v>42</v>
      </c>
      <c r="C25" s="10"/>
      <c r="D25" s="10"/>
      <c r="E25" s="11" t="s">
        <v>176</v>
      </c>
      <c r="F25" s="10" t="s">
        <v>194</v>
      </c>
      <c r="G25" s="10">
        <v>1</v>
      </c>
      <c r="H25" s="286" t="s">
        <v>206</v>
      </c>
      <c r="I25" s="14" t="s">
        <v>207</v>
      </c>
      <c r="J25" s="15">
        <v>1</v>
      </c>
      <c r="K25" s="11"/>
      <c r="L25" s="45">
        <v>5</v>
      </c>
    </row>
    <row r="26" s="1" customFormat="1" ht="69" customHeight="1" spans="1:12">
      <c r="A26" s="3"/>
      <c r="B26" s="9"/>
      <c r="C26" s="10"/>
      <c r="D26" s="10"/>
      <c r="E26" s="11"/>
      <c r="F26" s="10"/>
      <c r="G26" s="10">
        <v>2</v>
      </c>
      <c r="H26" s="13" t="s">
        <v>208</v>
      </c>
      <c r="I26" s="14" t="s">
        <v>203</v>
      </c>
      <c r="J26" s="15">
        <v>1</v>
      </c>
      <c r="K26" s="11"/>
      <c r="L26" s="45">
        <v>2.5</v>
      </c>
    </row>
    <row r="27" s="1" customFormat="1" ht="45" spans="1:12">
      <c r="A27" s="3"/>
      <c r="B27" s="9"/>
      <c r="C27" s="10"/>
      <c r="D27" s="10"/>
      <c r="E27" s="11"/>
      <c r="F27" s="10"/>
      <c r="G27" s="10">
        <v>3</v>
      </c>
      <c r="H27" s="13" t="s">
        <v>209</v>
      </c>
      <c r="I27" s="14" t="s">
        <v>42</v>
      </c>
      <c r="J27" s="15">
        <v>1</v>
      </c>
      <c r="K27" s="11"/>
      <c r="L27" s="45">
        <v>3</v>
      </c>
    </row>
    <row r="28" s="1" customFormat="1" ht="15" spans="1:12">
      <c r="A28" s="3"/>
      <c r="B28" s="9"/>
      <c r="C28" s="10"/>
      <c r="D28" s="10"/>
      <c r="E28" s="38" t="s">
        <v>173</v>
      </c>
      <c r="F28" s="38"/>
      <c r="G28" s="38"/>
      <c r="H28" s="38"/>
      <c r="I28" s="38"/>
      <c r="J28" s="39"/>
      <c r="K28" s="40"/>
      <c r="L28" s="41">
        <f>SUM(L25:L27)</f>
        <v>10.5</v>
      </c>
    </row>
    <row r="29" s="1" customFormat="1" ht="15.6" spans="1:12">
      <c r="A29" s="3"/>
      <c r="B29" s="9"/>
      <c r="C29" s="10"/>
      <c r="D29" s="10"/>
      <c r="E29" s="11" t="s">
        <v>174</v>
      </c>
      <c r="F29" s="11"/>
      <c r="G29" s="11"/>
      <c r="H29" s="43"/>
      <c r="I29" s="10"/>
      <c r="J29" s="44"/>
      <c r="K29" s="11"/>
      <c r="L29" s="45"/>
    </row>
    <row r="30" s="1" customFormat="1" ht="15" spans="1:12">
      <c r="A30" s="3"/>
      <c r="B30" s="9"/>
      <c r="C30" s="10"/>
      <c r="D30" s="10"/>
      <c r="E30" s="11"/>
      <c r="F30" s="11"/>
      <c r="G30" s="11"/>
      <c r="H30" s="13"/>
      <c r="I30" s="11"/>
      <c r="J30" s="44"/>
      <c r="K30" s="11"/>
      <c r="L30" s="45"/>
    </row>
    <row r="31" ht="15" spans="1:12">
      <c r="A31" s="3" t="s">
        <v>51</v>
      </c>
      <c r="B31" s="9" t="s">
        <v>52</v>
      </c>
      <c r="C31" s="15">
        <v>0.3</v>
      </c>
      <c r="D31" s="10"/>
      <c r="E31" s="284"/>
      <c r="F31" s="16"/>
      <c r="G31" s="12">
        <v>1</v>
      </c>
      <c r="H31" s="286" t="s">
        <v>210</v>
      </c>
      <c r="I31" s="294" t="s">
        <v>211</v>
      </c>
      <c r="J31" s="15">
        <v>1</v>
      </c>
      <c r="K31" s="11"/>
      <c r="L31" s="45">
        <v>3.5</v>
      </c>
    </row>
    <row r="32" ht="15" spans="1:12">
      <c r="A32" s="3"/>
      <c r="B32" s="9"/>
      <c r="C32" s="10"/>
      <c r="D32" s="10"/>
      <c r="E32" s="284"/>
      <c r="F32" s="16"/>
      <c r="G32" s="12">
        <v>2</v>
      </c>
      <c r="H32" s="286" t="s">
        <v>212</v>
      </c>
      <c r="I32" s="294" t="s">
        <v>213</v>
      </c>
      <c r="J32" s="15">
        <v>1</v>
      </c>
      <c r="K32" s="11"/>
      <c r="L32" s="45">
        <v>3.5</v>
      </c>
    </row>
    <row r="33" ht="15" spans="1:12">
      <c r="A33" s="3"/>
      <c r="B33" s="9"/>
      <c r="C33" s="10"/>
      <c r="D33" s="10"/>
      <c r="E33" s="284"/>
      <c r="F33" s="16"/>
      <c r="G33" s="12">
        <v>3</v>
      </c>
      <c r="H33" s="286" t="s">
        <v>214</v>
      </c>
      <c r="I33" s="294" t="s">
        <v>215</v>
      </c>
      <c r="J33" s="15">
        <v>1</v>
      </c>
      <c r="K33" s="11"/>
      <c r="L33" s="45">
        <v>2.5</v>
      </c>
    </row>
    <row r="34" ht="15" spans="1:12">
      <c r="A34" s="3"/>
      <c r="B34" s="9"/>
      <c r="C34" s="10"/>
      <c r="D34" s="10"/>
      <c r="E34" s="284"/>
      <c r="F34" s="16"/>
      <c r="G34" s="12">
        <v>4</v>
      </c>
      <c r="H34" s="286" t="s">
        <v>216</v>
      </c>
      <c r="I34" s="294" t="s">
        <v>217</v>
      </c>
      <c r="J34" s="15">
        <v>1</v>
      </c>
      <c r="K34" s="11"/>
      <c r="L34" s="45">
        <v>1.5</v>
      </c>
    </row>
    <row r="35" ht="15" spans="1:12">
      <c r="A35" s="3"/>
      <c r="B35" s="9"/>
      <c r="C35" s="10"/>
      <c r="D35" s="10"/>
      <c r="E35" s="284"/>
      <c r="F35" s="16"/>
      <c r="G35" s="12"/>
      <c r="H35" s="286" t="s">
        <v>218</v>
      </c>
      <c r="I35" s="294" t="s">
        <v>219</v>
      </c>
      <c r="J35" s="15"/>
      <c r="K35" s="11"/>
      <c r="L35" s="45">
        <v>2.5</v>
      </c>
    </row>
    <row r="36" ht="15" spans="1:12">
      <c r="A36" s="3"/>
      <c r="B36" s="9"/>
      <c r="C36" s="10"/>
      <c r="D36" s="10"/>
      <c r="E36" s="295"/>
      <c r="F36" s="21"/>
      <c r="G36" s="10">
        <v>5</v>
      </c>
      <c r="H36" s="286" t="s">
        <v>220</v>
      </c>
      <c r="I36" s="14" t="s">
        <v>52</v>
      </c>
      <c r="J36" s="15">
        <v>1</v>
      </c>
      <c r="K36" s="11"/>
      <c r="L36" s="45">
        <v>3</v>
      </c>
    </row>
    <row r="37" ht="15" spans="1:12">
      <c r="A37" s="3"/>
      <c r="B37" s="9"/>
      <c r="C37" s="10"/>
      <c r="D37" s="10"/>
      <c r="E37" s="38" t="s">
        <v>173</v>
      </c>
      <c r="F37" s="38"/>
      <c r="G37" s="38"/>
      <c r="H37" s="38"/>
      <c r="I37" s="38"/>
      <c r="J37" s="39"/>
      <c r="K37" s="40"/>
      <c r="L37" s="41">
        <f>SUM(L31:L36)</f>
        <v>16.5</v>
      </c>
    </row>
    <row r="38" ht="15" spans="1:12">
      <c r="A38" s="3"/>
      <c r="B38" s="9"/>
      <c r="C38" s="10"/>
      <c r="D38" s="10"/>
      <c r="E38" s="11"/>
      <c r="F38" s="11"/>
      <c r="G38" s="11"/>
      <c r="H38" s="13"/>
      <c r="I38" s="10"/>
      <c r="J38" s="44"/>
      <c r="K38" s="11"/>
      <c r="L38" s="45"/>
    </row>
    <row r="39" ht="15" spans="1:12">
      <c r="A39" s="3"/>
      <c r="B39" s="9"/>
      <c r="C39" s="10"/>
      <c r="D39" s="10"/>
      <c r="E39" s="11"/>
      <c r="F39" s="11"/>
      <c r="G39" s="11"/>
      <c r="H39" s="13"/>
      <c r="I39" s="11"/>
      <c r="J39" s="44"/>
      <c r="K39" s="11"/>
      <c r="L39" s="45"/>
    </row>
    <row r="40" ht="15" spans="1:12">
      <c r="A40" s="3" t="s">
        <v>95</v>
      </c>
      <c r="B40" s="9" t="s">
        <v>52</v>
      </c>
      <c r="C40" s="10"/>
      <c r="D40" s="10"/>
      <c r="E40" s="284"/>
      <c r="F40" s="16"/>
      <c r="G40" s="10">
        <v>1</v>
      </c>
      <c r="H40" s="286" t="s">
        <v>221</v>
      </c>
      <c r="I40" s="14" t="s">
        <v>222</v>
      </c>
      <c r="J40" s="15">
        <v>1</v>
      </c>
      <c r="K40" s="11"/>
      <c r="L40" s="45">
        <v>3</v>
      </c>
    </row>
    <row r="41" ht="15" spans="1:12">
      <c r="A41" s="3"/>
      <c r="B41" s="9"/>
      <c r="C41" s="10"/>
      <c r="D41" s="10"/>
      <c r="E41" s="284"/>
      <c r="F41" s="16"/>
      <c r="G41" s="10">
        <v>2</v>
      </c>
      <c r="H41" s="286" t="s">
        <v>223</v>
      </c>
      <c r="I41" s="14" t="s">
        <v>224</v>
      </c>
      <c r="J41" s="15">
        <v>1</v>
      </c>
      <c r="K41" s="11"/>
      <c r="L41" s="45">
        <v>3.5</v>
      </c>
    </row>
    <row r="42" ht="15" spans="1:12">
      <c r="A42" s="3"/>
      <c r="B42" s="9"/>
      <c r="C42" s="10"/>
      <c r="D42" s="10"/>
      <c r="E42" s="284"/>
      <c r="F42" s="16"/>
      <c r="G42" s="10">
        <v>3</v>
      </c>
      <c r="H42" s="286" t="s">
        <v>225</v>
      </c>
      <c r="I42" s="14" t="s">
        <v>52</v>
      </c>
      <c r="J42" s="15">
        <v>1</v>
      </c>
      <c r="K42" s="11"/>
      <c r="L42" s="45">
        <v>2</v>
      </c>
    </row>
    <row r="43" ht="15" spans="1:12">
      <c r="A43" s="3"/>
      <c r="B43" s="9"/>
      <c r="C43" s="10"/>
      <c r="D43" s="10"/>
      <c r="E43" s="284"/>
      <c r="F43" s="16"/>
      <c r="G43" s="10">
        <v>4</v>
      </c>
      <c r="H43" s="286" t="s">
        <v>226</v>
      </c>
      <c r="I43" s="14" t="s">
        <v>217</v>
      </c>
      <c r="J43" s="15">
        <v>1</v>
      </c>
      <c r="K43" s="11"/>
      <c r="L43" s="45">
        <v>0.5</v>
      </c>
    </row>
    <row r="44" ht="15" spans="1:12">
      <c r="A44" s="3"/>
      <c r="B44" s="9"/>
      <c r="C44" s="10"/>
      <c r="D44" s="10"/>
      <c r="E44" s="284"/>
      <c r="F44" s="16"/>
      <c r="G44" s="10"/>
      <c r="H44" s="286" t="s">
        <v>226</v>
      </c>
      <c r="I44" s="14" t="s">
        <v>213</v>
      </c>
      <c r="J44" s="15"/>
      <c r="K44" s="11"/>
      <c r="L44" s="45">
        <v>1.5</v>
      </c>
    </row>
    <row r="45" ht="15" spans="1:12">
      <c r="A45" s="3"/>
      <c r="B45" s="9"/>
      <c r="C45" s="10"/>
      <c r="D45" s="10"/>
      <c r="E45" s="284"/>
      <c r="F45" s="16"/>
      <c r="G45" s="10">
        <v>4</v>
      </c>
      <c r="H45" s="286" t="s">
        <v>227</v>
      </c>
      <c r="I45" s="14" t="s">
        <v>211</v>
      </c>
      <c r="J45" s="15">
        <v>1</v>
      </c>
      <c r="K45" s="11"/>
      <c r="L45" s="45">
        <v>0.5</v>
      </c>
    </row>
    <row r="46" ht="15" spans="1:12">
      <c r="A46" s="3"/>
      <c r="B46" s="9"/>
      <c r="C46" s="10"/>
      <c r="D46" s="10"/>
      <c r="E46" s="284"/>
      <c r="F46" s="16"/>
      <c r="G46" s="10">
        <v>5</v>
      </c>
      <c r="H46" s="286" t="s">
        <v>228</v>
      </c>
      <c r="I46" s="14" t="s">
        <v>229</v>
      </c>
      <c r="J46" s="15">
        <v>1</v>
      </c>
      <c r="K46" s="11"/>
      <c r="L46" s="45">
        <v>5</v>
      </c>
    </row>
    <row r="47" ht="15" spans="1:12">
      <c r="A47" s="3"/>
      <c r="B47" s="9"/>
      <c r="C47" s="10"/>
      <c r="D47" s="10"/>
      <c r="E47" s="38" t="s">
        <v>173</v>
      </c>
      <c r="F47" s="38"/>
      <c r="G47" s="38"/>
      <c r="H47" s="38"/>
      <c r="I47" s="38"/>
      <c r="J47" s="39"/>
      <c r="K47" s="40"/>
      <c r="L47" s="41">
        <f>SUM(L40:L46)</f>
        <v>16</v>
      </c>
    </row>
    <row r="48" ht="15" spans="1:12">
      <c r="A48" s="3"/>
      <c r="B48" s="9"/>
      <c r="C48" s="10"/>
      <c r="D48" s="10"/>
      <c r="E48" s="11" t="s">
        <v>174</v>
      </c>
      <c r="F48" s="11"/>
      <c r="G48" s="11"/>
      <c r="H48" s="13"/>
      <c r="I48" s="10"/>
      <c r="J48" s="44"/>
      <c r="K48" s="11"/>
      <c r="L48" s="45"/>
    </row>
    <row r="49" ht="15" spans="1:12">
      <c r="A49" s="3"/>
      <c r="B49" s="9"/>
      <c r="C49" s="10"/>
      <c r="D49" s="10"/>
      <c r="E49" s="11"/>
      <c r="F49" s="11"/>
      <c r="G49" s="11"/>
      <c r="H49" s="13"/>
      <c r="I49" s="11"/>
      <c r="J49" s="44"/>
      <c r="K49" s="11"/>
      <c r="L49" s="45"/>
    </row>
    <row r="50" ht="15" spans="1:12">
      <c r="A50" s="296" t="s">
        <v>96</v>
      </c>
      <c r="B50" s="9" t="s">
        <v>63</v>
      </c>
      <c r="C50" s="10"/>
      <c r="D50" s="10"/>
      <c r="E50" s="284"/>
      <c r="F50" s="16"/>
      <c r="G50" s="10">
        <v>1</v>
      </c>
      <c r="H50" s="286" t="s">
        <v>230</v>
      </c>
      <c r="I50" s="14" t="s">
        <v>231</v>
      </c>
      <c r="J50" s="15">
        <v>1</v>
      </c>
      <c r="K50" s="11"/>
      <c r="L50" s="45">
        <v>4</v>
      </c>
    </row>
    <row r="51" ht="45" spans="1:12">
      <c r="A51" s="296"/>
      <c r="B51" s="9"/>
      <c r="C51" s="10"/>
      <c r="D51" s="10"/>
      <c r="E51" s="284"/>
      <c r="F51" s="16"/>
      <c r="G51" s="10">
        <v>2</v>
      </c>
      <c r="H51" s="286" t="s">
        <v>232</v>
      </c>
      <c r="I51" s="14" t="s">
        <v>233</v>
      </c>
      <c r="J51" s="15">
        <v>1</v>
      </c>
      <c r="K51" s="11"/>
      <c r="L51" s="45">
        <v>5</v>
      </c>
    </row>
    <row r="52" ht="15" spans="1:12">
      <c r="A52" s="296"/>
      <c r="B52" s="9"/>
      <c r="C52" s="10"/>
      <c r="D52" s="10"/>
      <c r="E52" s="284"/>
      <c r="F52" s="16"/>
      <c r="G52" s="10">
        <v>3</v>
      </c>
      <c r="H52" s="286" t="s">
        <v>234</v>
      </c>
      <c r="I52" s="14" t="s">
        <v>235</v>
      </c>
      <c r="J52" s="15">
        <v>1</v>
      </c>
      <c r="K52" s="11"/>
      <c r="L52" s="45">
        <v>4</v>
      </c>
    </row>
    <row r="53" ht="15" spans="1:12">
      <c r="A53" s="296"/>
      <c r="B53" s="9"/>
      <c r="C53" s="10"/>
      <c r="D53" s="10"/>
      <c r="E53" s="284"/>
      <c r="F53" s="16"/>
      <c r="G53" s="10">
        <v>4</v>
      </c>
      <c r="H53" s="286" t="s">
        <v>236</v>
      </c>
      <c r="I53" s="14" t="s">
        <v>222</v>
      </c>
      <c r="J53" s="15"/>
      <c r="K53" s="11"/>
      <c r="L53" s="45">
        <v>1</v>
      </c>
    </row>
    <row r="54" ht="15" spans="1:12">
      <c r="A54" s="296"/>
      <c r="B54" s="9"/>
      <c r="C54" s="10"/>
      <c r="D54" s="10"/>
      <c r="E54" s="284"/>
      <c r="F54" s="16"/>
      <c r="G54" s="10">
        <v>5</v>
      </c>
      <c r="H54" s="286" t="s">
        <v>236</v>
      </c>
      <c r="I54" s="14" t="s">
        <v>224</v>
      </c>
      <c r="J54" s="15"/>
      <c r="K54" s="11"/>
      <c r="L54" s="45">
        <v>1.5</v>
      </c>
    </row>
    <row r="55" ht="15" spans="1:12">
      <c r="A55" s="296"/>
      <c r="B55" s="9"/>
      <c r="C55" s="10"/>
      <c r="D55" s="10"/>
      <c r="E55" s="284"/>
      <c r="F55" s="16"/>
      <c r="G55" s="10">
        <v>7</v>
      </c>
      <c r="H55" s="286" t="s">
        <v>237</v>
      </c>
      <c r="I55" s="14" t="s">
        <v>238</v>
      </c>
      <c r="J55" s="15">
        <v>1</v>
      </c>
      <c r="K55" s="11"/>
      <c r="L55" s="45">
        <v>3.5</v>
      </c>
    </row>
    <row r="56" ht="15" spans="1:12">
      <c r="A56" s="296"/>
      <c r="B56" s="9"/>
      <c r="C56" s="10"/>
      <c r="D56" s="10"/>
      <c r="E56" s="284"/>
      <c r="F56" s="16"/>
      <c r="G56" s="10">
        <v>8</v>
      </c>
      <c r="H56" s="286" t="s">
        <v>239</v>
      </c>
      <c r="I56" s="14" t="s">
        <v>63</v>
      </c>
      <c r="J56" s="15"/>
      <c r="K56" s="11"/>
      <c r="L56" s="45">
        <v>4</v>
      </c>
    </row>
    <row r="57" ht="15" spans="1:12">
      <c r="A57" s="296"/>
      <c r="B57" s="9"/>
      <c r="C57" s="10"/>
      <c r="D57" s="10"/>
      <c r="E57" s="38" t="s">
        <v>173</v>
      </c>
      <c r="F57" s="38"/>
      <c r="G57" s="38"/>
      <c r="H57" s="38"/>
      <c r="I57" s="38"/>
      <c r="J57" s="39"/>
      <c r="K57" s="40"/>
      <c r="L57" s="41">
        <f>SUM(L50:L56)</f>
        <v>23</v>
      </c>
    </row>
    <row r="58" ht="15.6" spans="1:12">
      <c r="A58" s="296"/>
      <c r="B58" s="9"/>
      <c r="C58" s="10"/>
      <c r="D58" s="10"/>
      <c r="E58" s="11" t="s">
        <v>174</v>
      </c>
      <c r="F58" s="11"/>
      <c r="G58" s="11"/>
      <c r="H58" s="43"/>
      <c r="I58" s="10"/>
      <c r="J58" s="44"/>
      <c r="K58" s="11"/>
      <c r="L58" s="45"/>
    </row>
    <row r="59" ht="15" spans="1:12">
      <c r="A59" s="297"/>
      <c r="B59" s="9"/>
      <c r="C59" s="10"/>
      <c r="D59" s="10"/>
      <c r="E59" s="11"/>
      <c r="F59" s="11"/>
      <c r="G59" s="11"/>
      <c r="H59" s="13"/>
      <c r="I59" s="11"/>
      <c r="J59" s="44"/>
      <c r="K59" s="11"/>
      <c r="L59" s="45"/>
    </row>
    <row r="60" ht="15" spans="1:12">
      <c r="A60" s="298" t="s">
        <v>97</v>
      </c>
      <c r="B60" s="9" t="s">
        <v>63</v>
      </c>
      <c r="C60" s="10"/>
      <c r="D60" s="10"/>
      <c r="E60" s="284"/>
      <c r="F60" s="16"/>
      <c r="G60" s="10">
        <v>1</v>
      </c>
      <c r="H60" s="286" t="s">
        <v>240</v>
      </c>
      <c r="I60" s="14" t="s">
        <v>222</v>
      </c>
      <c r="J60" s="15">
        <v>1</v>
      </c>
      <c r="K60" s="11"/>
      <c r="L60" s="45">
        <v>0.5</v>
      </c>
    </row>
    <row r="61" ht="15" spans="1:12">
      <c r="A61" s="296"/>
      <c r="B61" s="9"/>
      <c r="C61" s="10"/>
      <c r="D61" s="10"/>
      <c r="E61" s="284"/>
      <c r="F61" s="16"/>
      <c r="G61" s="10">
        <v>2</v>
      </c>
      <c r="H61" s="286" t="s">
        <v>240</v>
      </c>
      <c r="I61" s="14" t="s">
        <v>235</v>
      </c>
      <c r="J61" s="15">
        <v>1</v>
      </c>
      <c r="K61" s="11"/>
      <c r="L61" s="45">
        <v>1</v>
      </c>
    </row>
    <row r="62" ht="15" spans="1:12">
      <c r="A62" s="296"/>
      <c r="B62" s="9"/>
      <c r="C62" s="10"/>
      <c r="D62" s="10"/>
      <c r="E62" s="284"/>
      <c r="F62" s="16"/>
      <c r="G62" s="10">
        <v>4</v>
      </c>
      <c r="H62" s="286"/>
      <c r="I62" s="14"/>
      <c r="J62" s="15"/>
      <c r="K62" s="11"/>
      <c r="L62" s="45"/>
    </row>
    <row r="63" ht="15" spans="1:12">
      <c r="A63" s="296"/>
      <c r="B63" s="9"/>
      <c r="C63" s="10"/>
      <c r="D63" s="10"/>
      <c r="E63" s="38" t="s">
        <v>173</v>
      </c>
      <c r="F63" s="38"/>
      <c r="G63" s="38"/>
      <c r="H63" s="38"/>
      <c r="I63" s="38"/>
      <c r="J63" s="39"/>
      <c r="K63" s="40"/>
      <c r="L63" s="41">
        <f>SUM(L60:L62)</f>
        <v>1.5</v>
      </c>
    </row>
    <row r="64" ht="15.6" spans="1:12">
      <c r="A64" s="296"/>
      <c r="B64" s="9"/>
      <c r="C64" s="10"/>
      <c r="D64" s="10"/>
      <c r="E64" s="11" t="s">
        <v>174</v>
      </c>
      <c r="F64" s="11"/>
      <c r="G64" s="11"/>
      <c r="H64" s="43"/>
      <c r="I64" s="10"/>
      <c r="J64" s="44"/>
      <c r="K64" s="11"/>
      <c r="L64" s="45"/>
    </row>
    <row r="65" ht="15" spans="1:12">
      <c r="A65" s="297"/>
      <c r="B65" s="9"/>
      <c r="C65" s="10"/>
      <c r="D65" s="10"/>
      <c r="E65" s="11"/>
      <c r="F65" s="11"/>
      <c r="G65" s="11"/>
      <c r="H65" s="13"/>
      <c r="I65" s="11"/>
      <c r="J65" s="44"/>
      <c r="K65" s="11"/>
      <c r="L65" s="45"/>
    </row>
  </sheetData>
  <mergeCells count="76">
    <mergeCell ref="E5:H5"/>
    <mergeCell ref="E11:H11"/>
    <mergeCell ref="E22:H22"/>
    <mergeCell ref="E28:H28"/>
    <mergeCell ref="E37:H37"/>
    <mergeCell ref="E47:H47"/>
    <mergeCell ref="E57:H57"/>
    <mergeCell ref="E63:H63"/>
    <mergeCell ref="A2:A7"/>
    <mergeCell ref="A8:A13"/>
    <mergeCell ref="A14:A24"/>
    <mergeCell ref="A25:A30"/>
    <mergeCell ref="A31:A39"/>
    <mergeCell ref="A40:A49"/>
    <mergeCell ref="A50:A59"/>
    <mergeCell ref="A60:A65"/>
    <mergeCell ref="B2:B7"/>
    <mergeCell ref="B8:B13"/>
    <mergeCell ref="B14:B24"/>
    <mergeCell ref="B25:B30"/>
    <mergeCell ref="B31:B39"/>
    <mergeCell ref="B40:B49"/>
    <mergeCell ref="B50:B59"/>
    <mergeCell ref="B60:B65"/>
    <mergeCell ref="C2:C7"/>
    <mergeCell ref="C8:C13"/>
    <mergeCell ref="C14:C24"/>
    <mergeCell ref="C25:C30"/>
    <mergeCell ref="C31:C39"/>
    <mergeCell ref="C40:C49"/>
    <mergeCell ref="C50:C59"/>
    <mergeCell ref="C60:C65"/>
    <mergeCell ref="D2:D7"/>
    <mergeCell ref="D8:D13"/>
    <mergeCell ref="D14:D24"/>
    <mergeCell ref="D25:D30"/>
    <mergeCell ref="D31:D39"/>
    <mergeCell ref="D40:D49"/>
    <mergeCell ref="D50:D59"/>
    <mergeCell ref="D60:D65"/>
    <mergeCell ref="E2:E4"/>
    <mergeCell ref="E6:E7"/>
    <mergeCell ref="E8:E9"/>
    <mergeCell ref="E12:E13"/>
    <mergeCell ref="E14:E16"/>
    <mergeCell ref="E23:E24"/>
    <mergeCell ref="E25:E27"/>
    <mergeCell ref="E29:E30"/>
    <mergeCell ref="E31:E36"/>
    <mergeCell ref="E38:E39"/>
    <mergeCell ref="E40:E46"/>
    <mergeCell ref="E48:E49"/>
    <mergeCell ref="E50:E56"/>
    <mergeCell ref="E58:E59"/>
    <mergeCell ref="E60:E62"/>
    <mergeCell ref="E64:E65"/>
    <mergeCell ref="F2:F4"/>
    <mergeCell ref="F6:F7"/>
    <mergeCell ref="F8:F9"/>
    <mergeCell ref="F12:F13"/>
    <mergeCell ref="F14:F16"/>
    <mergeCell ref="F23:F24"/>
    <mergeCell ref="F25:F27"/>
    <mergeCell ref="F29:F30"/>
    <mergeCell ref="F31:F36"/>
    <mergeCell ref="F38:F39"/>
    <mergeCell ref="F40:F46"/>
    <mergeCell ref="F48:F49"/>
    <mergeCell ref="F50:F56"/>
    <mergeCell ref="F58:F59"/>
    <mergeCell ref="F60:F62"/>
    <mergeCell ref="F64:F65"/>
    <mergeCell ref="G17:G19"/>
    <mergeCell ref="G20:G21"/>
    <mergeCell ref="H17:H19"/>
    <mergeCell ref="H20:H2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2"/>
  <sheetViews>
    <sheetView workbookViewId="0">
      <pane ySplit="1" topLeftCell="A2" activePane="bottomLeft" state="frozen"/>
      <selection/>
      <selection pane="bottomLeft" activeCell="A41" sqref="A41"/>
    </sheetView>
  </sheetViews>
  <sheetFormatPr defaultColWidth="8.71296296296296" defaultRowHeight="13.2"/>
  <cols>
    <col min="1" max="1" width="22.4259259259259" style="255" customWidth="1"/>
    <col min="2" max="2" width="11.7222222222222" style="255" customWidth="1"/>
    <col min="3" max="7" width="9.14814814814815" style="255"/>
    <col min="8" max="8" width="59.7222222222222" style="255" customWidth="1"/>
    <col min="9" max="11" width="9.14814814814815" style="255"/>
    <col min="12" max="12" width="19.5740740740741" style="256" customWidth="1"/>
    <col min="13" max="16384" width="9.14814814814815" style="255"/>
  </cols>
  <sheetData>
    <row r="1" ht="69.6" spans="1:26">
      <c r="A1" s="257" t="s">
        <v>148</v>
      </c>
      <c r="B1" s="258" t="s">
        <v>6</v>
      </c>
      <c r="C1" s="257" t="s">
        <v>149</v>
      </c>
      <c r="D1" s="257" t="s">
        <v>150</v>
      </c>
      <c r="E1" s="258" t="s">
        <v>151</v>
      </c>
      <c r="F1" s="257" t="s">
        <v>152</v>
      </c>
      <c r="G1" s="257" t="s">
        <v>1</v>
      </c>
      <c r="H1" s="259" t="s">
        <v>153</v>
      </c>
      <c r="I1" s="257" t="s">
        <v>154</v>
      </c>
      <c r="J1" s="260" t="s">
        <v>155</v>
      </c>
      <c r="K1" s="257" t="s">
        <v>156</v>
      </c>
      <c r="L1" s="261" t="s">
        <v>157</v>
      </c>
      <c r="M1" s="262"/>
      <c r="N1" s="262"/>
      <c r="O1" s="262"/>
      <c r="P1" s="262"/>
      <c r="Q1" s="262"/>
      <c r="R1" s="262"/>
      <c r="S1" s="262"/>
      <c r="T1" s="262"/>
      <c r="U1" s="262"/>
      <c r="V1" s="262"/>
      <c r="W1" s="262"/>
      <c r="X1" s="262"/>
      <c r="Y1" s="262"/>
      <c r="Z1" s="262"/>
    </row>
    <row r="2" ht="15.6" spans="1:26">
      <c r="A2" s="257" t="s">
        <v>241</v>
      </c>
      <c r="B2" s="263" t="s">
        <v>59</v>
      </c>
      <c r="C2" s="264">
        <v>1</v>
      </c>
      <c r="D2" s="265"/>
      <c r="E2" s="266" t="s">
        <v>176</v>
      </c>
      <c r="F2" s="265" t="s">
        <v>194</v>
      </c>
      <c r="G2" s="265">
        <v>1</v>
      </c>
      <c r="H2" s="267" t="s">
        <v>242</v>
      </c>
      <c r="I2" s="14" t="s">
        <v>243</v>
      </c>
      <c r="J2" s="264">
        <v>1</v>
      </c>
      <c r="K2" s="266"/>
      <c r="L2" s="263">
        <v>2</v>
      </c>
    </row>
    <row r="3" ht="27" customHeight="1" spans="1:26">
      <c r="A3" s="257"/>
      <c r="B3" s="263"/>
      <c r="C3" s="264"/>
      <c r="D3" s="265"/>
      <c r="E3" s="38" t="s">
        <v>173</v>
      </c>
      <c r="F3" s="38"/>
      <c r="G3" s="38"/>
      <c r="H3" s="38"/>
      <c r="I3" s="38"/>
      <c r="J3" s="39"/>
      <c r="K3" s="40"/>
      <c r="L3" s="41">
        <f>SUM(L2:L2)</f>
        <v>2</v>
      </c>
    </row>
    <row r="4" ht="15.6" spans="1:26">
      <c r="A4" s="257"/>
      <c r="B4" s="263"/>
      <c r="C4" s="264"/>
      <c r="D4" s="265"/>
      <c r="E4" s="266" t="s">
        <v>174</v>
      </c>
      <c r="F4" s="266" t="s">
        <v>194</v>
      </c>
      <c r="G4" s="266">
        <v>1</v>
      </c>
      <c r="H4" s="268" t="s">
        <v>244</v>
      </c>
      <c r="I4" s="265" t="s">
        <v>243</v>
      </c>
      <c r="J4" s="269"/>
      <c r="K4" s="266"/>
      <c r="L4" s="270"/>
    </row>
    <row r="5" ht="15" spans="1:26">
      <c r="A5" s="271" t="s">
        <v>245</v>
      </c>
      <c r="B5" s="272" t="s">
        <v>63</v>
      </c>
      <c r="C5" s="273">
        <v>0.85</v>
      </c>
      <c r="D5" s="274"/>
      <c r="E5" s="275" t="s">
        <v>176</v>
      </c>
      <c r="F5" s="274" t="s">
        <v>53</v>
      </c>
      <c r="G5" s="265">
        <v>1</v>
      </c>
      <c r="H5" s="267" t="s">
        <v>246</v>
      </c>
      <c r="I5" s="14" t="s">
        <v>215</v>
      </c>
      <c r="J5" s="264">
        <v>0.95</v>
      </c>
      <c r="K5" s="266"/>
      <c r="L5" s="270">
        <v>0.5</v>
      </c>
    </row>
    <row r="6" ht="15" spans="1:26">
      <c r="A6" s="276"/>
      <c r="B6" s="277"/>
      <c r="C6" s="278"/>
      <c r="D6" s="279"/>
      <c r="E6" s="275"/>
      <c r="F6" s="274"/>
      <c r="G6" s="265"/>
      <c r="H6" s="267"/>
      <c r="I6" s="14" t="s">
        <v>247</v>
      </c>
      <c r="J6" s="264"/>
      <c r="K6" s="266"/>
      <c r="L6" s="270">
        <v>0.5</v>
      </c>
    </row>
    <row r="7" ht="15" spans="1:26">
      <c r="A7" s="276"/>
      <c r="B7" s="277"/>
      <c r="C7" s="278"/>
      <c r="D7" s="279"/>
      <c r="E7" s="275"/>
      <c r="F7" s="274"/>
      <c r="G7" s="265"/>
      <c r="H7" s="267"/>
      <c r="I7" s="14" t="s">
        <v>219</v>
      </c>
      <c r="J7" s="264"/>
      <c r="K7" s="266"/>
      <c r="L7" s="270">
        <v>2</v>
      </c>
    </row>
    <row r="8" ht="15" spans="1:26">
      <c r="A8" s="276"/>
      <c r="B8" s="277"/>
      <c r="C8" s="278"/>
      <c r="D8" s="279"/>
      <c r="E8" s="275"/>
      <c r="F8" s="274"/>
      <c r="G8" s="265"/>
      <c r="H8" s="267"/>
      <c r="I8" s="14" t="s">
        <v>217</v>
      </c>
      <c r="J8" s="264"/>
      <c r="K8" s="266"/>
      <c r="L8" s="270">
        <v>3.5</v>
      </c>
    </row>
    <row r="9" ht="15" spans="1:26">
      <c r="A9" s="276"/>
      <c r="B9" s="277"/>
      <c r="C9" s="278"/>
      <c r="D9" s="279"/>
      <c r="E9" s="38" t="s">
        <v>173</v>
      </c>
      <c r="F9" s="38"/>
      <c r="G9" s="38"/>
      <c r="H9" s="38"/>
      <c r="I9" s="38"/>
      <c r="J9" s="39"/>
      <c r="K9" s="40"/>
      <c r="L9" s="41">
        <f>SUM(L5:L8)</f>
        <v>6.5</v>
      </c>
    </row>
    <row r="10" ht="15" spans="1:26">
      <c r="A10" s="276"/>
      <c r="B10" s="277"/>
      <c r="C10" s="278"/>
      <c r="D10" s="279"/>
      <c r="E10" s="275" t="s">
        <v>174</v>
      </c>
      <c r="F10" s="274" t="s">
        <v>53</v>
      </c>
      <c r="G10" s="265">
        <v>1</v>
      </c>
      <c r="H10" s="280" t="s">
        <v>248</v>
      </c>
      <c r="I10" s="14" t="s">
        <v>215</v>
      </c>
      <c r="J10" s="281"/>
      <c r="K10" s="266"/>
      <c r="L10" s="270"/>
    </row>
    <row r="11" ht="15" spans="1:26">
      <c r="A11" s="276"/>
      <c r="B11" s="277"/>
      <c r="C11" s="278"/>
      <c r="D11" s="279"/>
      <c r="E11" s="275"/>
      <c r="F11" s="274"/>
      <c r="G11" s="265">
        <v>2</v>
      </c>
      <c r="H11" s="267" t="s">
        <v>249</v>
      </c>
      <c r="I11" s="14" t="s">
        <v>247</v>
      </c>
      <c r="J11" s="264"/>
      <c r="K11" s="266"/>
      <c r="L11" s="270"/>
    </row>
    <row r="12" ht="15" spans="1:26">
      <c r="A12" s="257" t="s">
        <v>250</v>
      </c>
      <c r="B12" s="263" t="s">
        <v>146</v>
      </c>
      <c r="C12" s="265"/>
      <c r="D12" s="265"/>
      <c r="E12" s="266" t="s">
        <v>176</v>
      </c>
      <c r="F12" s="265" t="s">
        <v>136</v>
      </c>
      <c r="G12" s="265">
        <v>1</v>
      </c>
      <c r="H12" s="267" t="s">
        <v>251</v>
      </c>
      <c r="I12" s="14" t="s">
        <v>252</v>
      </c>
      <c r="J12" s="264">
        <v>0.98</v>
      </c>
      <c r="K12" s="266"/>
      <c r="L12" s="270">
        <v>4.5</v>
      </c>
    </row>
    <row r="13" ht="15" spans="1:26">
      <c r="A13" s="257"/>
      <c r="B13" s="263"/>
      <c r="C13" s="265"/>
      <c r="D13" s="265"/>
      <c r="E13" s="266"/>
      <c r="F13" s="265"/>
      <c r="G13" s="265"/>
      <c r="H13" s="267"/>
      <c r="I13" s="14" t="s">
        <v>40</v>
      </c>
      <c r="J13" s="264"/>
      <c r="K13" s="266"/>
      <c r="L13" s="270">
        <v>5</v>
      </c>
    </row>
    <row r="14" ht="15" spans="1:26">
      <c r="A14" s="257"/>
      <c r="B14" s="263"/>
      <c r="C14" s="265"/>
      <c r="D14" s="265"/>
      <c r="E14" s="266"/>
      <c r="F14" s="265"/>
      <c r="G14" s="265"/>
      <c r="H14" s="267"/>
      <c r="I14" s="14" t="s">
        <v>253</v>
      </c>
      <c r="J14" s="264"/>
      <c r="K14" s="266"/>
      <c r="L14" s="270">
        <v>5</v>
      </c>
    </row>
    <row r="15" ht="15" spans="1:26">
      <c r="A15" s="257"/>
      <c r="B15" s="263"/>
      <c r="C15" s="265"/>
      <c r="D15" s="265"/>
      <c r="E15" s="266"/>
      <c r="F15" s="265"/>
      <c r="G15" s="265"/>
      <c r="H15" s="267"/>
      <c r="I15" s="14" t="s">
        <v>59</v>
      </c>
      <c r="J15" s="264"/>
      <c r="K15" s="266"/>
      <c r="L15" s="270">
        <v>0.5</v>
      </c>
    </row>
    <row r="16" ht="15" spans="1:26">
      <c r="A16" s="257"/>
      <c r="B16" s="263"/>
      <c r="C16" s="265"/>
      <c r="D16" s="265"/>
      <c r="E16" s="266"/>
      <c r="F16" s="265"/>
      <c r="G16" s="265"/>
      <c r="H16" s="267"/>
      <c r="I16" s="14" t="s">
        <v>247</v>
      </c>
      <c r="J16" s="264"/>
      <c r="K16" s="266"/>
      <c r="L16" s="270">
        <v>1.5</v>
      </c>
    </row>
    <row r="17" ht="15" spans="1:12">
      <c r="A17" s="257"/>
      <c r="B17" s="263"/>
      <c r="C17" s="265"/>
      <c r="D17" s="265"/>
      <c r="E17" s="266"/>
      <c r="F17" s="265"/>
      <c r="G17" s="265">
        <v>2</v>
      </c>
      <c r="H17" s="267" t="s">
        <v>254</v>
      </c>
      <c r="I17" s="266" t="s">
        <v>247</v>
      </c>
      <c r="J17" s="264">
        <v>1</v>
      </c>
      <c r="K17" s="266"/>
      <c r="L17" s="270">
        <v>0.5</v>
      </c>
    </row>
    <row r="18" ht="15" spans="1:12">
      <c r="A18" s="257"/>
      <c r="B18" s="263"/>
      <c r="C18" s="265"/>
      <c r="D18" s="265"/>
      <c r="E18" s="266"/>
      <c r="F18" s="265"/>
      <c r="G18" s="265">
        <v>3</v>
      </c>
      <c r="H18" s="267" t="s">
        <v>255</v>
      </c>
      <c r="I18" s="266" t="s">
        <v>59</v>
      </c>
      <c r="J18" s="264">
        <v>1</v>
      </c>
      <c r="K18" s="266"/>
      <c r="L18" s="270">
        <v>2</v>
      </c>
    </row>
    <row r="19" ht="15" spans="1:12">
      <c r="A19" s="257"/>
      <c r="B19" s="263"/>
      <c r="C19" s="265"/>
      <c r="D19" s="265"/>
      <c r="E19" s="266"/>
      <c r="F19" s="265"/>
      <c r="G19" s="280"/>
      <c r="H19" s="267"/>
      <c r="I19" s="266" t="s">
        <v>247</v>
      </c>
      <c r="J19" s="264"/>
      <c r="K19" s="266"/>
      <c r="L19" s="270">
        <v>1.5</v>
      </c>
    </row>
    <row r="20" ht="15" spans="1:12">
      <c r="A20" s="257"/>
      <c r="B20" s="263"/>
      <c r="C20" s="265"/>
      <c r="D20" s="265"/>
      <c r="E20" s="38" t="s">
        <v>173</v>
      </c>
      <c r="F20" s="38"/>
      <c r="G20" s="38"/>
      <c r="H20" s="38"/>
      <c r="I20" s="38"/>
      <c r="J20" s="39"/>
      <c r="K20" s="40"/>
      <c r="L20" s="41">
        <f>SUM(L12:L19)</f>
        <v>20.5</v>
      </c>
    </row>
    <row r="21" ht="15" spans="1:12">
      <c r="A21" s="257"/>
      <c r="B21" s="263"/>
      <c r="C21" s="265"/>
      <c r="D21" s="265"/>
      <c r="E21" s="266" t="s">
        <v>174</v>
      </c>
      <c r="F21" s="266" t="s">
        <v>136</v>
      </c>
      <c r="G21" s="265">
        <v>1</v>
      </c>
      <c r="H21" s="280" t="s">
        <v>256</v>
      </c>
      <c r="I21" s="14" t="s">
        <v>59</v>
      </c>
      <c r="J21" s="269"/>
      <c r="K21" s="266"/>
      <c r="L21" s="270"/>
    </row>
    <row r="22" ht="15" spans="1:12">
      <c r="A22" s="257"/>
      <c r="B22" s="263"/>
      <c r="C22" s="265"/>
      <c r="D22" s="265"/>
      <c r="E22" s="266"/>
      <c r="F22" s="266"/>
      <c r="G22" s="265">
        <v>2</v>
      </c>
      <c r="H22" s="267" t="s">
        <v>257</v>
      </c>
      <c r="I22" s="14" t="s">
        <v>247</v>
      </c>
      <c r="J22" s="269"/>
      <c r="K22" s="266"/>
      <c r="L22" s="270"/>
    </row>
  </sheetData>
  <mergeCells count="32">
    <mergeCell ref="E3:H3"/>
    <mergeCell ref="E9:H9"/>
    <mergeCell ref="E20:H20"/>
    <mergeCell ref="A2:A4"/>
    <mergeCell ref="A5:A11"/>
    <mergeCell ref="A12:A22"/>
    <mergeCell ref="B2:B4"/>
    <mergeCell ref="B5:B11"/>
    <mergeCell ref="B12:B22"/>
    <mergeCell ref="C2:C4"/>
    <mergeCell ref="C5:C11"/>
    <mergeCell ref="C12:C22"/>
    <mergeCell ref="D2:D4"/>
    <mergeCell ref="D5:D11"/>
    <mergeCell ref="D12:D22"/>
    <mergeCell ref="E5:E8"/>
    <mergeCell ref="E10:E11"/>
    <mergeCell ref="E12:E19"/>
    <mergeCell ref="E21:E22"/>
    <mergeCell ref="F5:F8"/>
    <mergeCell ref="F10:F11"/>
    <mergeCell ref="F12:F19"/>
    <mergeCell ref="F21:F22"/>
    <mergeCell ref="G5:G8"/>
    <mergeCell ref="G12:G16"/>
    <mergeCell ref="G18:G19"/>
    <mergeCell ref="H5:H8"/>
    <mergeCell ref="H12:H16"/>
    <mergeCell ref="H18:H19"/>
    <mergeCell ref="J5:J8"/>
    <mergeCell ref="J12:J16"/>
    <mergeCell ref="J18:J19"/>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7"/>
  <sheetViews>
    <sheetView workbookViewId="0">
      <pane ySplit="1" topLeftCell="A2" activePane="bottomLeft" state="frozen"/>
      <selection/>
      <selection pane="bottomLeft" activeCell="H16" sqref="H16:H18"/>
    </sheetView>
  </sheetViews>
  <sheetFormatPr defaultColWidth="9.13888888888889" defaultRowHeight="13.2"/>
  <cols>
    <col min="1" max="1" width="22.4259259259259" style="1" customWidth="1"/>
    <col min="2" max="2" width="11.712962962963" style="1" customWidth="1"/>
    <col min="3" max="3" width="12.5" style="1"/>
    <col min="4" max="7" width="9.13888888888889" style="1"/>
    <col min="8" max="8" width="59.712962962963" style="1" customWidth="1"/>
    <col min="9" max="11" width="9.13888888888889" style="1"/>
    <col min="12" max="12" width="19.5740740740741" style="2" customWidth="1"/>
    <col min="13" max="16384" width="9.13888888888889" style="1"/>
  </cols>
  <sheetData>
    <row r="1" ht="51.75" customHeight="1" spans="1:26">
      <c r="A1" s="3" t="s">
        <v>148</v>
      </c>
      <c r="B1" s="4" t="s">
        <v>6</v>
      </c>
      <c r="C1" s="3" t="s">
        <v>149</v>
      </c>
      <c r="D1" s="3" t="s">
        <v>150</v>
      </c>
      <c r="E1" s="4" t="s">
        <v>151</v>
      </c>
      <c r="F1" s="3" t="s">
        <v>152</v>
      </c>
      <c r="G1" s="3" t="s">
        <v>1</v>
      </c>
      <c r="H1" s="5" t="s">
        <v>153</v>
      </c>
      <c r="I1" s="3" t="s">
        <v>154</v>
      </c>
      <c r="J1" s="6" t="s">
        <v>155</v>
      </c>
      <c r="K1" s="3" t="s">
        <v>156</v>
      </c>
      <c r="L1" s="7" t="s">
        <v>157</v>
      </c>
      <c r="M1" s="8"/>
      <c r="N1" s="8"/>
      <c r="O1" s="8"/>
      <c r="P1" s="8"/>
      <c r="Q1" s="8"/>
      <c r="R1" s="8"/>
      <c r="S1" s="8"/>
      <c r="T1" s="8"/>
      <c r="U1" s="8"/>
      <c r="V1" s="8"/>
      <c r="W1" s="8"/>
      <c r="X1" s="8"/>
      <c r="Y1" s="8"/>
      <c r="Z1" s="8"/>
    </row>
    <row r="2" ht="15" spans="1:26">
      <c r="A2" s="204" t="s">
        <v>258</v>
      </c>
      <c r="B2" s="205" t="s">
        <v>70</v>
      </c>
      <c r="C2" s="206" t="s">
        <v>192</v>
      </c>
      <c r="D2" s="207"/>
      <c r="E2" s="208" t="s">
        <v>176</v>
      </c>
      <c r="F2" s="207" t="s">
        <v>53</v>
      </c>
      <c r="G2" s="21">
        <v>1</v>
      </c>
      <c r="H2" s="99"/>
      <c r="I2" s="209"/>
      <c r="J2" s="114"/>
      <c r="K2" s="210"/>
      <c r="L2" s="211"/>
    </row>
    <row r="3" ht="15" spans="1:26">
      <c r="A3" s="212"/>
      <c r="B3" s="213"/>
      <c r="C3" s="214"/>
      <c r="D3" s="210"/>
      <c r="E3" s="215"/>
      <c r="F3" s="210"/>
      <c r="G3" s="10">
        <v>2</v>
      </c>
      <c r="H3" s="105"/>
      <c r="I3" s="209"/>
      <c r="J3" s="114"/>
      <c r="K3" s="210"/>
      <c r="L3" s="211"/>
    </row>
    <row r="4" ht="15" spans="1:26">
      <c r="A4" s="212"/>
      <c r="B4" s="213"/>
      <c r="C4" s="214"/>
      <c r="D4" s="210"/>
      <c r="E4" s="216"/>
      <c r="F4" s="217"/>
      <c r="G4" s="12">
        <v>3</v>
      </c>
      <c r="H4" s="218"/>
      <c r="I4" s="209"/>
      <c r="J4" s="114"/>
      <c r="K4" s="209"/>
      <c r="L4" s="211"/>
    </row>
    <row r="5" ht="15" spans="1:26">
      <c r="A5" s="212"/>
      <c r="B5" s="213"/>
      <c r="C5" s="214"/>
      <c r="D5" s="210"/>
      <c r="E5" s="219" t="s">
        <v>173</v>
      </c>
      <c r="F5" s="220"/>
      <c r="G5" s="220"/>
      <c r="H5" s="221"/>
      <c r="I5" s="222"/>
      <c r="J5" s="223"/>
      <c r="K5" s="224"/>
      <c r="L5" s="225">
        <f>SUM(L2:L4)</f>
        <v>0</v>
      </c>
    </row>
    <row r="6" ht="15.6" spans="1:26">
      <c r="A6" s="212"/>
      <c r="B6" s="213"/>
      <c r="C6" s="214"/>
      <c r="D6" s="210"/>
      <c r="E6" s="208" t="s">
        <v>174</v>
      </c>
      <c r="F6" s="226" t="s">
        <v>53</v>
      </c>
      <c r="G6" s="21">
        <v>1</v>
      </c>
      <c r="H6" s="227"/>
      <c r="I6" s="210"/>
      <c r="J6" s="228"/>
      <c r="K6" s="215"/>
      <c r="L6" s="211"/>
    </row>
    <row r="7" ht="15.6" spans="1:26">
      <c r="A7" s="212"/>
      <c r="B7" s="213"/>
      <c r="C7" s="214"/>
      <c r="D7" s="210"/>
      <c r="E7" s="215"/>
      <c r="F7" s="229"/>
      <c r="G7" s="10">
        <v>2</v>
      </c>
      <c r="H7" s="230"/>
      <c r="I7" s="215"/>
      <c r="J7" s="228"/>
      <c r="K7" s="215"/>
      <c r="L7" s="211"/>
    </row>
    <row r="8" ht="51" customHeight="1" spans="1:26">
      <c r="A8" s="204" t="s">
        <v>259</v>
      </c>
      <c r="B8" s="205" t="s">
        <v>70</v>
      </c>
      <c r="C8" s="206" t="s">
        <v>260</v>
      </c>
      <c r="D8" s="207"/>
      <c r="E8" s="208" t="s">
        <v>176</v>
      </c>
      <c r="F8" s="207" t="s">
        <v>53</v>
      </c>
      <c r="G8" s="10">
        <v>1</v>
      </c>
      <c r="H8" s="231" t="s">
        <v>261</v>
      </c>
      <c r="I8" s="232" t="s">
        <v>80</v>
      </c>
      <c r="J8" s="114">
        <v>1</v>
      </c>
      <c r="K8" s="210"/>
      <c r="L8" s="211">
        <v>5</v>
      </c>
    </row>
    <row r="9" ht="45" customHeight="1" spans="1:26">
      <c r="A9" s="204"/>
      <c r="B9" s="205"/>
      <c r="C9" s="206"/>
      <c r="D9" s="207"/>
      <c r="E9" s="208"/>
      <c r="F9" s="207"/>
      <c r="G9" s="10">
        <v>2</v>
      </c>
      <c r="H9" s="233"/>
      <c r="I9" s="232" t="s">
        <v>70</v>
      </c>
      <c r="J9" s="114">
        <v>1</v>
      </c>
      <c r="K9" s="210"/>
      <c r="L9" s="211">
        <v>1</v>
      </c>
    </row>
    <row r="10" ht="45" customHeight="1" spans="1:26">
      <c r="A10" s="204"/>
      <c r="B10" s="205"/>
      <c r="C10" s="206"/>
      <c r="D10" s="207"/>
      <c r="E10" s="208"/>
      <c r="F10" s="207"/>
      <c r="G10" s="10">
        <v>3</v>
      </c>
      <c r="H10" s="233"/>
      <c r="I10" s="232" t="s">
        <v>262</v>
      </c>
      <c r="J10" s="114">
        <v>1</v>
      </c>
      <c r="K10" s="210"/>
      <c r="L10" s="211">
        <v>0.75</v>
      </c>
    </row>
    <row r="11" ht="58" customHeight="1" spans="1:26">
      <c r="A11" s="204"/>
      <c r="B11" s="205"/>
      <c r="C11" s="206"/>
      <c r="D11" s="207"/>
      <c r="E11" s="208"/>
      <c r="F11" s="207"/>
      <c r="G11" s="10">
        <v>4</v>
      </c>
      <c r="H11" s="233"/>
      <c r="I11" s="232"/>
      <c r="J11" s="114"/>
      <c r="K11" s="210"/>
      <c r="L11" s="211"/>
    </row>
    <row r="12" ht="21" customHeight="1" spans="1:26">
      <c r="A12" s="204"/>
      <c r="B12" s="205"/>
      <c r="C12" s="206"/>
      <c r="D12" s="207"/>
      <c r="E12" s="208"/>
      <c r="F12" s="207"/>
      <c r="G12" s="10">
        <v>5</v>
      </c>
      <c r="H12" s="234"/>
      <c r="I12" s="232"/>
      <c r="J12" s="114"/>
      <c r="K12" s="210"/>
      <c r="L12" s="211"/>
    </row>
    <row r="13" ht="15" spans="1:26">
      <c r="A13" s="204"/>
      <c r="B13" s="205"/>
      <c r="C13" s="206"/>
      <c r="D13" s="207"/>
      <c r="E13" s="235" t="s">
        <v>173</v>
      </c>
      <c r="F13" s="235"/>
      <c r="G13" s="235"/>
      <c r="H13" s="235"/>
      <c r="I13" s="235"/>
      <c r="J13" s="223"/>
      <c r="K13" s="224"/>
      <c r="L13" s="225">
        <f>SUM(L8:L12)</f>
        <v>6.75</v>
      </c>
    </row>
    <row r="14" ht="15" spans="1:26">
      <c r="A14" s="204"/>
      <c r="B14" s="205"/>
      <c r="C14" s="206"/>
      <c r="D14" s="207"/>
      <c r="E14" s="215" t="s">
        <v>174</v>
      </c>
      <c r="F14" s="215" t="s">
        <v>53</v>
      </c>
      <c r="G14" s="10">
        <v>1</v>
      </c>
      <c r="H14" s="236"/>
      <c r="I14" s="232"/>
      <c r="J14" s="237"/>
      <c r="K14" s="215"/>
      <c r="L14" s="211"/>
    </row>
    <row r="15" ht="15" spans="1:26">
      <c r="A15" s="204"/>
      <c r="B15" s="205"/>
      <c r="C15" s="206"/>
      <c r="D15" s="207"/>
      <c r="E15" s="215"/>
      <c r="F15" s="215"/>
      <c r="G15" s="10">
        <v>2</v>
      </c>
      <c r="H15" s="236"/>
      <c r="I15" s="232"/>
      <c r="J15" s="237"/>
      <c r="K15" s="215"/>
      <c r="L15" s="211"/>
    </row>
    <row r="16" ht="49" customHeight="1" spans="1:26">
      <c r="A16" s="212" t="s">
        <v>263</v>
      </c>
      <c r="B16" s="213" t="s">
        <v>70</v>
      </c>
      <c r="C16" s="214" t="s">
        <v>264</v>
      </c>
      <c r="D16" s="210"/>
      <c r="E16" s="216" t="s">
        <v>176</v>
      </c>
      <c r="F16" s="217" t="s">
        <v>53</v>
      </c>
      <c r="G16" s="10">
        <v>1</v>
      </c>
      <c r="H16" s="238" t="s">
        <v>265</v>
      </c>
      <c r="I16" s="232" t="s">
        <v>70</v>
      </c>
      <c r="J16" s="114">
        <v>0.45</v>
      </c>
      <c r="K16" s="210"/>
      <c r="L16" s="211">
        <v>4</v>
      </c>
    </row>
    <row r="17" ht="39" customHeight="1" spans="1:12">
      <c r="A17" s="212"/>
      <c r="B17" s="213"/>
      <c r="C17" s="214"/>
      <c r="D17" s="210"/>
      <c r="E17" s="216"/>
      <c r="F17" s="217"/>
      <c r="G17" s="10">
        <v>2</v>
      </c>
      <c r="H17" s="239"/>
      <c r="I17" s="232" t="s">
        <v>262</v>
      </c>
      <c r="J17" s="114">
        <v>0.45</v>
      </c>
      <c r="K17" s="210"/>
      <c r="L17" s="211">
        <v>4</v>
      </c>
    </row>
    <row r="18" ht="33" customHeight="1" spans="1:12">
      <c r="A18" s="212"/>
      <c r="B18" s="213"/>
      <c r="C18" s="214"/>
      <c r="D18" s="210"/>
      <c r="E18" s="216"/>
      <c r="F18" s="217"/>
      <c r="G18" s="10">
        <v>3</v>
      </c>
      <c r="H18" s="240"/>
      <c r="I18" s="232" t="s">
        <v>266</v>
      </c>
      <c r="J18" s="114">
        <v>0.45</v>
      </c>
      <c r="K18" s="210"/>
      <c r="L18" s="211">
        <v>4</v>
      </c>
    </row>
    <row r="19" ht="15" spans="1:12">
      <c r="A19" s="212"/>
      <c r="B19" s="213"/>
      <c r="C19" s="214"/>
      <c r="D19" s="210"/>
      <c r="E19" s="235" t="s">
        <v>173</v>
      </c>
      <c r="F19" s="235"/>
      <c r="G19" s="235"/>
      <c r="H19" s="235"/>
      <c r="I19" s="235"/>
      <c r="J19" s="223"/>
      <c r="K19" s="224"/>
      <c r="L19" s="225">
        <f>SUM(L16:L18)</f>
        <v>12</v>
      </c>
    </row>
    <row r="20" ht="15" spans="1:12">
      <c r="A20" s="212"/>
      <c r="B20" s="213"/>
      <c r="C20" s="214"/>
      <c r="D20" s="210"/>
      <c r="E20" s="215" t="s">
        <v>174</v>
      </c>
      <c r="F20" s="215" t="s">
        <v>53</v>
      </c>
      <c r="G20" s="10">
        <v>1</v>
      </c>
      <c r="H20" s="236"/>
      <c r="I20" s="232"/>
      <c r="J20" s="237"/>
      <c r="K20" s="215"/>
      <c r="L20" s="211"/>
    </row>
    <row r="21" ht="15" spans="1:12">
      <c r="A21" s="212"/>
      <c r="B21" s="213"/>
      <c r="C21" s="214"/>
      <c r="D21" s="210"/>
      <c r="E21" s="215"/>
      <c r="F21" s="215"/>
      <c r="G21" s="10">
        <v>2</v>
      </c>
      <c r="H21" s="241"/>
      <c r="I21" s="232"/>
      <c r="J21" s="237"/>
      <c r="K21" s="215"/>
      <c r="L21" s="211"/>
    </row>
    <row r="22" ht="15" spans="1:12">
      <c r="A22" s="242" t="s">
        <v>267</v>
      </c>
      <c r="B22" s="243" t="s">
        <v>80</v>
      </c>
      <c r="C22" s="244" t="s">
        <v>192</v>
      </c>
      <c r="D22" s="245"/>
      <c r="E22" s="246" t="s">
        <v>176</v>
      </c>
      <c r="F22" s="245" t="s">
        <v>53</v>
      </c>
      <c r="G22" s="10">
        <v>1</v>
      </c>
      <c r="H22" s="247"/>
      <c r="I22" s="232"/>
      <c r="J22" s="114"/>
      <c r="K22" s="248"/>
      <c r="L22" s="92"/>
    </row>
    <row r="23" ht="15" spans="1:12">
      <c r="A23" s="242"/>
      <c r="B23" s="243"/>
      <c r="C23" s="244"/>
      <c r="D23" s="245"/>
      <c r="E23" s="246"/>
      <c r="F23" s="245"/>
      <c r="G23" s="10">
        <v>2</v>
      </c>
      <c r="H23" s="249"/>
      <c r="I23" s="232"/>
      <c r="J23" s="114"/>
      <c r="K23" s="248"/>
      <c r="L23" s="92"/>
    </row>
    <row r="24" ht="15" spans="1:12">
      <c r="A24" s="242"/>
      <c r="B24" s="243"/>
      <c r="C24" s="244"/>
      <c r="D24" s="245"/>
      <c r="E24" s="246"/>
      <c r="F24" s="245"/>
      <c r="G24" s="10">
        <v>3</v>
      </c>
      <c r="H24" s="250"/>
      <c r="I24" s="232"/>
      <c r="J24" s="89"/>
      <c r="K24" s="248"/>
      <c r="L24" s="92"/>
    </row>
    <row r="25" ht="15" spans="1:12">
      <c r="A25" s="242"/>
      <c r="B25" s="243"/>
      <c r="C25" s="244"/>
      <c r="D25" s="245"/>
      <c r="E25" s="251" t="s">
        <v>173</v>
      </c>
      <c r="F25" s="220"/>
      <c r="G25" s="220"/>
      <c r="H25" s="252"/>
      <c r="I25" s="39"/>
      <c r="J25" s="39"/>
      <c r="K25" s="253"/>
      <c r="L25" s="41">
        <f>SUM(L22:L24)</f>
        <v>0</v>
      </c>
    </row>
    <row r="26" ht="15" spans="1:12">
      <c r="A26" s="242"/>
      <c r="B26" s="243"/>
      <c r="C26" s="244"/>
      <c r="D26" s="245"/>
      <c r="E26" s="246" t="s">
        <v>174</v>
      </c>
      <c r="F26" s="246" t="s">
        <v>53</v>
      </c>
      <c r="G26" s="10">
        <v>1</v>
      </c>
      <c r="H26" s="233"/>
      <c r="I26" s="232"/>
      <c r="J26" s="89"/>
      <c r="K26" s="246"/>
      <c r="L26" s="92"/>
    </row>
    <row r="27" ht="15" spans="1:12">
      <c r="A27" s="242"/>
      <c r="B27" s="243"/>
      <c r="C27" s="244"/>
      <c r="D27" s="245"/>
      <c r="E27" s="246"/>
      <c r="F27" s="246"/>
      <c r="G27" s="10">
        <v>2</v>
      </c>
      <c r="H27" s="254"/>
      <c r="I27" s="232"/>
      <c r="J27" s="89"/>
      <c r="K27" s="246"/>
      <c r="L27" s="92"/>
    </row>
  </sheetData>
  <mergeCells count="40">
    <mergeCell ref="E5:H5"/>
    <mergeCell ref="E13:H13"/>
    <mergeCell ref="E19:H19"/>
    <mergeCell ref="E25:H25"/>
    <mergeCell ref="A2:A7"/>
    <mergeCell ref="A8:A15"/>
    <mergeCell ref="A16:A21"/>
    <mergeCell ref="A22:A27"/>
    <mergeCell ref="B2:B7"/>
    <mergeCell ref="B8:B15"/>
    <mergeCell ref="B16:B21"/>
    <mergeCell ref="B22:B27"/>
    <mergeCell ref="C2:C7"/>
    <mergeCell ref="C8:C15"/>
    <mergeCell ref="C16:C21"/>
    <mergeCell ref="C22:C27"/>
    <mergeCell ref="D2:D7"/>
    <mergeCell ref="D8:D15"/>
    <mergeCell ref="D16:D21"/>
    <mergeCell ref="D22:D27"/>
    <mergeCell ref="E2:E4"/>
    <mergeCell ref="E6:E7"/>
    <mergeCell ref="E8:E12"/>
    <mergeCell ref="E14:E15"/>
    <mergeCell ref="E16:E18"/>
    <mergeCell ref="E20:E21"/>
    <mergeCell ref="E22:E24"/>
    <mergeCell ref="E26:E27"/>
    <mergeCell ref="F2:F4"/>
    <mergeCell ref="F6:F7"/>
    <mergeCell ref="F8:F12"/>
    <mergeCell ref="F14:F15"/>
    <mergeCell ref="F16:F18"/>
    <mergeCell ref="F20:F21"/>
    <mergeCell ref="F22:F24"/>
    <mergeCell ref="F26:F27"/>
    <mergeCell ref="H2:H3"/>
    <mergeCell ref="H8:H11"/>
    <mergeCell ref="H16:H18"/>
    <mergeCell ref="H22:H24"/>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0"/>
  <sheetViews>
    <sheetView zoomScale="130" zoomScaleNormal="130" workbookViewId="0">
      <pane ySplit="1" topLeftCell="A2" activePane="bottomLeft" state="frozen"/>
      <selection/>
      <selection pane="bottomLeft" activeCell="H8" sqref="H8"/>
    </sheetView>
  </sheetViews>
  <sheetFormatPr defaultColWidth="9.16666666666667" defaultRowHeight="13.2"/>
  <cols>
    <col min="1" max="1" width="22.4166666666667" style="168" customWidth="1"/>
    <col min="2" max="2" width="11.75" style="168" customWidth="1"/>
    <col min="3" max="7" width="9.16666666666667" style="168"/>
    <col min="8" max="8" width="54" style="168" customWidth="1"/>
    <col min="9" max="11" width="9.16666666666667" style="168"/>
    <col min="12" max="12" width="16.6666666666667" style="169" customWidth="1"/>
    <col min="13" max="16384" width="9.16666666666667" style="168"/>
  </cols>
  <sheetData>
    <row r="1" ht="69.6" spans="1:26">
      <c r="A1" s="170" t="s">
        <v>148</v>
      </c>
      <c r="B1" s="171" t="s">
        <v>6</v>
      </c>
      <c r="C1" s="170" t="s">
        <v>149</v>
      </c>
      <c r="D1" s="170" t="s">
        <v>150</v>
      </c>
      <c r="E1" s="171" t="s">
        <v>151</v>
      </c>
      <c r="F1" s="170" t="s">
        <v>152</v>
      </c>
      <c r="G1" s="170" t="s">
        <v>1</v>
      </c>
      <c r="H1" s="172" t="s">
        <v>153</v>
      </c>
      <c r="I1" s="170" t="s">
        <v>154</v>
      </c>
      <c r="J1" s="173" t="s">
        <v>155</v>
      </c>
      <c r="K1" s="170" t="s">
        <v>156</v>
      </c>
      <c r="L1" s="174" t="s">
        <v>157</v>
      </c>
      <c r="M1" s="175"/>
      <c r="N1" s="175"/>
      <c r="O1" s="175"/>
      <c r="P1" s="175"/>
      <c r="Q1" s="175"/>
      <c r="R1" s="175"/>
      <c r="S1" s="175"/>
      <c r="T1" s="175"/>
      <c r="U1" s="175"/>
      <c r="V1" s="175"/>
      <c r="W1" s="175"/>
      <c r="X1" s="175"/>
      <c r="Y1" s="175"/>
      <c r="Z1" s="175"/>
    </row>
    <row r="2" ht="30" customHeight="1" spans="1:26">
      <c r="A2" s="176" t="s">
        <v>89</v>
      </c>
      <c r="B2" s="177" t="s">
        <v>87</v>
      </c>
      <c r="C2" s="178"/>
      <c r="D2" s="179"/>
      <c r="E2" s="180" t="s">
        <v>176</v>
      </c>
      <c r="F2" s="179" t="s">
        <v>194</v>
      </c>
      <c r="G2" s="181">
        <v>1</v>
      </c>
      <c r="H2" s="182" t="s">
        <v>268</v>
      </c>
      <c r="I2" s="183" t="s">
        <v>87</v>
      </c>
      <c r="J2" s="184">
        <v>1</v>
      </c>
      <c r="K2" s="185"/>
      <c r="L2" s="186">
        <v>1</v>
      </c>
    </row>
    <row r="3" ht="30" customHeight="1" spans="1:26">
      <c r="A3" s="187"/>
      <c r="B3" s="188"/>
      <c r="C3" s="189"/>
      <c r="D3" s="190"/>
      <c r="E3" s="191"/>
      <c r="F3" s="179" t="s">
        <v>53</v>
      </c>
      <c r="G3" s="181">
        <v>2</v>
      </c>
      <c r="H3" s="182" t="s">
        <v>269</v>
      </c>
      <c r="I3" s="183" t="s">
        <v>270</v>
      </c>
      <c r="J3" s="184">
        <v>0.8</v>
      </c>
      <c r="K3" s="185"/>
      <c r="L3" s="186">
        <v>5</v>
      </c>
    </row>
    <row r="4" ht="27" customHeight="1" spans="1:26">
      <c r="A4" s="187"/>
      <c r="B4" s="188"/>
      <c r="C4" s="189"/>
      <c r="D4" s="190"/>
      <c r="E4" s="192" t="s">
        <v>173</v>
      </c>
      <c r="F4" s="192"/>
      <c r="G4" s="192"/>
      <c r="H4" s="192"/>
      <c r="I4" s="192"/>
      <c r="J4" s="193"/>
      <c r="K4" s="194"/>
      <c r="L4" s="195">
        <f>SUM(L2:L3)</f>
        <v>6</v>
      </c>
    </row>
    <row r="5" ht="25.5" customHeight="1" spans="1:26">
      <c r="A5" s="187"/>
      <c r="B5" s="188"/>
      <c r="C5" s="189"/>
      <c r="D5" s="190"/>
      <c r="E5" s="180" t="s">
        <v>174</v>
      </c>
      <c r="F5" s="185" t="s">
        <v>53</v>
      </c>
      <c r="G5" s="185">
        <v>1</v>
      </c>
      <c r="H5" s="182" t="s">
        <v>271</v>
      </c>
      <c r="I5" s="181" t="s">
        <v>87</v>
      </c>
      <c r="J5" s="196">
        <v>1</v>
      </c>
      <c r="K5" s="185"/>
      <c r="L5" s="197">
        <v>5</v>
      </c>
    </row>
    <row r="6" ht="25.5" customHeight="1" spans="1:26">
      <c r="A6" s="198"/>
      <c r="B6" s="199"/>
      <c r="C6" s="200"/>
      <c r="D6" s="201"/>
      <c r="E6" s="191"/>
      <c r="F6" s="185" t="s">
        <v>53</v>
      </c>
      <c r="G6" s="185">
        <v>2</v>
      </c>
      <c r="H6" s="182" t="s">
        <v>269</v>
      </c>
      <c r="I6" s="183" t="s">
        <v>270</v>
      </c>
      <c r="J6" s="196">
        <v>1</v>
      </c>
      <c r="K6" s="185"/>
      <c r="L6" s="197">
        <v>5</v>
      </c>
    </row>
    <row r="7" ht="26" customHeight="1" spans="1:26">
      <c r="A7" s="170" t="s">
        <v>272</v>
      </c>
      <c r="B7" s="202" t="s">
        <v>87</v>
      </c>
      <c r="C7" s="184">
        <v>0.95</v>
      </c>
      <c r="D7" s="181"/>
      <c r="E7" s="180" t="s">
        <v>176</v>
      </c>
      <c r="F7" s="179" t="s">
        <v>194</v>
      </c>
      <c r="G7" s="181">
        <v>1</v>
      </c>
      <c r="H7" s="203" t="s">
        <v>273</v>
      </c>
      <c r="I7" s="183" t="s">
        <v>274</v>
      </c>
      <c r="J7" s="196">
        <v>1</v>
      </c>
      <c r="K7" s="185"/>
      <c r="L7" s="197">
        <v>5</v>
      </c>
    </row>
    <row r="8" ht="26" customHeight="1" spans="1:26">
      <c r="A8" s="170"/>
      <c r="B8" s="202"/>
      <c r="C8" s="184"/>
      <c r="D8" s="181"/>
      <c r="E8" s="191"/>
      <c r="F8" s="201"/>
      <c r="G8" s="181">
        <v>2</v>
      </c>
      <c r="H8" s="203" t="s">
        <v>275</v>
      </c>
      <c r="I8" s="183" t="s">
        <v>87</v>
      </c>
      <c r="J8" s="196">
        <v>1</v>
      </c>
      <c r="K8" s="185"/>
      <c r="L8" s="197">
        <v>4</v>
      </c>
    </row>
    <row r="9" ht="19" customHeight="1" spans="1:26">
      <c r="A9" s="170"/>
      <c r="B9" s="202"/>
      <c r="C9" s="181"/>
      <c r="D9" s="181"/>
      <c r="E9" s="192" t="s">
        <v>173</v>
      </c>
      <c r="F9" s="192"/>
      <c r="G9" s="192"/>
      <c r="H9" s="192"/>
      <c r="I9" s="192"/>
      <c r="J9" s="193"/>
      <c r="K9" s="194"/>
      <c r="L9" s="195">
        <f>SUM(L7:L8)</f>
        <v>9</v>
      </c>
    </row>
    <row r="10" ht="22.5" customHeight="1" spans="1:26">
      <c r="A10" s="170"/>
      <c r="B10" s="202"/>
      <c r="C10" s="181"/>
      <c r="D10" s="181"/>
      <c r="E10" s="185" t="s">
        <v>174</v>
      </c>
      <c r="F10" s="181" t="s">
        <v>194</v>
      </c>
      <c r="G10" s="181">
        <v>1</v>
      </c>
      <c r="H10" s="203" t="s">
        <v>273</v>
      </c>
      <c r="I10" s="183" t="s">
        <v>274</v>
      </c>
      <c r="J10" s="196"/>
      <c r="K10" s="185"/>
      <c r="L10" s="197">
        <v>5</v>
      </c>
    </row>
  </sheetData>
  <mergeCells count="14">
    <mergeCell ref="E4:H4"/>
    <mergeCell ref="E9:H9"/>
    <mergeCell ref="A2:A6"/>
    <mergeCell ref="A7:A10"/>
    <mergeCell ref="B2:B6"/>
    <mergeCell ref="B7:B10"/>
    <mergeCell ref="C2:C6"/>
    <mergeCell ref="C7:C10"/>
    <mergeCell ref="D2:D6"/>
    <mergeCell ref="D7:D10"/>
    <mergeCell ref="E2:E3"/>
    <mergeCell ref="E5:E6"/>
    <mergeCell ref="E7:E8"/>
    <mergeCell ref="F7:F8"/>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L37"/>
  <sheetViews>
    <sheetView topLeftCell="A10" workbookViewId="0">
      <selection activeCell="H6" sqref="H6"/>
    </sheetView>
  </sheetViews>
  <sheetFormatPr defaultColWidth="26.8518518518519" defaultRowHeight="13.2"/>
  <cols>
    <col min="1" max="1" width="26.712962962963" style="118" customWidth="1"/>
    <col min="2" max="3" width="8.57407407407407" style="118" customWidth="1"/>
    <col min="4" max="4" width="12.4259259259259" style="118" customWidth="1"/>
    <col min="5" max="5" width="9.28703703703704" style="118" customWidth="1"/>
    <col min="6" max="6" width="8.57407407407407" style="118" customWidth="1"/>
    <col min="7" max="7" width="4.85185185185185" style="118" customWidth="1"/>
    <col min="8" max="8" width="70.712962962963" style="118" customWidth="1"/>
    <col min="9" max="9" width="22.1388888888889" style="118" customWidth="1"/>
    <col min="10" max="10" width="6.71296296296296" style="118" customWidth="1"/>
    <col min="11" max="11" width="14.4259259259259" style="118" customWidth="1"/>
    <col min="12" max="12" width="14.4259259259259" style="119" customWidth="1"/>
    <col min="13" max="16384" width="26.8518518518519" style="118"/>
  </cols>
  <sheetData>
    <row r="1" ht="15.6" spans="1:12">
      <c r="A1" s="120" t="s">
        <v>148</v>
      </c>
      <c r="B1" s="121" t="s">
        <v>6</v>
      </c>
      <c r="C1" s="122" t="s">
        <v>149</v>
      </c>
      <c r="D1" s="122" t="s">
        <v>150</v>
      </c>
      <c r="E1" s="121" t="s">
        <v>151</v>
      </c>
      <c r="F1" s="122" t="s">
        <v>152</v>
      </c>
      <c r="G1" s="122" t="s">
        <v>1</v>
      </c>
      <c r="H1" s="123" t="s">
        <v>153</v>
      </c>
      <c r="I1" s="122" t="s">
        <v>154</v>
      </c>
      <c r="J1" s="124" t="s">
        <v>155</v>
      </c>
      <c r="K1" s="122" t="s">
        <v>156</v>
      </c>
      <c r="L1" s="125" t="s">
        <v>157</v>
      </c>
    </row>
    <row r="2" spans="1:12">
      <c r="A2" s="126" t="s">
        <v>107</v>
      </c>
      <c r="B2" s="127" t="s">
        <v>108</v>
      </c>
      <c r="C2" s="128" t="s">
        <v>24</v>
      </c>
      <c r="D2" s="128"/>
      <c r="E2" s="129" t="s">
        <v>176</v>
      </c>
      <c r="F2" s="128" t="s">
        <v>53</v>
      </c>
      <c r="G2" s="121">
        <v>1</v>
      </c>
      <c r="H2" s="130" t="s">
        <v>276</v>
      </c>
      <c r="I2" s="131" t="s">
        <v>33</v>
      </c>
      <c r="J2" s="124">
        <v>1</v>
      </c>
      <c r="K2" s="122"/>
      <c r="L2" s="125">
        <v>1</v>
      </c>
    </row>
    <row r="3" spans="1:12">
      <c r="A3" s="132"/>
      <c r="B3" s="133"/>
      <c r="C3" s="134"/>
      <c r="D3" s="134"/>
      <c r="E3" s="135"/>
      <c r="F3" s="134"/>
      <c r="G3" s="121">
        <v>2</v>
      </c>
      <c r="H3" s="136"/>
      <c r="I3" s="137"/>
      <c r="J3" s="124"/>
      <c r="K3" s="128"/>
      <c r="L3" s="138"/>
    </row>
    <row r="4" spans="1:12">
      <c r="A4" s="132"/>
      <c r="B4" s="133"/>
      <c r="C4" s="134"/>
      <c r="D4" s="134"/>
      <c r="E4" s="135"/>
      <c r="F4" s="139"/>
      <c r="G4" s="140">
        <v>3</v>
      </c>
      <c r="H4" s="136"/>
      <c r="I4" s="137"/>
      <c r="J4" s="124"/>
      <c r="K4" s="128"/>
      <c r="L4" s="138"/>
    </row>
    <row r="5" spans="1:12">
      <c r="A5" s="132"/>
      <c r="B5" s="133"/>
      <c r="C5" s="134"/>
      <c r="D5" s="134"/>
      <c r="E5" s="135"/>
      <c r="F5" s="128" t="s">
        <v>277</v>
      </c>
      <c r="G5" s="140">
        <v>1</v>
      </c>
      <c r="H5" s="130" t="s">
        <v>278</v>
      </c>
      <c r="I5" s="131" t="s">
        <v>108</v>
      </c>
      <c r="J5" s="124">
        <v>1</v>
      </c>
      <c r="K5" s="122"/>
      <c r="L5" s="125">
        <v>0.3</v>
      </c>
    </row>
    <row r="6" ht="24" spans="1:12">
      <c r="A6" s="132"/>
      <c r="B6" s="133"/>
      <c r="C6" s="134"/>
      <c r="D6" s="134"/>
      <c r="E6" s="141"/>
      <c r="F6" s="139"/>
      <c r="G6" s="140">
        <v>2</v>
      </c>
      <c r="H6" s="130" t="s">
        <v>279</v>
      </c>
      <c r="I6" s="131" t="s">
        <v>111</v>
      </c>
      <c r="J6" s="124">
        <v>1</v>
      </c>
      <c r="K6" s="122"/>
      <c r="L6" s="125">
        <v>2.5</v>
      </c>
    </row>
    <row r="7" spans="1:12">
      <c r="A7" s="132"/>
      <c r="B7" s="133"/>
      <c r="C7" s="134"/>
      <c r="D7" s="134"/>
      <c r="E7" s="142" t="s">
        <v>173</v>
      </c>
      <c r="F7" s="143"/>
      <c r="G7" s="143"/>
      <c r="H7" s="144"/>
      <c r="I7" s="145"/>
      <c r="J7" s="146"/>
      <c r="K7" s="147"/>
      <c r="L7" s="148">
        <v>3.8</v>
      </c>
    </row>
    <row r="8" spans="1:12">
      <c r="A8" s="149"/>
      <c r="B8" s="150"/>
      <c r="C8" s="139"/>
      <c r="D8" s="139"/>
      <c r="E8" s="121" t="s">
        <v>174</v>
      </c>
      <c r="F8" s="121" t="s">
        <v>53</v>
      </c>
      <c r="G8" s="121">
        <v>1</v>
      </c>
      <c r="H8" s="151"/>
      <c r="I8" s="131"/>
      <c r="J8" s="152"/>
      <c r="K8" s="121"/>
      <c r="L8" s="125"/>
    </row>
    <row r="9" ht="60" spans="1:12">
      <c r="A9" s="126" t="s">
        <v>280</v>
      </c>
      <c r="B9" s="127"/>
      <c r="C9" s="128">
        <v>35</v>
      </c>
      <c r="D9" s="128"/>
      <c r="E9" s="129" t="s">
        <v>176</v>
      </c>
      <c r="F9" s="128" t="s">
        <v>53</v>
      </c>
      <c r="G9" s="121">
        <v>1</v>
      </c>
      <c r="H9" s="130" t="s">
        <v>281</v>
      </c>
      <c r="I9" s="131" t="s">
        <v>282</v>
      </c>
      <c r="J9" s="124">
        <v>1</v>
      </c>
      <c r="K9" s="122"/>
      <c r="L9" s="125">
        <v>5</v>
      </c>
    </row>
    <row r="10" ht="72" spans="1:12">
      <c r="A10" s="132"/>
      <c r="B10" s="133"/>
      <c r="C10" s="134"/>
      <c r="D10" s="134"/>
      <c r="E10" s="135"/>
      <c r="F10" s="134"/>
      <c r="G10" s="121">
        <v>2</v>
      </c>
      <c r="H10" s="153" t="s">
        <v>283</v>
      </c>
      <c r="I10" s="131" t="s">
        <v>284</v>
      </c>
      <c r="J10" s="124">
        <v>1</v>
      </c>
      <c r="K10" s="128"/>
      <c r="L10" s="138">
        <v>5</v>
      </c>
    </row>
    <row r="11" ht="24" spans="1:12">
      <c r="A11" s="132"/>
      <c r="B11" s="133"/>
      <c r="C11" s="134"/>
      <c r="D11" s="134"/>
      <c r="E11" s="135"/>
      <c r="F11" s="134"/>
      <c r="G11" s="121">
        <v>3</v>
      </c>
      <c r="H11" s="130" t="s">
        <v>285</v>
      </c>
      <c r="I11" s="154" t="s">
        <v>286</v>
      </c>
      <c r="J11" s="124">
        <v>0.8</v>
      </c>
      <c r="K11" s="124"/>
      <c r="L11" s="125">
        <v>3.5</v>
      </c>
    </row>
    <row r="12" spans="1:12">
      <c r="A12" s="132"/>
      <c r="B12" s="133"/>
      <c r="C12" s="134"/>
      <c r="D12" s="134"/>
      <c r="E12" s="135"/>
      <c r="F12" s="134"/>
      <c r="G12" s="121">
        <v>4</v>
      </c>
      <c r="H12" s="151"/>
      <c r="I12" s="155"/>
      <c r="J12" s="124"/>
      <c r="K12" s="122"/>
      <c r="L12" s="125"/>
    </row>
    <row r="13" spans="1:12">
      <c r="A13" s="132"/>
      <c r="B13" s="133"/>
      <c r="C13" s="134"/>
      <c r="D13" s="134"/>
      <c r="E13" s="135"/>
      <c r="F13" s="134"/>
      <c r="G13" s="140">
        <v>5</v>
      </c>
      <c r="H13" s="156"/>
      <c r="I13" s="154"/>
      <c r="J13" s="124"/>
      <c r="K13" s="157"/>
      <c r="L13" s="125"/>
    </row>
    <row r="14" spans="1:12">
      <c r="A14" s="132"/>
      <c r="B14" s="133"/>
      <c r="C14" s="134"/>
      <c r="D14" s="134"/>
      <c r="E14" s="135"/>
      <c r="F14" s="134"/>
      <c r="G14" s="140">
        <v>6</v>
      </c>
      <c r="H14" s="158"/>
      <c r="I14" s="159"/>
      <c r="J14" s="124"/>
      <c r="K14" s="122"/>
      <c r="L14" s="125"/>
    </row>
    <row r="15" spans="1:12">
      <c r="A15" s="132"/>
      <c r="B15" s="133"/>
      <c r="C15" s="134"/>
      <c r="D15" s="134"/>
      <c r="E15" s="135"/>
      <c r="F15" s="139"/>
      <c r="G15" s="121">
        <v>7</v>
      </c>
      <c r="H15" s="160"/>
      <c r="I15" s="154"/>
      <c r="J15" s="124"/>
      <c r="K15" s="122"/>
      <c r="L15" s="125"/>
    </row>
    <row r="16" spans="1:12">
      <c r="A16" s="132"/>
      <c r="B16" s="133"/>
      <c r="C16" s="134"/>
      <c r="D16" s="134"/>
      <c r="E16" s="135"/>
      <c r="F16" s="129" t="s">
        <v>277</v>
      </c>
      <c r="G16" s="121">
        <v>1</v>
      </c>
      <c r="H16" s="123" t="s">
        <v>287</v>
      </c>
      <c r="I16" s="121" t="s">
        <v>288</v>
      </c>
      <c r="J16" s="161">
        <v>1</v>
      </c>
      <c r="K16" s="162"/>
      <c r="L16" s="163">
        <v>5</v>
      </c>
    </row>
    <row r="17" spans="1:12">
      <c r="A17" s="132"/>
      <c r="B17" s="133"/>
      <c r="C17" s="134"/>
      <c r="D17" s="134"/>
      <c r="E17" s="141"/>
      <c r="F17" s="141"/>
      <c r="G17" s="121">
        <v>2</v>
      </c>
      <c r="H17" s="130" t="s">
        <v>289</v>
      </c>
      <c r="I17" s="154" t="s">
        <v>111</v>
      </c>
      <c r="J17" s="124">
        <v>1</v>
      </c>
      <c r="K17" s="124"/>
      <c r="L17" s="125">
        <v>0.5</v>
      </c>
    </row>
    <row r="18" spans="1:12">
      <c r="A18" s="132"/>
      <c r="B18" s="133"/>
      <c r="C18" s="134"/>
      <c r="D18" s="134"/>
      <c r="E18" s="142" t="s">
        <v>173</v>
      </c>
      <c r="F18" s="143"/>
      <c r="G18" s="143"/>
      <c r="H18" s="144"/>
      <c r="I18" s="164"/>
      <c r="J18" s="165"/>
      <c r="K18" s="166"/>
      <c r="L18" s="167">
        <v>19</v>
      </c>
    </row>
    <row r="19" spans="1:12">
      <c r="A19" s="149"/>
      <c r="B19" s="150"/>
      <c r="C19" s="139"/>
      <c r="D19" s="139"/>
      <c r="E19" s="121" t="s">
        <v>174</v>
      </c>
      <c r="F19" s="121" t="s">
        <v>53</v>
      </c>
      <c r="G19" s="121">
        <v>1</v>
      </c>
      <c r="H19" s="151"/>
      <c r="I19" s="131"/>
      <c r="J19" s="152"/>
      <c r="K19" s="121"/>
      <c r="L19" s="125"/>
    </row>
    <row r="20" spans="1:12">
      <c r="A20" s="126" t="s">
        <v>290</v>
      </c>
      <c r="B20" s="127" t="s">
        <v>108</v>
      </c>
      <c r="C20" s="128">
        <v>45</v>
      </c>
      <c r="D20" s="128"/>
      <c r="E20" s="129" t="s">
        <v>176</v>
      </c>
      <c r="F20" s="128" t="s">
        <v>53</v>
      </c>
      <c r="G20" s="121">
        <v>1</v>
      </c>
      <c r="H20" s="130" t="s">
        <v>291</v>
      </c>
      <c r="I20" s="131" t="s">
        <v>33</v>
      </c>
      <c r="J20" s="124">
        <v>1</v>
      </c>
      <c r="K20" s="122"/>
      <c r="L20" s="125">
        <v>0.5</v>
      </c>
    </row>
    <row r="21" ht="24" spans="1:12">
      <c r="A21" s="132"/>
      <c r="B21" s="133"/>
      <c r="C21" s="134"/>
      <c r="D21" s="134"/>
      <c r="E21" s="135"/>
      <c r="F21" s="134"/>
      <c r="G21" s="121">
        <v>2</v>
      </c>
      <c r="H21" s="153" t="s">
        <v>292</v>
      </c>
      <c r="I21" s="131" t="s">
        <v>33</v>
      </c>
      <c r="J21" s="124">
        <v>1</v>
      </c>
      <c r="K21" s="122"/>
      <c r="L21" s="125">
        <v>1.5</v>
      </c>
    </row>
    <row r="22" ht="24" spans="1:12">
      <c r="A22" s="132"/>
      <c r="B22" s="133"/>
      <c r="C22" s="134"/>
      <c r="D22" s="134"/>
      <c r="E22" s="135"/>
      <c r="F22" s="134"/>
      <c r="G22" s="121">
        <v>3</v>
      </c>
      <c r="H22" s="130" t="s">
        <v>293</v>
      </c>
      <c r="I22" s="131" t="s">
        <v>33</v>
      </c>
      <c r="J22" s="124">
        <v>1</v>
      </c>
      <c r="K22" s="124"/>
      <c r="L22" s="125">
        <v>1</v>
      </c>
    </row>
    <row r="23" ht="36" spans="1:12">
      <c r="A23" s="132"/>
      <c r="B23" s="133"/>
      <c r="C23" s="134"/>
      <c r="D23" s="134"/>
      <c r="E23" s="135"/>
      <c r="F23" s="134"/>
      <c r="G23" s="121">
        <v>4</v>
      </c>
      <c r="H23" s="130" t="s">
        <v>294</v>
      </c>
      <c r="I23" s="131" t="s">
        <v>33</v>
      </c>
      <c r="J23" s="124">
        <v>1</v>
      </c>
      <c r="K23" s="124"/>
      <c r="L23" s="125">
        <v>1</v>
      </c>
    </row>
    <row r="24" spans="1:12">
      <c r="A24" s="132"/>
      <c r="B24" s="133"/>
      <c r="C24" s="134"/>
      <c r="D24" s="134"/>
      <c r="E24" s="135"/>
      <c r="F24" s="134"/>
      <c r="G24" s="121">
        <v>5</v>
      </c>
      <c r="H24" s="130" t="s">
        <v>295</v>
      </c>
      <c r="I24" s="131" t="s">
        <v>108</v>
      </c>
      <c r="J24" s="124">
        <v>1</v>
      </c>
      <c r="K24" s="122"/>
      <c r="L24" s="125">
        <v>1</v>
      </c>
    </row>
    <row r="25" spans="1:12">
      <c r="A25" s="132"/>
      <c r="B25" s="133"/>
      <c r="C25" s="134"/>
      <c r="D25" s="134"/>
      <c r="E25" s="135"/>
      <c r="F25" s="134"/>
      <c r="G25" s="121">
        <v>6</v>
      </c>
      <c r="H25" s="130" t="s">
        <v>296</v>
      </c>
      <c r="I25" s="131" t="s">
        <v>108</v>
      </c>
      <c r="J25" s="124">
        <v>1</v>
      </c>
      <c r="K25" s="122"/>
      <c r="L25" s="125">
        <v>1</v>
      </c>
    </row>
    <row r="26" spans="1:12">
      <c r="A26" s="132"/>
      <c r="B26" s="133"/>
      <c r="C26" s="134"/>
      <c r="D26" s="134"/>
      <c r="E26" s="135"/>
      <c r="F26" s="134"/>
      <c r="G26" s="121">
        <v>7</v>
      </c>
      <c r="H26" s="130" t="s">
        <v>297</v>
      </c>
      <c r="I26" s="131" t="s">
        <v>108</v>
      </c>
      <c r="J26" s="124">
        <v>1</v>
      </c>
      <c r="K26" s="122"/>
      <c r="L26" s="125">
        <v>1.7</v>
      </c>
    </row>
    <row r="27" spans="1:12">
      <c r="A27" s="132"/>
      <c r="B27" s="133"/>
      <c r="C27" s="134"/>
      <c r="D27" s="134"/>
      <c r="E27" s="141"/>
      <c r="F27" s="139"/>
      <c r="G27" s="121">
        <v>8</v>
      </c>
      <c r="H27" s="130" t="s">
        <v>298</v>
      </c>
      <c r="I27" s="131" t="s">
        <v>108</v>
      </c>
      <c r="J27" s="124">
        <v>1</v>
      </c>
      <c r="K27" s="122"/>
      <c r="L27" s="125">
        <v>1</v>
      </c>
    </row>
    <row r="28" spans="1:12">
      <c r="A28" s="132"/>
      <c r="B28" s="133"/>
      <c r="C28" s="134"/>
      <c r="D28" s="134"/>
      <c r="E28" s="142" t="s">
        <v>173</v>
      </c>
      <c r="F28" s="143"/>
      <c r="G28" s="143"/>
      <c r="H28" s="144"/>
      <c r="I28" s="164"/>
      <c r="J28" s="165"/>
      <c r="K28" s="166"/>
      <c r="L28" s="167">
        <v>8.7</v>
      </c>
    </row>
    <row r="29" spans="1:12">
      <c r="A29" s="149"/>
      <c r="B29" s="150"/>
      <c r="C29" s="139"/>
      <c r="D29" s="139"/>
      <c r="E29" s="121" t="s">
        <v>174</v>
      </c>
      <c r="F29" s="121" t="s">
        <v>53</v>
      </c>
      <c r="G29" s="121">
        <v>1</v>
      </c>
      <c r="H29" s="151"/>
      <c r="I29" s="131"/>
      <c r="J29" s="152"/>
      <c r="K29" s="121"/>
      <c r="L29" s="125"/>
    </row>
    <row r="30" ht="48" spans="1:12">
      <c r="A30" s="126" t="s">
        <v>158</v>
      </c>
      <c r="B30" s="127" t="s">
        <v>23</v>
      </c>
      <c r="C30" s="128" t="s">
        <v>24</v>
      </c>
      <c r="D30" s="128"/>
      <c r="E30" s="129" t="s">
        <v>176</v>
      </c>
      <c r="F30" s="128" t="s">
        <v>53</v>
      </c>
      <c r="G30" s="121">
        <v>1</v>
      </c>
      <c r="H30" s="130" t="s">
        <v>299</v>
      </c>
      <c r="I30" s="131" t="s">
        <v>300</v>
      </c>
      <c r="J30" s="124">
        <v>1</v>
      </c>
      <c r="K30" s="122"/>
      <c r="L30" s="125">
        <v>5</v>
      </c>
    </row>
    <row r="31" ht="24" spans="1:12">
      <c r="A31" s="132"/>
      <c r="B31" s="133"/>
      <c r="C31" s="134"/>
      <c r="D31" s="134"/>
      <c r="E31" s="135"/>
      <c r="F31" s="134"/>
      <c r="G31" s="121">
        <v>2</v>
      </c>
      <c r="H31" s="153" t="s">
        <v>301</v>
      </c>
      <c r="I31" s="131" t="s">
        <v>105</v>
      </c>
      <c r="J31" s="124">
        <v>1</v>
      </c>
      <c r="K31" s="122"/>
      <c r="L31" s="125">
        <v>2</v>
      </c>
    </row>
    <row r="32" spans="1:12">
      <c r="A32" s="132"/>
      <c r="B32" s="133"/>
      <c r="C32" s="134"/>
      <c r="D32" s="134"/>
      <c r="E32" s="135"/>
      <c r="F32" s="139"/>
      <c r="G32" s="121">
        <v>3</v>
      </c>
      <c r="H32" s="130" t="s">
        <v>302</v>
      </c>
      <c r="I32" s="131" t="s">
        <v>105</v>
      </c>
      <c r="J32" s="124">
        <v>0.6</v>
      </c>
      <c r="K32" s="124"/>
      <c r="L32" s="125">
        <v>3</v>
      </c>
    </row>
    <row r="33" spans="1:12">
      <c r="A33" s="132"/>
      <c r="B33" s="133"/>
      <c r="C33" s="134"/>
      <c r="D33" s="134"/>
      <c r="E33" s="135"/>
      <c r="F33" s="128"/>
      <c r="G33" s="121">
        <v>4</v>
      </c>
      <c r="H33" s="151"/>
      <c r="I33" s="131"/>
      <c r="J33" s="124"/>
      <c r="K33" s="124"/>
      <c r="L33" s="125"/>
    </row>
    <row r="34" ht="24" spans="1:12">
      <c r="A34" s="132"/>
      <c r="B34" s="133"/>
      <c r="C34" s="134"/>
      <c r="D34" s="134"/>
      <c r="E34" s="135"/>
      <c r="F34" s="129" t="s">
        <v>277</v>
      </c>
      <c r="G34" s="121">
        <v>5</v>
      </c>
      <c r="H34" s="130" t="s">
        <v>303</v>
      </c>
      <c r="I34" s="131" t="s">
        <v>111</v>
      </c>
      <c r="J34" s="124">
        <v>1</v>
      </c>
      <c r="K34" s="124"/>
      <c r="L34" s="125">
        <v>2</v>
      </c>
    </row>
    <row r="35" spans="1:12">
      <c r="A35" s="132"/>
      <c r="B35" s="133"/>
      <c r="C35" s="134"/>
      <c r="D35" s="134"/>
      <c r="E35" s="141"/>
      <c r="F35" s="141"/>
      <c r="G35" s="121">
        <v>6</v>
      </c>
      <c r="H35" s="151"/>
      <c r="I35" s="131"/>
      <c r="J35" s="124"/>
      <c r="K35" s="122"/>
      <c r="L35" s="125"/>
    </row>
    <row r="36" spans="1:12">
      <c r="A36" s="132"/>
      <c r="B36" s="133"/>
      <c r="C36" s="134"/>
      <c r="D36" s="134"/>
      <c r="E36" s="142" t="s">
        <v>173</v>
      </c>
      <c r="F36" s="143"/>
      <c r="G36" s="143"/>
      <c r="H36" s="144"/>
      <c r="I36" s="164"/>
      <c r="J36" s="165"/>
      <c r="K36" s="166"/>
      <c r="L36" s="167">
        <v>12</v>
      </c>
    </row>
    <row r="37" spans="1:12">
      <c r="A37" s="149"/>
      <c r="B37" s="150"/>
      <c r="C37" s="139"/>
      <c r="D37" s="139"/>
      <c r="E37" s="121" t="s">
        <v>174</v>
      </c>
      <c r="F37" s="121" t="s">
        <v>53</v>
      </c>
      <c r="G37" s="121">
        <v>1</v>
      </c>
      <c r="H37" s="151"/>
      <c r="I37" s="131"/>
      <c r="J37" s="152"/>
      <c r="K37" s="121"/>
      <c r="L37" s="125"/>
    </row>
  </sheetData>
  <mergeCells count="31">
    <mergeCell ref="E7:H7"/>
    <mergeCell ref="E18:H18"/>
    <mergeCell ref="E28:H28"/>
    <mergeCell ref="E36:H36"/>
    <mergeCell ref="A2:A8"/>
    <mergeCell ref="A9:A19"/>
    <mergeCell ref="A20:A29"/>
    <mergeCell ref="A30:A37"/>
    <mergeCell ref="B2:B8"/>
    <mergeCell ref="B9:B19"/>
    <mergeCell ref="B20:B29"/>
    <mergeCell ref="B30:B37"/>
    <mergeCell ref="C2:C8"/>
    <mergeCell ref="C9:C19"/>
    <mergeCell ref="C20:C29"/>
    <mergeCell ref="C30:C37"/>
    <mergeCell ref="D2:D8"/>
    <mergeCell ref="D9:D19"/>
    <mergeCell ref="D20:D29"/>
    <mergeCell ref="D30:D37"/>
    <mergeCell ref="E2:E6"/>
    <mergeCell ref="E9:E17"/>
    <mergeCell ref="E20:E27"/>
    <mergeCell ref="E30:E35"/>
    <mergeCell ref="F2:F4"/>
    <mergeCell ref="F5:F6"/>
    <mergeCell ref="F9:F15"/>
    <mergeCell ref="F16:F17"/>
    <mergeCell ref="F20:F27"/>
    <mergeCell ref="F30:F32"/>
    <mergeCell ref="F34:F35"/>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81"/>
  <sheetViews>
    <sheetView zoomScale="85" zoomScaleNormal="85" workbookViewId="0">
      <pane ySplit="1" topLeftCell="A27" activePane="bottomLeft" state="frozen"/>
      <selection/>
      <selection pane="bottomLeft" activeCell="C34" sqref="C34:C45"/>
    </sheetView>
  </sheetViews>
  <sheetFormatPr defaultColWidth="9.13888888888889" defaultRowHeight="13.8"/>
  <cols>
    <col min="1" max="1" width="22.4259259259259" style="47" customWidth="1"/>
    <col min="2" max="2" width="11.712962962963" style="47" customWidth="1"/>
    <col min="3" max="7" width="9.13888888888889" style="47"/>
    <col min="8" max="8" width="59.712962962963" style="47" customWidth="1"/>
    <col min="9" max="9" width="17.537037037037" style="47" customWidth="1"/>
    <col min="10" max="11" width="9.13888888888889" style="47"/>
    <col min="12" max="12" width="19.5740740740741" style="48" customWidth="1"/>
    <col min="13" max="26" width="9.13888888888889" style="47"/>
    <col min="27" max="16384" width="9.13888888888889" style="49"/>
  </cols>
  <sheetData>
    <row r="1" ht="52.2" spans="1:26">
      <c r="A1" s="50" t="s">
        <v>148</v>
      </c>
      <c r="B1" s="51" t="s">
        <v>6</v>
      </c>
      <c r="C1" s="50" t="s">
        <v>149</v>
      </c>
      <c r="D1" s="50" t="s">
        <v>150</v>
      </c>
      <c r="E1" s="51" t="s">
        <v>151</v>
      </c>
      <c r="F1" s="50" t="s">
        <v>152</v>
      </c>
      <c r="G1" s="50" t="s">
        <v>1</v>
      </c>
      <c r="H1" s="52" t="s">
        <v>153</v>
      </c>
      <c r="I1" s="50" t="s">
        <v>154</v>
      </c>
      <c r="J1" s="53" t="s">
        <v>155</v>
      </c>
      <c r="K1" s="50" t="s">
        <v>156</v>
      </c>
      <c r="L1" s="54" t="s">
        <v>157</v>
      </c>
      <c r="M1" s="55"/>
      <c r="N1" s="55"/>
      <c r="O1" s="55"/>
      <c r="P1" s="55"/>
      <c r="Q1" s="55"/>
      <c r="R1" s="55"/>
      <c r="S1" s="55"/>
      <c r="T1" s="55"/>
      <c r="U1" s="55"/>
      <c r="V1" s="55"/>
      <c r="W1" s="55"/>
      <c r="X1" s="55"/>
      <c r="Y1" s="55"/>
      <c r="Z1" s="55"/>
    </row>
    <row r="2" ht="15" spans="1:26">
      <c r="A2" s="50" t="s">
        <v>304</v>
      </c>
      <c r="B2" s="56" t="s">
        <v>118</v>
      </c>
      <c r="C2" s="57">
        <v>0.92</v>
      </c>
      <c r="D2" s="58"/>
      <c r="E2" s="59" t="s">
        <v>176</v>
      </c>
      <c r="F2" s="60" t="s">
        <v>53</v>
      </c>
      <c r="G2" s="58"/>
      <c r="H2" s="61" t="s">
        <v>305</v>
      </c>
      <c r="I2" s="14" t="s">
        <v>306</v>
      </c>
      <c r="J2" s="57">
        <v>0.9</v>
      </c>
      <c r="K2" s="59"/>
      <c r="L2" s="62">
        <v>1.5</v>
      </c>
    </row>
    <row r="3" ht="15" spans="1:26">
      <c r="A3" s="50"/>
      <c r="B3" s="56"/>
      <c r="C3" s="58"/>
      <c r="D3" s="58"/>
      <c r="E3" s="59"/>
      <c r="F3" s="63"/>
      <c r="G3" s="64"/>
      <c r="H3" s="65" t="s">
        <v>307</v>
      </c>
      <c r="I3" s="64" t="s">
        <v>308</v>
      </c>
      <c r="J3" s="66">
        <v>0.8</v>
      </c>
      <c r="K3" s="67"/>
      <c r="L3" s="62">
        <v>5</v>
      </c>
    </row>
    <row r="4" ht="15" spans="1:26">
      <c r="A4" s="50"/>
      <c r="B4" s="56"/>
      <c r="C4" s="58"/>
      <c r="D4" s="58"/>
      <c r="E4" s="59"/>
      <c r="F4" s="68"/>
      <c r="G4" s="69"/>
      <c r="H4" s="70"/>
      <c r="I4" s="71"/>
      <c r="J4" s="72"/>
      <c r="K4" s="73"/>
      <c r="L4" s="74"/>
    </row>
    <row r="5" ht="165" spans="1:26">
      <c r="A5" s="50"/>
      <c r="B5" s="56"/>
      <c r="C5" s="58"/>
      <c r="D5" s="58"/>
      <c r="E5" s="59"/>
      <c r="F5" s="63"/>
      <c r="G5" s="75"/>
      <c r="H5" s="76" t="s">
        <v>309</v>
      </c>
      <c r="I5" s="69" t="s">
        <v>118</v>
      </c>
      <c r="J5" s="77">
        <v>0.9</v>
      </c>
      <c r="K5" s="78"/>
      <c r="L5" s="79">
        <v>4</v>
      </c>
      <c r="N5" s="80" t="s">
        <v>310</v>
      </c>
    </row>
    <row r="6" ht="30" spans="1:26">
      <c r="A6" s="50"/>
      <c r="B6" s="56"/>
      <c r="C6" s="58"/>
      <c r="D6" s="58"/>
      <c r="E6" s="59"/>
      <c r="F6" s="81"/>
      <c r="G6" s="82"/>
      <c r="H6" s="83" t="s">
        <v>311</v>
      </c>
      <c r="I6" s="69" t="s">
        <v>122</v>
      </c>
      <c r="J6" s="77">
        <v>1</v>
      </c>
      <c r="K6" s="78"/>
      <c r="L6" s="79">
        <v>2</v>
      </c>
    </row>
    <row r="7" ht="15" spans="1:26">
      <c r="A7" s="50"/>
      <c r="B7" s="56"/>
      <c r="C7" s="58"/>
      <c r="D7" s="58"/>
      <c r="E7" s="38" t="s">
        <v>173</v>
      </c>
      <c r="F7" s="38"/>
      <c r="G7" s="38"/>
      <c r="H7" s="84"/>
      <c r="I7" s="84"/>
      <c r="J7" s="85"/>
      <c r="K7" s="86"/>
      <c r="L7" s="87">
        <f>SUM(L2:L6)</f>
        <v>12.5</v>
      </c>
    </row>
    <row r="8" ht="15.6" spans="1:26">
      <c r="A8" s="50"/>
      <c r="B8" s="56"/>
      <c r="C8" s="58"/>
      <c r="D8" s="58"/>
      <c r="E8" s="59" t="s">
        <v>174</v>
      </c>
      <c r="F8" s="59" t="s">
        <v>53</v>
      </c>
      <c r="G8" s="59">
        <v>1</v>
      </c>
      <c r="H8" s="88"/>
      <c r="I8" s="58"/>
      <c r="J8" s="89"/>
      <c r="K8" s="59"/>
      <c r="L8" s="62"/>
    </row>
    <row r="9" ht="15" spans="1:26">
      <c r="A9" s="50"/>
      <c r="B9" s="56"/>
      <c r="C9" s="58"/>
      <c r="D9" s="58"/>
      <c r="E9" s="59"/>
      <c r="F9" s="59"/>
      <c r="G9" s="59">
        <v>2</v>
      </c>
      <c r="H9" s="90"/>
      <c r="I9" s="59"/>
      <c r="J9" s="89"/>
      <c r="K9" s="59"/>
      <c r="L9" s="62"/>
    </row>
    <row r="10" ht="75" spans="1:26">
      <c r="A10" s="50" t="s">
        <v>312</v>
      </c>
      <c r="B10" s="56" t="s">
        <v>122</v>
      </c>
      <c r="C10" s="57">
        <v>0.96</v>
      </c>
      <c r="D10" s="58"/>
      <c r="E10" s="59" t="s">
        <v>176</v>
      </c>
      <c r="F10" s="58" t="s">
        <v>53</v>
      </c>
      <c r="G10" s="58">
        <v>1</v>
      </c>
      <c r="H10" s="90" t="s">
        <v>313</v>
      </c>
      <c r="I10" s="14" t="s">
        <v>314</v>
      </c>
      <c r="J10" s="57">
        <v>0.9</v>
      </c>
      <c r="K10" s="58"/>
      <c r="L10" s="62">
        <v>5</v>
      </c>
    </row>
    <row r="11" ht="15" spans="1:26">
      <c r="A11" s="50"/>
      <c r="B11" s="56"/>
      <c r="C11" s="58"/>
      <c r="D11" s="58"/>
      <c r="E11" s="59"/>
      <c r="F11" s="58"/>
      <c r="G11" s="58">
        <v>2</v>
      </c>
      <c r="H11" s="90" t="s">
        <v>315</v>
      </c>
      <c r="I11" s="14" t="s">
        <v>316</v>
      </c>
      <c r="J11" s="57">
        <v>0.9</v>
      </c>
      <c r="K11" s="58"/>
      <c r="L11" s="62">
        <v>1.5</v>
      </c>
    </row>
    <row r="12" ht="15" spans="1:26">
      <c r="A12" s="50"/>
      <c r="B12" s="56"/>
      <c r="C12" s="58"/>
      <c r="D12" s="58"/>
      <c r="E12" s="59"/>
      <c r="F12" s="58"/>
      <c r="G12" s="58">
        <v>3</v>
      </c>
      <c r="H12" s="90"/>
      <c r="I12" s="14"/>
      <c r="J12" s="57"/>
      <c r="K12" s="58"/>
      <c r="L12" s="62"/>
    </row>
    <row r="13" ht="15" spans="1:26">
      <c r="A13" s="50"/>
      <c r="B13" s="56"/>
      <c r="C13" s="58"/>
      <c r="D13" s="58"/>
      <c r="E13" s="59"/>
      <c r="F13" s="58"/>
      <c r="G13" s="58">
        <v>4</v>
      </c>
      <c r="H13" s="90"/>
      <c r="I13" s="14"/>
      <c r="J13" s="57"/>
      <c r="K13" s="58"/>
      <c r="L13" s="62"/>
    </row>
    <row r="14" ht="15" spans="1:26">
      <c r="A14" s="50"/>
      <c r="B14" s="56"/>
      <c r="C14" s="58"/>
      <c r="D14" s="58"/>
      <c r="E14" s="59"/>
      <c r="F14" s="58"/>
      <c r="G14" s="58">
        <v>5</v>
      </c>
      <c r="H14" s="90"/>
      <c r="I14" s="14"/>
      <c r="J14" s="57"/>
      <c r="K14" s="58"/>
      <c r="L14" s="62"/>
    </row>
    <row r="15" ht="15" spans="1:26">
      <c r="A15" s="50"/>
      <c r="B15" s="56"/>
      <c r="C15" s="58"/>
      <c r="D15" s="58"/>
      <c r="E15" s="59"/>
      <c r="F15" s="58"/>
      <c r="G15" s="58">
        <v>6</v>
      </c>
      <c r="H15" s="91"/>
      <c r="I15" s="58"/>
      <c r="J15" s="57"/>
      <c r="K15" s="58"/>
      <c r="L15" s="62"/>
    </row>
    <row r="16" ht="15" spans="1:26">
      <c r="A16" s="50"/>
      <c r="B16" s="56"/>
      <c r="C16" s="58"/>
      <c r="D16" s="58"/>
      <c r="E16" s="59"/>
      <c r="F16" s="58"/>
      <c r="G16" s="59">
        <v>7</v>
      </c>
      <c r="H16" s="90"/>
      <c r="I16" s="58"/>
      <c r="J16" s="57"/>
      <c r="K16" s="58"/>
      <c r="L16" s="62"/>
    </row>
    <row r="17" ht="15" spans="1:12">
      <c r="A17" s="50"/>
      <c r="B17" s="56"/>
      <c r="C17" s="58"/>
      <c r="D17" s="58"/>
      <c r="E17" s="59"/>
      <c r="F17" s="58"/>
      <c r="G17" s="58">
        <v>8</v>
      </c>
      <c r="H17" s="90"/>
      <c r="I17" s="58"/>
      <c r="J17" s="57"/>
      <c r="K17" s="58"/>
      <c r="L17" s="62"/>
    </row>
    <row r="18" ht="15" spans="1:12">
      <c r="A18" s="50"/>
      <c r="B18" s="56"/>
      <c r="C18" s="58"/>
      <c r="D18" s="58"/>
      <c r="E18" s="59"/>
      <c r="F18" s="58"/>
      <c r="G18" s="58">
        <v>9</v>
      </c>
      <c r="H18" s="90"/>
      <c r="I18" s="58"/>
      <c r="J18" s="57"/>
      <c r="K18" s="58"/>
      <c r="L18" s="62"/>
    </row>
    <row r="19" ht="15" spans="1:12">
      <c r="A19" s="50"/>
      <c r="B19" s="56"/>
      <c r="C19" s="58"/>
      <c r="D19" s="58"/>
      <c r="E19" s="38" t="s">
        <v>173</v>
      </c>
      <c r="F19" s="38"/>
      <c r="G19" s="38"/>
      <c r="H19" s="38"/>
      <c r="I19" s="38"/>
      <c r="J19" s="39"/>
      <c r="K19" s="40"/>
      <c r="L19" s="41">
        <f>SUM(L10:L18)</f>
        <v>6.5</v>
      </c>
    </row>
    <row r="20" ht="15.6" spans="1:12">
      <c r="A20" s="50"/>
      <c r="B20" s="56"/>
      <c r="C20" s="58"/>
      <c r="D20" s="58"/>
      <c r="E20" s="59" t="s">
        <v>174</v>
      </c>
      <c r="F20" s="59" t="s">
        <v>53</v>
      </c>
      <c r="G20" s="59">
        <v>1</v>
      </c>
      <c r="H20" s="88"/>
      <c r="I20" s="58"/>
      <c r="J20" s="89"/>
      <c r="K20" s="59"/>
      <c r="L20" s="92"/>
    </row>
    <row r="21" ht="15.6" spans="1:12">
      <c r="A21" s="50"/>
      <c r="B21" s="56"/>
      <c r="C21" s="58"/>
      <c r="D21" s="58"/>
      <c r="E21" s="59"/>
      <c r="F21" s="59"/>
      <c r="G21" s="59">
        <v>2</v>
      </c>
      <c r="H21" s="93"/>
      <c r="I21" s="94"/>
      <c r="J21" s="95"/>
      <c r="K21" s="94"/>
      <c r="L21" s="96"/>
    </row>
    <row r="22" ht="120" spans="1:12">
      <c r="A22" s="50" t="s">
        <v>317</v>
      </c>
      <c r="B22" s="56" t="s">
        <v>122</v>
      </c>
      <c r="C22" s="58" t="s">
        <v>318</v>
      </c>
      <c r="D22" s="58"/>
      <c r="E22" s="59" t="s">
        <v>176</v>
      </c>
      <c r="F22" s="60" t="s">
        <v>53</v>
      </c>
      <c r="G22" s="97">
        <v>1</v>
      </c>
      <c r="H22" s="90" t="s">
        <v>319</v>
      </c>
      <c r="I22" s="14" t="s">
        <v>122</v>
      </c>
      <c r="J22" s="57">
        <v>1</v>
      </c>
      <c r="K22" s="58"/>
      <c r="L22" s="62">
        <v>2</v>
      </c>
    </row>
    <row r="23" ht="15" spans="1:12">
      <c r="A23" s="50"/>
      <c r="B23" s="56"/>
      <c r="C23" s="58"/>
      <c r="D23" s="58"/>
      <c r="E23" s="59"/>
      <c r="F23" s="98"/>
      <c r="G23" s="97">
        <v>2</v>
      </c>
      <c r="H23" s="99" t="s">
        <v>320</v>
      </c>
      <c r="I23" s="14" t="s">
        <v>321</v>
      </c>
      <c r="J23" s="57">
        <v>0.8</v>
      </c>
      <c r="K23" s="58"/>
      <c r="L23" s="62">
        <v>3</v>
      </c>
    </row>
    <row r="24" ht="15" spans="1:12">
      <c r="A24" s="50"/>
      <c r="B24" s="56"/>
      <c r="C24" s="58"/>
      <c r="D24" s="58"/>
      <c r="E24" s="59"/>
      <c r="F24" s="98"/>
      <c r="G24" s="58">
        <v>3</v>
      </c>
      <c r="H24" s="100"/>
      <c r="I24" s="14" t="s">
        <v>316</v>
      </c>
      <c r="J24" s="57">
        <v>0.3</v>
      </c>
      <c r="K24" s="58"/>
      <c r="L24" s="62">
        <v>0.5</v>
      </c>
    </row>
    <row r="25" ht="15.6" spans="1:12">
      <c r="A25" s="50"/>
      <c r="B25" s="56"/>
      <c r="C25" s="58"/>
      <c r="D25" s="58"/>
      <c r="E25" s="59"/>
      <c r="F25" s="98"/>
      <c r="G25" s="58">
        <v>4</v>
      </c>
      <c r="H25" s="90"/>
      <c r="I25" s="14"/>
      <c r="J25" s="57"/>
      <c r="K25" s="58"/>
      <c r="L25" s="56"/>
    </row>
    <row r="26" ht="15.6" spans="1:12">
      <c r="A26" s="50"/>
      <c r="B26" s="56"/>
      <c r="C26" s="58"/>
      <c r="D26" s="58"/>
      <c r="E26" s="59"/>
      <c r="F26" s="98"/>
      <c r="G26" s="58">
        <v>5</v>
      </c>
      <c r="H26" s="90"/>
      <c r="I26" s="101"/>
      <c r="J26" s="57"/>
      <c r="K26" s="58"/>
      <c r="L26" s="56"/>
    </row>
    <row r="27" ht="15.6" spans="1:12">
      <c r="A27" s="50"/>
      <c r="B27" s="56"/>
      <c r="C27" s="58"/>
      <c r="D27" s="58"/>
      <c r="E27" s="59"/>
      <c r="F27" s="100"/>
      <c r="G27" s="58">
        <v>6</v>
      </c>
      <c r="H27" s="91"/>
      <c r="I27" s="58"/>
      <c r="J27" s="57"/>
      <c r="K27" s="58"/>
      <c r="L27" s="56"/>
    </row>
    <row r="28" ht="15.6" spans="1:12">
      <c r="A28" s="50"/>
      <c r="B28" s="56"/>
      <c r="C28" s="58"/>
      <c r="D28" s="58"/>
      <c r="E28" s="59"/>
      <c r="F28" s="60" t="s">
        <v>322</v>
      </c>
      <c r="G28" s="59">
        <v>1</v>
      </c>
      <c r="H28" s="90"/>
      <c r="I28" s="14"/>
      <c r="J28" s="57"/>
      <c r="K28" s="58"/>
      <c r="L28" s="56"/>
    </row>
    <row r="29" ht="15.6" spans="1:12">
      <c r="A29" s="50"/>
      <c r="B29" s="56"/>
      <c r="C29" s="58"/>
      <c r="D29" s="58"/>
      <c r="E29" s="59"/>
      <c r="F29" s="98"/>
      <c r="G29" s="58">
        <v>2</v>
      </c>
      <c r="H29" s="90"/>
      <c r="I29" s="58"/>
      <c r="J29" s="57"/>
      <c r="K29" s="58"/>
      <c r="L29" s="56"/>
    </row>
    <row r="30" ht="15.6" spans="1:12">
      <c r="A30" s="50"/>
      <c r="B30" s="56"/>
      <c r="C30" s="58"/>
      <c r="D30" s="58"/>
      <c r="E30" s="59"/>
      <c r="F30" s="100"/>
      <c r="G30" s="58">
        <v>3</v>
      </c>
      <c r="H30" s="90"/>
      <c r="I30" s="58"/>
      <c r="J30" s="57"/>
      <c r="K30" s="58"/>
      <c r="L30" s="56"/>
    </row>
    <row r="31" ht="15" spans="1:12">
      <c r="A31" s="50"/>
      <c r="B31" s="56"/>
      <c r="C31" s="58"/>
      <c r="D31" s="58"/>
      <c r="E31" s="38" t="s">
        <v>173</v>
      </c>
      <c r="F31" s="38"/>
      <c r="G31" s="38"/>
      <c r="H31" s="38"/>
      <c r="I31" s="38"/>
      <c r="J31" s="39"/>
      <c r="K31" s="40"/>
      <c r="L31" s="41">
        <f>SUM(L22:L30)</f>
        <v>5.5</v>
      </c>
    </row>
    <row r="32" ht="15.6" spans="1:12">
      <c r="A32" s="50"/>
      <c r="B32" s="56"/>
      <c r="C32" s="58"/>
      <c r="D32" s="58"/>
      <c r="E32" s="59" t="s">
        <v>174</v>
      </c>
      <c r="F32" s="59" t="s">
        <v>53</v>
      </c>
      <c r="G32" s="59">
        <v>1</v>
      </c>
      <c r="H32" s="88"/>
      <c r="I32" s="58"/>
      <c r="J32" s="89"/>
      <c r="K32" s="59"/>
      <c r="L32" s="62"/>
    </row>
    <row r="33" ht="15.6" spans="1:12">
      <c r="A33" s="50"/>
      <c r="B33" s="56"/>
      <c r="C33" s="58"/>
      <c r="D33" s="58"/>
      <c r="E33" s="59"/>
      <c r="F33" s="59"/>
      <c r="G33" s="59">
        <v>2</v>
      </c>
      <c r="H33" s="93"/>
      <c r="I33" s="94"/>
      <c r="J33" s="95"/>
      <c r="K33" s="94"/>
      <c r="L33" s="102"/>
    </row>
    <row r="34" ht="15" spans="1:12">
      <c r="A34" s="50" t="s">
        <v>323</v>
      </c>
      <c r="B34" s="56" t="s">
        <v>122</v>
      </c>
      <c r="C34" s="58" t="s">
        <v>318</v>
      </c>
      <c r="D34" s="58"/>
      <c r="E34" s="59" t="s">
        <v>176</v>
      </c>
      <c r="F34" s="60" t="s">
        <v>53</v>
      </c>
      <c r="G34" s="97">
        <v>1</v>
      </c>
      <c r="H34" s="90" t="s">
        <v>324</v>
      </c>
      <c r="I34" s="14" t="s">
        <v>321</v>
      </c>
      <c r="J34" s="57">
        <v>1</v>
      </c>
      <c r="K34" s="10"/>
      <c r="L34" s="62">
        <v>1</v>
      </c>
    </row>
    <row r="35" ht="15" spans="1:12">
      <c r="A35" s="50"/>
      <c r="B35" s="56"/>
      <c r="C35" s="58"/>
      <c r="D35" s="58"/>
      <c r="E35" s="59"/>
      <c r="F35" s="98"/>
      <c r="G35" s="97">
        <v>2</v>
      </c>
      <c r="H35" s="103"/>
      <c r="I35" s="103"/>
      <c r="J35" s="103"/>
      <c r="K35" s="103"/>
      <c r="L35" s="104"/>
    </row>
    <row r="36" ht="15" spans="1:12">
      <c r="A36" s="50"/>
      <c r="B36" s="56"/>
      <c r="C36" s="58"/>
      <c r="D36" s="58"/>
      <c r="E36" s="59"/>
      <c r="F36" s="98"/>
      <c r="G36" s="97">
        <v>3</v>
      </c>
      <c r="H36" s="103"/>
      <c r="I36" s="103"/>
      <c r="J36" s="103"/>
      <c r="K36" s="103"/>
      <c r="L36" s="104"/>
    </row>
    <row r="37" ht="15" spans="1:12">
      <c r="A37" s="50"/>
      <c r="B37" s="56"/>
      <c r="C37" s="58"/>
      <c r="D37" s="58"/>
      <c r="E37" s="59"/>
      <c r="F37" s="98"/>
      <c r="G37" s="58">
        <v>4</v>
      </c>
      <c r="H37" s="105"/>
      <c r="I37" s="106"/>
      <c r="J37" s="107"/>
      <c r="K37" s="81"/>
      <c r="L37" s="108"/>
    </row>
    <row r="38" ht="15" spans="1:12">
      <c r="A38" s="50"/>
      <c r="B38" s="56"/>
      <c r="C38" s="58"/>
      <c r="D38" s="58"/>
      <c r="E38" s="59"/>
      <c r="F38" s="98"/>
      <c r="G38" s="58">
        <v>5</v>
      </c>
      <c r="H38" s="90"/>
      <c r="I38" s="14"/>
      <c r="J38" s="57"/>
      <c r="K38" s="58"/>
      <c r="L38" s="62"/>
    </row>
    <row r="39" ht="15" spans="1:12">
      <c r="A39" s="50"/>
      <c r="B39" s="56"/>
      <c r="C39" s="58"/>
      <c r="D39" s="58"/>
      <c r="E39" s="59"/>
      <c r="F39" s="100"/>
      <c r="G39" s="58">
        <v>6</v>
      </c>
      <c r="H39" s="91"/>
      <c r="I39" s="58"/>
      <c r="J39" s="57"/>
      <c r="K39" s="58"/>
      <c r="L39" s="62"/>
    </row>
    <row r="40" ht="15" spans="1:12">
      <c r="A40" s="50"/>
      <c r="B40" s="56"/>
      <c r="C40" s="58"/>
      <c r="D40" s="58"/>
      <c r="E40" s="59"/>
      <c r="F40" s="60" t="s">
        <v>194</v>
      </c>
      <c r="G40" s="59">
        <v>1</v>
      </c>
      <c r="H40" s="90"/>
      <c r="I40" s="14"/>
      <c r="J40" s="57"/>
      <c r="K40" s="58"/>
      <c r="L40" s="62"/>
    </row>
    <row r="41" ht="15.6" spans="1:12">
      <c r="A41" s="50"/>
      <c r="B41" s="56"/>
      <c r="C41" s="58"/>
      <c r="D41" s="58"/>
      <c r="E41" s="59"/>
      <c r="F41" s="98"/>
      <c r="G41" s="58">
        <v>2</v>
      </c>
      <c r="H41" s="90"/>
      <c r="I41" s="58"/>
      <c r="J41" s="57"/>
      <c r="K41" s="58"/>
      <c r="L41" s="56"/>
    </row>
    <row r="42" ht="15.6" spans="1:12">
      <c r="A42" s="50"/>
      <c r="B42" s="56"/>
      <c r="C42" s="58"/>
      <c r="D42" s="58"/>
      <c r="E42" s="59"/>
      <c r="F42" s="100"/>
      <c r="G42" s="58">
        <v>3</v>
      </c>
      <c r="H42" s="90"/>
      <c r="I42" s="58"/>
      <c r="J42" s="57"/>
      <c r="K42" s="58"/>
      <c r="L42" s="56"/>
    </row>
    <row r="43" ht="15" spans="1:12">
      <c r="A43" s="50"/>
      <c r="B43" s="56"/>
      <c r="C43" s="58"/>
      <c r="D43" s="58"/>
      <c r="E43" s="38" t="s">
        <v>173</v>
      </c>
      <c r="F43" s="38"/>
      <c r="G43" s="38"/>
      <c r="H43" s="38"/>
      <c r="I43" s="38"/>
      <c r="J43" s="39"/>
      <c r="K43" s="40"/>
      <c r="L43" s="41">
        <f>SUM(L34:L42)</f>
        <v>1</v>
      </c>
    </row>
    <row r="44" ht="15.6" spans="1:12">
      <c r="A44" s="50"/>
      <c r="B44" s="56"/>
      <c r="C44" s="58"/>
      <c r="D44" s="58"/>
      <c r="E44" s="59" t="s">
        <v>174</v>
      </c>
      <c r="F44" s="59" t="s">
        <v>53</v>
      </c>
      <c r="G44" s="59">
        <v>1</v>
      </c>
      <c r="H44" s="88"/>
      <c r="I44" s="58"/>
      <c r="J44" s="89"/>
      <c r="K44" s="59"/>
      <c r="L44" s="92"/>
    </row>
    <row r="45" ht="15.6" spans="1:12">
      <c r="A45" s="50"/>
      <c r="B45" s="56"/>
      <c r="C45" s="58"/>
      <c r="D45" s="58"/>
      <c r="E45" s="59"/>
      <c r="F45" s="59"/>
      <c r="G45" s="59">
        <v>2</v>
      </c>
      <c r="H45" s="88"/>
      <c r="I45" s="59"/>
      <c r="J45" s="89"/>
      <c r="K45" s="59"/>
      <c r="L45" s="62"/>
    </row>
    <row r="46" ht="30" spans="1:12">
      <c r="A46" s="50" t="s">
        <v>325</v>
      </c>
      <c r="B46" s="56" t="s">
        <v>122</v>
      </c>
      <c r="C46" s="57">
        <v>0.99</v>
      </c>
      <c r="D46" s="58"/>
      <c r="E46" s="59" t="s">
        <v>176</v>
      </c>
      <c r="F46" s="60" t="s">
        <v>53</v>
      </c>
      <c r="G46" s="58">
        <v>1</v>
      </c>
      <c r="H46" s="90" t="s">
        <v>326</v>
      </c>
      <c r="I46" s="14" t="s">
        <v>122</v>
      </c>
      <c r="J46" s="57">
        <v>1</v>
      </c>
      <c r="K46" s="58"/>
      <c r="L46" s="62">
        <v>1</v>
      </c>
    </row>
    <row r="47" ht="15" spans="1:12">
      <c r="A47" s="50"/>
      <c r="B47" s="56"/>
      <c r="C47" s="58"/>
      <c r="D47" s="58"/>
      <c r="E47" s="59"/>
      <c r="F47" s="63"/>
      <c r="G47" s="58">
        <v>2</v>
      </c>
      <c r="H47" s="99" t="s">
        <v>327</v>
      </c>
      <c r="I47" s="14" t="s">
        <v>316</v>
      </c>
      <c r="J47" s="57">
        <v>1</v>
      </c>
      <c r="K47" s="58"/>
      <c r="L47" s="62">
        <v>3</v>
      </c>
    </row>
    <row r="48" ht="15" spans="1:12">
      <c r="A48" s="50"/>
      <c r="B48" s="56"/>
      <c r="C48" s="58"/>
      <c r="D48" s="58"/>
      <c r="E48" s="59"/>
      <c r="F48" s="63"/>
      <c r="G48" s="58">
        <v>3</v>
      </c>
      <c r="H48" s="100"/>
      <c r="I48" s="14" t="s">
        <v>306</v>
      </c>
      <c r="J48" s="57">
        <v>1</v>
      </c>
      <c r="K48" s="58"/>
      <c r="L48" s="62">
        <v>3.5</v>
      </c>
    </row>
    <row r="49" ht="15" spans="1:12">
      <c r="A49" s="50"/>
      <c r="B49" s="56"/>
      <c r="C49" s="58"/>
      <c r="D49" s="58"/>
      <c r="E49" s="59"/>
      <c r="F49" s="63"/>
      <c r="G49" s="58">
        <v>4</v>
      </c>
      <c r="H49" s="90"/>
      <c r="I49" s="14"/>
      <c r="J49" s="57"/>
      <c r="K49" s="58"/>
      <c r="L49" s="62"/>
    </row>
    <row r="50" ht="15" spans="1:12">
      <c r="A50" s="50"/>
      <c r="B50" s="56"/>
      <c r="C50" s="58"/>
      <c r="D50" s="58"/>
      <c r="E50" s="59"/>
      <c r="F50" s="63"/>
      <c r="G50" s="58">
        <v>5</v>
      </c>
      <c r="H50" s="90"/>
      <c r="I50" s="14"/>
      <c r="J50" s="57"/>
      <c r="K50" s="58"/>
      <c r="L50" s="62"/>
    </row>
    <row r="51" ht="15" spans="1:12">
      <c r="A51" s="50"/>
      <c r="B51" s="56"/>
      <c r="C51" s="58"/>
      <c r="D51" s="58"/>
      <c r="E51" s="59"/>
      <c r="F51" s="81"/>
      <c r="G51" s="58">
        <v>6</v>
      </c>
      <c r="H51" s="109"/>
      <c r="I51" s="14"/>
      <c r="J51" s="110"/>
      <c r="K51" s="58"/>
      <c r="L51" s="62"/>
    </row>
    <row r="52" ht="15" spans="1:12">
      <c r="A52" s="50"/>
      <c r="B52" s="56"/>
      <c r="C52" s="58"/>
      <c r="D52" s="58"/>
      <c r="E52" s="59"/>
      <c r="F52" s="60" t="s">
        <v>328</v>
      </c>
      <c r="G52" s="111">
        <v>1</v>
      </c>
      <c r="H52" s="112"/>
      <c r="I52" s="113"/>
      <c r="J52" s="114"/>
      <c r="K52" s="115"/>
      <c r="L52" s="62"/>
    </row>
    <row r="53" ht="15" spans="1:12">
      <c r="A53" s="50"/>
      <c r="B53" s="56"/>
      <c r="C53" s="58"/>
      <c r="D53" s="58"/>
      <c r="E53" s="59"/>
      <c r="F53" s="63"/>
      <c r="G53" s="97">
        <v>2</v>
      </c>
      <c r="H53" s="112"/>
      <c r="I53" s="116"/>
      <c r="J53" s="114"/>
      <c r="K53" s="115"/>
      <c r="L53" s="62"/>
    </row>
    <row r="54" ht="15" spans="1:12">
      <c r="A54" s="50"/>
      <c r="B54" s="56"/>
      <c r="C54" s="58"/>
      <c r="D54" s="58"/>
      <c r="E54" s="59"/>
      <c r="F54" s="81"/>
      <c r="G54" s="58">
        <v>3</v>
      </c>
      <c r="H54" s="105"/>
      <c r="I54" s="58"/>
      <c r="J54" s="107"/>
      <c r="K54" s="58"/>
      <c r="L54" s="62"/>
    </row>
    <row r="55" ht="15" spans="1:12">
      <c r="A55" s="50"/>
      <c r="B55" s="56"/>
      <c r="C55" s="58"/>
      <c r="D55" s="58"/>
      <c r="E55" s="38" t="s">
        <v>173</v>
      </c>
      <c r="F55" s="38"/>
      <c r="G55" s="38"/>
      <c r="H55" s="38"/>
      <c r="I55" s="38"/>
      <c r="J55" s="39"/>
      <c r="K55" s="40"/>
      <c r="L55" s="41">
        <f>SUM(L46:L54)</f>
        <v>7.5</v>
      </c>
    </row>
    <row r="56" ht="15.6" spans="1:12">
      <c r="A56" s="50"/>
      <c r="B56" s="56"/>
      <c r="C56" s="58"/>
      <c r="D56" s="58"/>
      <c r="E56" s="59" t="s">
        <v>174</v>
      </c>
      <c r="F56" s="59" t="s">
        <v>53</v>
      </c>
      <c r="G56" s="59">
        <v>1</v>
      </c>
      <c r="H56" s="88"/>
      <c r="I56" s="58"/>
      <c r="J56" s="89"/>
      <c r="K56" s="59"/>
      <c r="L56" s="92"/>
    </row>
    <row r="57" ht="15.6" spans="1:12">
      <c r="A57" s="50"/>
      <c r="B57" s="56"/>
      <c r="C57" s="58"/>
      <c r="D57" s="58"/>
      <c r="E57" s="59"/>
      <c r="F57" s="59"/>
      <c r="G57" s="59">
        <v>2</v>
      </c>
      <c r="H57" s="88"/>
      <c r="I57" s="59"/>
      <c r="J57" s="89"/>
      <c r="K57" s="59"/>
      <c r="L57" s="92"/>
    </row>
    <row r="58" ht="15" spans="1:12">
      <c r="A58" s="50" t="s">
        <v>329</v>
      </c>
      <c r="B58" s="56" t="s">
        <v>122</v>
      </c>
      <c r="C58" s="58" t="s">
        <v>318</v>
      </c>
      <c r="D58" s="58"/>
      <c r="E58" s="59" t="s">
        <v>176</v>
      </c>
      <c r="F58" s="58" t="s">
        <v>53</v>
      </c>
      <c r="G58" s="58">
        <v>1</v>
      </c>
      <c r="H58" s="90"/>
      <c r="I58" s="14"/>
      <c r="J58" s="57"/>
      <c r="K58" s="58"/>
      <c r="L58" s="62"/>
    </row>
    <row r="59" ht="15" spans="1:12">
      <c r="A59" s="50"/>
      <c r="B59" s="56"/>
      <c r="C59" s="58"/>
      <c r="D59" s="58"/>
      <c r="E59" s="59"/>
      <c r="F59" s="58"/>
      <c r="G59" s="58">
        <v>2</v>
      </c>
      <c r="H59" s="91"/>
      <c r="I59" s="14"/>
      <c r="J59" s="57"/>
      <c r="K59" s="58"/>
      <c r="L59" s="62"/>
    </row>
    <row r="60" ht="15" spans="1:12">
      <c r="A60" s="50"/>
      <c r="B60" s="56"/>
      <c r="C60" s="58"/>
      <c r="D60" s="58"/>
      <c r="E60" s="59"/>
      <c r="F60" s="58"/>
      <c r="G60" s="58">
        <v>3</v>
      </c>
      <c r="H60" s="90"/>
      <c r="I60" s="14"/>
      <c r="J60" s="57"/>
      <c r="K60" s="58"/>
      <c r="L60" s="62"/>
    </row>
    <row r="61" ht="15" spans="1:12">
      <c r="A61" s="50"/>
      <c r="B61" s="56"/>
      <c r="C61" s="58"/>
      <c r="D61" s="58"/>
      <c r="E61" s="59"/>
      <c r="F61" s="58"/>
      <c r="G61" s="58">
        <v>4</v>
      </c>
      <c r="H61" s="90"/>
      <c r="I61" s="14"/>
      <c r="J61" s="57"/>
      <c r="K61" s="58"/>
      <c r="L61" s="62"/>
    </row>
    <row r="62" ht="15" spans="1:12">
      <c r="A62" s="50"/>
      <c r="B62" s="56"/>
      <c r="C62" s="58"/>
      <c r="D62" s="58"/>
      <c r="E62" s="59"/>
      <c r="F62" s="58"/>
      <c r="G62" s="58">
        <v>5</v>
      </c>
      <c r="H62" s="90"/>
      <c r="I62" s="14"/>
      <c r="J62" s="57"/>
      <c r="K62" s="58"/>
      <c r="L62" s="62"/>
    </row>
    <row r="63" ht="15" spans="1:12">
      <c r="A63" s="50"/>
      <c r="B63" s="56"/>
      <c r="C63" s="58"/>
      <c r="D63" s="58"/>
      <c r="E63" s="59"/>
      <c r="F63" s="58"/>
      <c r="G63" s="58">
        <v>6</v>
      </c>
      <c r="H63" s="91"/>
      <c r="I63" s="58"/>
      <c r="J63" s="57"/>
      <c r="K63" s="58"/>
      <c r="L63" s="62"/>
    </row>
    <row r="64" ht="15" spans="1:12">
      <c r="A64" s="50"/>
      <c r="B64" s="56"/>
      <c r="C64" s="58"/>
      <c r="D64" s="58"/>
      <c r="E64" s="59"/>
      <c r="F64" s="58"/>
      <c r="G64" s="59">
        <v>7</v>
      </c>
      <c r="H64" s="90"/>
      <c r="I64" s="58"/>
      <c r="J64" s="57"/>
      <c r="K64" s="58"/>
      <c r="L64" s="62"/>
    </row>
    <row r="65" ht="15" spans="1:12">
      <c r="A65" s="50"/>
      <c r="B65" s="56"/>
      <c r="C65" s="58"/>
      <c r="D65" s="58"/>
      <c r="E65" s="59"/>
      <c r="F65" s="58"/>
      <c r="G65" s="58">
        <v>8</v>
      </c>
      <c r="H65" s="90"/>
      <c r="I65" s="58"/>
      <c r="J65" s="57"/>
      <c r="K65" s="58"/>
      <c r="L65" s="62"/>
    </row>
    <row r="66" ht="15" spans="1:12">
      <c r="A66" s="50"/>
      <c r="B66" s="56"/>
      <c r="C66" s="58"/>
      <c r="D66" s="58"/>
      <c r="E66" s="59"/>
      <c r="F66" s="58"/>
      <c r="G66" s="58">
        <v>9</v>
      </c>
      <c r="H66" s="90"/>
      <c r="I66" s="58"/>
      <c r="J66" s="57"/>
      <c r="K66" s="58"/>
      <c r="L66" s="62"/>
    </row>
    <row r="67" ht="15" spans="1:12">
      <c r="A67" s="50"/>
      <c r="B67" s="56"/>
      <c r="C67" s="58"/>
      <c r="D67" s="58"/>
      <c r="E67" s="38" t="s">
        <v>173</v>
      </c>
      <c r="F67" s="38"/>
      <c r="G67" s="38"/>
      <c r="H67" s="38"/>
      <c r="I67" s="38"/>
      <c r="J67" s="39"/>
      <c r="K67" s="40"/>
      <c r="L67" s="41">
        <f>SUM(L58:L66)</f>
        <v>0</v>
      </c>
    </row>
    <row r="68" ht="15.6" spans="1:12">
      <c r="A68" s="50"/>
      <c r="B68" s="56"/>
      <c r="C68" s="58"/>
      <c r="D68" s="58"/>
      <c r="E68" s="59" t="s">
        <v>174</v>
      </c>
      <c r="F68" s="59" t="s">
        <v>53</v>
      </c>
      <c r="G68" s="59">
        <v>1</v>
      </c>
      <c r="H68" s="88"/>
      <c r="I68" s="58"/>
      <c r="J68" s="89"/>
      <c r="K68" s="59"/>
      <c r="L68" s="62"/>
    </row>
    <row r="69" ht="15.6" spans="1:12">
      <c r="A69" s="50"/>
      <c r="B69" s="56"/>
      <c r="C69" s="58"/>
      <c r="D69" s="58"/>
      <c r="E69" s="59"/>
      <c r="F69" s="59"/>
      <c r="G69" s="59">
        <v>2</v>
      </c>
      <c r="H69" s="88"/>
      <c r="I69" s="59"/>
      <c r="J69" s="89"/>
      <c r="K69" s="59"/>
      <c r="L69" s="62"/>
    </row>
    <row r="70" ht="15" spans="1:12">
      <c r="A70" s="50" t="s">
        <v>330</v>
      </c>
      <c r="B70" s="56" t="s">
        <v>306</v>
      </c>
      <c r="C70" s="58" t="s">
        <v>318</v>
      </c>
      <c r="D70" s="58"/>
      <c r="E70" s="59" t="s">
        <v>176</v>
      </c>
      <c r="F70" s="58" t="s">
        <v>53</v>
      </c>
      <c r="G70" s="58">
        <v>1</v>
      </c>
      <c r="H70" s="117"/>
      <c r="I70" s="14"/>
      <c r="J70" s="57"/>
      <c r="K70" s="58"/>
      <c r="L70" s="62"/>
    </row>
    <row r="71" ht="15" spans="1:12">
      <c r="A71" s="50"/>
      <c r="B71" s="56"/>
      <c r="C71" s="58"/>
      <c r="D71" s="58"/>
      <c r="E71" s="59"/>
      <c r="F71" s="58"/>
      <c r="G71" s="58">
        <v>2</v>
      </c>
      <c r="H71" s="91"/>
      <c r="I71" s="14"/>
      <c r="J71" s="57"/>
      <c r="K71" s="58"/>
      <c r="L71" s="62"/>
    </row>
    <row r="72" ht="15" spans="1:12">
      <c r="A72" s="50"/>
      <c r="B72" s="56"/>
      <c r="C72" s="58"/>
      <c r="D72" s="58"/>
      <c r="E72" s="59"/>
      <c r="F72" s="58"/>
      <c r="G72" s="58">
        <v>3</v>
      </c>
      <c r="H72" s="90"/>
      <c r="I72" s="14"/>
      <c r="J72" s="57"/>
      <c r="K72" s="58"/>
      <c r="L72" s="62"/>
    </row>
    <row r="73" ht="15" spans="1:12">
      <c r="A73" s="50"/>
      <c r="B73" s="56"/>
      <c r="C73" s="58"/>
      <c r="D73" s="58"/>
      <c r="E73" s="59"/>
      <c r="F73" s="58"/>
      <c r="G73" s="58">
        <v>4</v>
      </c>
      <c r="H73" s="90"/>
      <c r="I73" s="14"/>
      <c r="J73" s="57"/>
      <c r="K73" s="58"/>
      <c r="L73" s="62"/>
    </row>
    <row r="74" ht="15" spans="1:12">
      <c r="A74" s="50"/>
      <c r="B74" s="56"/>
      <c r="C74" s="58"/>
      <c r="D74" s="58"/>
      <c r="E74" s="59"/>
      <c r="F74" s="58"/>
      <c r="G74" s="58">
        <v>5</v>
      </c>
      <c r="H74" s="90"/>
      <c r="I74" s="14"/>
      <c r="J74" s="57"/>
      <c r="K74" s="58"/>
      <c r="L74" s="62"/>
    </row>
    <row r="75" ht="15" spans="1:12">
      <c r="A75" s="50"/>
      <c r="B75" s="56"/>
      <c r="C75" s="58"/>
      <c r="D75" s="58"/>
      <c r="E75" s="59"/>
      <c r="F75" s="58"/>
      <c r="G75" s="58">
        <v>6</v>
      </c>
      <c r="H75" s="91"/>
      <c r="I75" s="58"/>
      <c r="J75" s="57"/>
      <c r="K75" s="58"/>
      <c r="L75" s="62"/>
    </row>
    <row r="76" ht="15" spans="1:12">
      <c r="A76" s="50"/>
      <c r="B76" s="56"/>
      <c r="C76" s="58"/>
      <c r="D76" s="58"/>
      <c r="E76" s="59"/>
      <c r="F76" s="58"/>
      <c r="G76" s="59">
        <v>7</v>
      </c>
      <c r="H76" s="90"/>
      <c r="I76" s="58"/>
      <c r="J76" s="57"/>
      <c r="K76" s="58"/>
      <c r="L76" s="62"/>
    </row>
    <row r="77" ht="15" spans="1:12">
      <c r="A77" s="50"/>
      <c r="B77" s="56"/>
      <c r="C77" s="58"/>
      <c r="D77" s="58"/>
      <c r="E77" s="59"/>
      <c r="F77" s="58"/>
      <c r="G77" s="58">
        <v>8</v>
      </c>
      <c r="H77" s="90"/>
      <c r="I77" s="58"/>
      <c r="J77" s="57"/>
      <c r="K77" s="58"/>
      <c r="L77" s="62"/>
    </row>
    <row r="78" ht="15" spans="1:12">
      <c r="A78" s="50"/>
      <c r="B78" s="56"/>
      <c r="C78" s="58"/>
      <c r="D78" s="58"/>
      <c r="E78" s="59"/>
      <c r="F78" s="58"/>
      <c r="G78" s="58">
        <v>9</v>
      </c>
      <c r="H78" s="90"/>
      <c r="I78" s="58"/>
      <c r="J78" s="57"/>
      <c r="K78" s="58"/>
      <c r="L78" s="62"/>
    </row>
    <row r="79" ht="15" spans="1:12">
      <c r="A79" s="50"/>
      <c r="B79" s="56"/>
      <c r="C79" s="58"/>
      <c r="D79" s="58"/>
      <c r="E79" s="38" t="s">
        <v>173</v>
      </c>
      <c r="F79" s="38"/>
      <c r="G79" s="38"/>
      <c r="H79" s="38"/>
      <c r="I79" s="38"/>
      <c r="J79" s="39"/>
      <c r="K79" s="40"/>
      <c r="L79" s="41">
        <f>SUM(L70:L78)</f>
        <v>0</v>
      </c>
    </row>
    <row r="80" ht="15.6" spans="1:12">
      <c r="A80" s="50"/>
      <c r="B80" s="56"/>
      <c r="C80" s="58"/>
      <c r="D80" s="58"/>
      <c r="E80" s="59" t="s">
        <v>174</v>
      </c>
      <c r="F80" s="59" t="s">
        <v>53</v>
      </c>
      <c r="G80" s="59">
        <v>1</v>
      </c>
      <c r="H80" s="88"/>
      <c r="I80" s="58"/>
      <c r="J80" s="89"/>
      <c r="K80" s="59"/>
      <c r="L80" s="92"/>
    </row>
    <row r="81" ht="15.6" spans="1:12">
      <c r="A81" s="50"/>
      <c r="B81" s="56"/>
      <c r="C81" s="58"/>
      <c r="D81" s="58"/>
      <c r="E81" s="59"/>
      <c r="F81" s="59"/>
      <c r="G81" s="59">
        <v>2</v>
      </c>
      <c r="H81" s="88"/>
      <c r="I81" s="59"/>
      <c r="J81" s="89"/>
      <c r="K81" s="59"/>
      <c r="L81" s="92"/>
    </row>
  </sheetData>
  <autoFilter xmlns:etc="http://www.wps.cn/officeDocument/2017/etCustomData" ref="I1:I49" etc:filterBottomFollowUsedRange="0">
    <extLst/>
  </autoFilter>
  <mergeCells count="68">
    <mergeCell ref="E7:H7"/>
    <mergeCell ref="E19:H19"/>
    <mergeCell ref="E31:H31"/>
    <mergeCell ref="E43:H43"/>
    <mergeCell ref="E55:H55"/>
    <mergeCell ref="E67:H67"/>
    <mergeCell ref="E79:H79"/>
    <mergeCell ref="A2:A9"/>
    <mergeCell ref="A10:A21"/>
    <mergeCell ref="A22:A33"/>
    <mergeCell ref="A34:A45"/>
    <mergeCell ref="A46:A57"/>
    <mergeCell ref="A58:A69"/>
    <mergeCell ref="A70:A81"/>
    <mergeCell ref="B2:B9"/>
    <mergeCell ref="B10:B21"/>
    <mergeCell ref="B22:B33"/>
    <mergeCell ref="B34:B45"/>
    <mergeCell ref="B46:B57"/>
    <mergeCell ref="B58:B69"/>
    <mergeCell ref="B70:B81"/>
    <mergeCell ref="C2:C9"/>
    <mergeCell ref="C10:C21"/>
    <mergeCell ref="C22:C33"/>
    <mergeCell ref="C34:C45"/>
    <mergeCell ref="C46:C57"/>
    <mergeCell ref="C58:C69"/>
    <mergeCell ref="C70:C81"/>
    <mergeCell ref="D2:D9"/>
    <mergeCell ref="D10:D21"/>
    <mergeCell ref="D22:D33"/>
    <mergeCell ref="D34:D45"/>
    <mergeCell ref="D46:D57"/>
    <mergeCell ref="D58:D69"/>
    <mergeCell ref="D70:D81"/>
    <mergeCell ref="E2:E6"/>
    <mergeCell ref="E8:E9"/>
    <mergeCell ref="E10:E18"/>
    <mergeCell ref="E20:E21"/>
    <mergeCell ref="E22:E30"/>
    <mergeCell ref="E32:E33"/>
    <mergeCell ref="E34:E42"/>
    <mergeCell ref="E44:E45"/>
    <mergeCell ref="E46:E54"/>
    <mergeCell ref="E56:E57"/>
    <mergeCell ref="E58:E66"/>
    <mergeCell ref="E68:E69"/>
    <mergeCell ref="E70:E78"/>
    <mergeCell ref="E80:E81"/>
    <mergeCell ref="F2:F6"/>
    <mergeCell ref="F8:F9"/>
    <mergeCell ref="F10:F18"/>
    <mergeCell ref="F20:F21"/>
    <mergeCell ref="F22:F27"/>
    <mergeCell ref="F28:F30"/>
    <mergeCell ref="F32:F33"/>
    <mergeCell ref="F34:F39"/>
    <mergeCell ref="F40:F42"/>
    <mergeCell ref="F44:F45"/>
    <mergeCell ref="F46:F51"/>
    <mergeCell ref="F52:F54"/>
    <mergeCell ref="F56:F57"/>
    <mergeCell ref="F58:F66"/>
    <mergeCell ref="F68:F69"/>
    <mergeCell ref="F70:F78"/>
    <mergeCell ref="F80:F81"/>
    <mergeCell ref="H23:H24"/>
    <mergeCell ref="H47:H48"/>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42"/>
  <sheetViews>
    <sheetView workbookViewId="0">
      <pane ySplit="1" topLeftCell="A29" activePane="bottomLeft" state="frozen"/>
      <selection/>
      <selection pane="bottomLeft" activeCell="L30" sqref="L30"/>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148</v>
      </c>
      <c r="B1" s="4" t="s">
        <v>6</v>
      </c>
      <c r="C1" s="3" t="s">
        <v>149</v>
      </c>
      <c r="D1" s="3" t="s">
        <v>150</v>
      </c>
      <c r="E1" s="4" t="s">
        <v>151</v>
      </c>
      <c r="F1" s="3" t="s">
        <v>152</v>
      </c>
      <c r="G1" s="3" t="s">
        <v>1</v>
      </c>
      <c r="H1" s="5" t="s">
        <v>153</v>
      </c>
      <c r="I1" s="3" t="s">
        <v>154</v>
      </c>
      <c r="J1" s="6" t="s">
        <v>155</v>
      </c>
      <c r="K1" s="3" t="s">
        <v>156</v>
      </c>
      <c r="L1" s="7" t="s">
        <v>157</v>
      </c>
      <c r="M1" s="8"/>
      <c r="N1" s="8"/>
      <c r="O1" s="8"/>
      <c r="P1" s="8"/>
      <c r="Q1" s="8"/>
      <c r="R1" s="8"/>
      <c r="S1" s="8"/>
      <c r="T1" s="8"/>
      <c r="U1" s="8"/>
      <c r="V1" s="8"/>
      <c r="W1" s="8"/>
      <c r="X1" s="8"/>
      <c r="Y1" s="8"/>
      <c r="Z1" s="8"/>
    </row>
    <row r="2" ht="15.6" spans="1:26">
      <c r="A2" s="3" t="s">
        <v>331</v>
      </c>
      <c r="B2" s="9" t="s">
        <v>59</v>
      </c>
      <c r="C2" s="454" t="s">
        <v>318</v>
      </c>
      <c r="D2" s="10"/>
      <c r="E2" s="11" t="s">
        <v>176</v>
      </c>
      <c r="F2" s="12" t="s">
        <v>53</v>
      </c>
      <c r="G2" s="10">
        <v>1</v>
      </c>
      <c r="H2" s="13" t="s">
        <v>332</v>
      </c>
      <c r="I2" s="14" t="s">
        <v>333</v>
      </c>
      <c r="J2" s="15">
        <v>1</v>
      </c>
      <c r="K2" s="10"/>
      <c r="L2" s="9"/>
    </row>
    <row r="3" ht="15.6" spans="1:26">
      <c r="A3" s="3"/>
      <c r="B3" s="9"/>
      <c r="C3" s="10"/>
      <c r="D3" s="10"/>
      <c r="E3" s="11"/>
      <c r="F3" s="16"/>
      <c r="G3" s="10">
        <v>2</v>
      </c>
      <c r="H3" s="17" t="s">
        <v>334</v>
      </c>
      <c r="I3" s="14" t="s">
        <v>335</v>
      </c>
      <c r="J3" s="15">
        <v>1</v>
      </c>
      <c r="K3" s="10" t="s">
        <v>336</v>
      </c>
      <c r="L3" s="9"/>
    </row>
    <row r="4" ht="24" customHeight="1" spans="1:26">
      <c r="A4" s="3"/>
      <c r="B4" s="9"/>
      <c r="C4" s="10"/>
      <c r="D4" s="10"/>
      <c r="E4" s="11"/>
      <c r="F4" s="16"/>
      <c r="G4" s="10">
        <v>3</v>
      </c>
      <c r="H4" s="13" t="s">
        <v>337</v>
      </c>
      <c r="I4" s="14" t="s">
        <v>338</v>
      </c>
      <c r="J4" s="18">
        <v>0.98</v>
      </c>
      <c r="K4" s="12" t="s">
        <v>339</v>
      </c>
      <c r="L4" s="9"/>
    </row>
    <row r="5" ht="22" customHeight="1" spans="1:26">
      <c r="A5" s="3"/>
      <c r="B5" s="9"/>
      <c r="C5" s="10"/>
      <c r="D5" s="10"/>
      <c r="E5" s="11"/>
      <c r="F5" s="16"/>
      <c r="G5" s="10"/>
      <c r="H5" s="13"/>
      <c r="I5" s="14" t="s">
        <v>340</v>
      </c>
      <c r="J5" s="19"/>
      <c r="K5" s="16"/>
      <c r="L5" s="9"/>
    </row>
    <row r="6" ht="22" customHeight="1" spans="1:26">
      <c r="A6" s="3"/>
      <c r="B6" s="9"/>
      <c r="C6" s="10"/>
      <c r="D6" s="10"/>
      <c r="E6" s="11"/>
      <c r="F6" s="16"/>
      <c r="G6" s="10"/>
      <c r="H6" s="13"/>
      <c r="I6" s="14" t="s">
        <v>335</v>
      </c>
      <c r="J6" s="20"/>
      <c r="K6" s="21"/>
      <c r="L6" s="9"/>
    </row>
    <row r="7" ht="22" customHeight="1" spans="1:26">
      <c r="A7" s="3"/>
      <c r="B7" s="9"/>
      <c r="C7" s="10"/>
      <c r="D7" s="10"/>
      <c r="E7" s="11"/>
      <c r="F7" s="16"/>
      <c r="G7" s="22">
        <v>4</v>
      </c>
      <c r="H7" s="23" t="s">
        <v>341</v>
      </c>
      <c r="I7" s="22" t="s">
        <v>340</v>
      </c>
      <c r="J7" s="24">
        <v>1</v>
      </c>
      <c r="K7" s="10"/>
      <c r="L7" s="9"/>
    </row>
    <row r="8" ht="22" customHeight="1" spans="1:26">
      <c r="A8" s="3"/>
      <c r="B8" s="9"/>
      <c r="C8" s="10"/>
      <c r="D8" s="10"/>
      <c r="E8" s="11"/>
      <c r="F8" s="16"/>
      <c r="G8" s="10">
        <v>5</v>
      </c>
      <c r="H8" s="10" t="s">
        <v>342</v>
      </c>
      <c r="I8" s="14" t="s">
        <v>340</v>
      </c>
      <c r="J8" s="18">
        <v>1</v>
      </c>
      <c r="K8" s="12" t="s">
        <v>343</v>
      </c>
      <c r="L8" s="9"/>
    </row>
    <row r="9" ht="15.6" spans="1:26">
      <c r="A9" s="3"/>
      <c r="B9" s="9"/>
      <c r="C9" s="10"/>
      <c r="D9" s="10"/>
      <c r="E9" s="11"/>
      <c r="F9" s="16"/>
      <c r="G9" s="10"/>
      <c r="H9" s="13"/>
      <c r="I9" s="14" t="s">
        <v>338</v>
      </c>
      <c r="J9" s="20"/>
      <c r="K9" s="21"/>
      <c r="L9" s="9">
        <v>1</v>
      </c>
    </row>
    <row r="10" ht="21" customHeight="1" spans="1:26">
      <c r="A10" s="3"/>
      <c r="B10" s="9"/>
      <c r="C10" s="10"/>
      <c r="D10" s="10"/>
      <c r="E10" s="11"/>
      <c r="F10" s="16"/>
      <c r="G10" s="22">
        <v>6</v>
      </c>
      <c r="H10" s="25" t="s">
        <v>344</v>
      </c>
      <c r="I10" s="22" t="s">
        <v>333</v>
      </c>
      <c r="J10" s="24">
        <v>1</v>
      </c>
      <c r="K10" s="10"/>
      <c r="L10" s="9"/>
    </row>
    <row r="11" ht="30" spans="1:26">
      <c r="A11" s="3"/>
      <c r="B11" s="9"/>
      <c r="C11" s="10"/>
      <c r="D11" s="10"/>
      <c r="E11" s="11"/>
      <c r="F11" s="16"/>
      <c r="G11" s="26">
        <v>7</v>
      </c>
      <c r="H11" s="23" t="s">
        <v>345</v>
      </c>
      <c r="I11" s="22" t="s">
        <v>338</v>
      </c>
      <c r="J11" s="24">
        <v>1</v>
      </c>
      <c r="K11" s="10" t="s">
        <v>346</v>
      </c>
      <c r="L11" s="9"/>
    </row>
    <row r="12" ht="33" customHeight="1" spans="1:26">
      <c r="A12" s="3"/>
      <c r="B12" s="9"/>
      <c r="C12" s="10"/>
      <c r="D12" s="10"/>
      <c r="E12" s="11"/>
      <c r="F12" s="16"/>
      <c r="G12" s="22">
        <v>8</v>
      </c>
      <c r="H12" s="23" t="s">
        <v>347</v>
      </c>
      <c r="I12" s="22" t="s">
        <v>335</v>
      </c>
      <c r="J12" s="24">
        <v>1</v>
      </c>
      <c r="K12" s="10" t="s">
        <v>336</v>
      </c>
      <c r="L12" s="9"/>
    </row>
    <row r="13" ht="25" customHeight="1" spans="1:26">
      <c r="A13" s="3"/>
      <c r="B13" s="9"/>
      <c r="C13" s="10"/>
      <c r="D13" s="10"/>
      <c r="E13" s="11"/>
      <c r="F13" s="16"/>
      <c r="G13" s="10">
        <v>9</v>
      </c>
      <c r="H13" s="13" t="s">
        <v>348</v>
      </c>
      <c r="I13" s="10" t="s">
        <v>338</v>
      </c>
      <c r="J13" s="18">
        <v>0.8</v>
      </c>
      <c r="K13" s="12" t="s">
        <v>349</v>
      </c>
      <c r="L13" s="9"/>
    </row>
    <row r="14" ht="23" customHeight="1" spans="1:26">
      <c r="A14" s="3"/>
      <c r="B14" s="9"/>
      <c r="C14" s="10"/>
      <c r="D14" s="10"/>
      <c r="E14" s="11"/>
      <c r="F14" s="16"/>
      <c r="G14" s="10"/>
      <c r="H14" s="13"/>
      <c r="I14" s="10" t="s">
        <v>350</v>
      </c>
      <c r="J14" s="20"/>
      <c r="K14" s="21"/>
      <c r="L14" s="9"/>
    </row>
    <row r="15" ht="23" customHeight="1" spans="1:26">
      <c r="A15" s="3"/>
      <c r="B15" s="9"/>
      <c r="C15" s="10"/>
      <c r="D15" s="10"/>
      <c r="E15" s="11"/>
      <c r="F15" s="16"/>
      <c r="G15" s="10">
        <v>10</v>
      </c>
      <c r="H15" s="13" t="s">
        <v>351</v>
      </c>
      <c r="I15" s="10" t="s">
        <v>333</v>
      </c>
      <c r="J15" s="19">
        <v>0.9</v>
      </c>
      <c r="K15" s="16" t="s">
        <v>352</v>
      </c>
      <c r="L15" s="9">
        <v>1</v>
      </c>
    </row>
    <row r="16" ht="23" customHeight="1" spans="1:26">
      <c r="A16" s="3"/>
      <c r="B16" s="9"/>
      <c r="C16" s="10"/>
      <c r="D16" s="10"/>
      <c r="E16" s="11"/>
      <c r="F16" s="16"/>
      <c r="G16" s="10"/>
      <c r="H16" s="13"/>
      <c r="I16" s="10" t="s">
        <v>353</v>
      </c>
      <c r="J16" s="19"/>
      <c r="K16" s="16"/>
      <c r="L16" s="9"/>
    </row>
    <row r="17" ht="23" customHeight="1" spans="1:12">
      <c r="A17" s="3"/>
      <c r="B17" s="9"/>
      <c r="C17" s="10"/>
      <c r="D17" s="10"/>
      <c r="E17" s="11"/>
      <c r="F17" s="16"/>
      <c r="G17" s="10"/>
      <c r="H17" s="13"/>
      <c r="I17" s="10" t="s">
        <v>252</v>
      </c>
      <c r="J17" s="20"/>
      <c r="K17" s="21"/>
      <c r="L17" s="9"/>
    </row>
    <row r="18" ht="23" customHeight="1" spans="1:12">
      <c r="A18" s="3"/>
      <c r="B18" s="9"/>
      <c r="C18" s="10"/>
      <c r="D18" s="10"/>
      <c r="E18" s="11"/>
      <c r="F18" s="16"/>
      <c r="G18" s="10">
        <v>11</v>
      </c>
      <c r="H18" s="13" t="s">
        <v>354</v>
      </c>
      <c r="I18" s="10" t="s">
        <v>353</v>
      </c>
      <c r="J18" s="19">
        <v>0.8</v>
      </c>
      <c r="K18" s="21" t="s">
        <v>355</v>
      </c>
      <c r="L18" s="9">
        <v>2</v>
      </c>
    </row>
    <row r="19" ht="23" customHeight="1" spans="1:12">
      <c r="A19" s="3"/>
      <c r="B19" s="9"/>
      <c r="C19" s="10"/>
      <c r="D19" s="10"/>
      <c r="E19" s="11"/>
      <c r="F19" s="16"/>
      <c r="G19" s="10"/>
      <c r="H19" s="13"/>
      <c r="I19" s="10" t="s">
        <v>333</v>
      </c>
      <c r="J19" s="20"/>
      <c r="K19" s="21" t="s">
        <v>355</v>
      </c>
      <c r="L19" s="9">
        <v>1</v>
      </c>
    </row>
    <row r="20" ht="23" customHeight="1" spans="1:12">
      <c r="A20" s="3"/>
      <c r="B20" s="9"/>
      <c r="C20" s="10"/>
      <c r="D20" s="10"/>
      <c r="E20" s="11"/>
      <c r="F20" s="16"/>
      <c r="G20" s="27">
        <v>12</v>
      </c>
      <c r="H20" s="28" t="s">
        <v>356</v>
      </c>
      <c r="I20" s="27" t="s">
        <v>333</v>
      </c>
      <c r="J20" s="29">
        <v>0.85</v>
      </c>
      <c r="K20" s="30" t="s">
        <v>357</v>
      </c>
      <c r="L20" s="9">
        <v>3</v>
      </c>
    </row>
    <row r="21" ht="23" customHeight="1" spans="1:12">
      <c r="A21" s="3"/>
      <c r="B21" s="9"/>
      <c r="C21" s="10"/>
      <c r="D21" s="10"/>
      <c r="E21" s="11"/>
      <c r="F21" s="16"/>
      <c r="G21" s="27"/>
      <c r="H21" s="31"/>
      <c r="I21" s="27" t="s">
        <v>340</v>
      </c>
      <c r="J21" s="29"/>
      <c r="K21" s="30"/>
      <c r="L21" s="9">
        <v>5</v>
      </c>
    </row>
    <row r="22" ht="23" customHeight="1" spans="1:12">
      <c r="A22" s="3"/>
      <c r="B22" s="9"/>
      <c r="C22" s="10"/>
      <c r="D22" s="10"/>
      <c r="E22" s="11"/>
      <c r="F22" s="16"/>
      <c r="G22" s="27"/>
      <c r="H22" s="31"/>
      <c r="I22" s="27" t="s">
        <v>335</v>
      </c>
      <c r="J22" s="29"/>
      <c r="K22" s="30"/>
      <c r="L22" s="9">
        <v>5</v>
      </c>
    </row>
    <row r="23" ht="23" customHeight="1" spans="1:12">
      <c r="A23" s="3"/>
      <c r="B23" s="9"/>
      <c r="C23" s="10"/>
      <c r="D23" s="10"/>
      <c r="E23" s="11"/>
      <c r="F23" s="16"/>
      <c r="G23" s="27"/>
      <c r="H23" s="31"/>
      <c r="I23" s="27" t="s">
        <v>338</v>
      </c>
      <c r="J23" s="29"/>
      <c r="K23" s="30"/>
      <c r="L23" s="9">
        <v>4</v>
      </c>
    </row>
    <row r="24" ht="23" customHeight="1" spans="1:12">
      <c r="A24" s="3"/>
      <c r="B24" s="9"/>
      <c r="C24" s="10"/>
      <c r="D24" s="10"/>
      <c r="E24" s="11"/>
      <c r="F24" s="16"/>
      <c r="G24" s="27"/>
      <c r="H24" s="31"/>
      <c r="I24" s="27" t="s">
        <v>353</v>
      </c>
      <c r="J24" s="29"/>
      <c r="K24" s="30"/>
      <c r="L24" s="9">
        <v>1</v>
      </c>
    </row>
    <row r="25" ht="23" customHeight="1" spans="1:12">
      <c r="A25" s="3"/>
      <c r="B25" s="9"/>
      <c r="C25" s="10"/>
      <c r="D25" s="10"/>
      <c r="E25" s="11"/>
      <c r="F25" s="21"/>
      <c r="G25" s="27"/>
      <c r="H25" s="31"/>
      <c r="I25" s="10" t="s">
        <v>59</v>
      </c>
      <c r="J25" s="29"/>
      <c r="K25" s="32"/>
      <c r="L25" s="9"/>
    </row>
    <row r="26" ht="23" customHeight="1" spans="1:12">
      <c r="A26" s="3"/>
      <c r="B26" s="9"/>
      <c r="C26" s="10"/>
      <c r="D26" s="10"/>
      <c r="E26" s="11"/>
      <c r="F26" s="10" t="s">
        <v>358</v>
      </c>
      <c r="G26" s="10">
        <v>1</v>
      </c>
      <c r="H26" s="13" t="s">
        <v>359</v>
      </c>
      <c r="I26" s="10" t="s">
        <v>360</v>
      </c>
      <c r="J26" s="15">
        <v>1</v>
      </c>
      <c r="K26" s="10"/>
      <c r="L26" s="9">
        <v>5</v>
      </c>
    </row>
    <row r="27" ht="23" customHeight="1" spans="1:12">
      <c r="A27" s="3"/>
      <c r="B27" s="9"/>
      <c r="C27" s="10"/>
      <c r="D27" s="10"/>
      <c r="E27" s="11"/>
      <c r="F27" s="10"/>
      <c r="G27" s="10">
        <v>2</v>
      </c>
      <c r="H27" s="13" t="s">
        <v>361</v>
      </c>
      <c r="I27" s="10" t="s">
        <v>362</v>
      </c>
      <c r="J27" s="15">
        <v>1</v>
      </c>
      <c r="K27" s="10"/>
      <c r="L27" s="9">
        <v>5</v>
      </c>
    </row>
    <row r="28" ht="23" customHeight="1" spans="1:12">
      <c r="A28" s="3"/>
      <c r="B28" s="9"/>
      <c r="C28" s="10"/>
      <c r="D28" s="10"/>
      <c r="E28" s="11"/>
      <c r="F28" s="10"/>
      <c r="G28" s="10">
        <v>3</v>
      </c>
      <c r="H28" s="13" t="s">
        <v>361</v>
      </c>
      <c r="I28" s="10" t="s">
        <v>363</v>
      </c>
      <c r="J28" s="15">
        <v>1</v>
      </c>
      <c r="K28" s="10"/>
      <c r="L28" s="9">
        <v>5</v>
      </c>
    </row>
    <row r="29" ht="23" customHeight="1" spans="1:12">
      <c r="A29" s="3"/>
      <c r="B29" s="9"/>
      <c r="C29" s="10"/>
      <c r="D29" s="10"/>
      <c r="E29" s="11"/>
      <c r="F29" s="10" t="s">
        <v>364</v>
      </c>
      <c r="G29" s="10">
        <v>1</v>
      </c>
      <c r="H29" s="13" t="s">
        <v>365</v>
      </c>
      <c r="I29" s="10" t="s">
        <v>59</v>
      </c>
      <c r="J29" s="15">
        <v>0.1</v>
      </c>
      <c r="K29" s="10" t="s">
        <v>366</v>
      </c>
      <c r="L29" s="9"/>
    </row>
    <row r="30" ht="24" customHeight="1" spans="1:12">
      <c r="A30" s="3"/>
      <c r="B30" s="9"/>
      <c r="C30" s="10"/>
      <c r="D30" s="10"/>
      <c r="E30" s="11"/>
      <c r="F30" s="10"/>
      <c r="G30" s="10">
        <v>2</v>
      </c>
      <c r="H30" s="13" t="s">
        <v>367</v>
      </c>
      <c r="I30" s="10" t="s">
        <v>59</v>
      </c>
      <c r="J30" s="15">
        <v>0.5</v>
      </c>
      <c r="K30" s="10" t="s">
        <v>368</v>
      </c>
      <c r="L30" s="9">
        <v>0.5</v>
      </c>
    </row>
    <row r="31" ht="45" spans="1:12">
      <c r="A31" s="3"/>
      <c r="B31" s="9"/>
      <c r="C31" s="10"/>
      <c r="D31" s="10"/>
      <c r="E31" s="11"/>
      <c r="F31" s="10"/>
      <c r="G31" s="10">
        <v>3</v>
      </c>
      <c r="H31" s="13" t="s">
        <v>369</v>
      </c>
      <c r="I31" s="12" t="s">
        <v>59</v>
      </c>
      <c r="J31" s="18">
        <v>0.7</v>
      </c>
      <c r="K31" s="12" t="s">
        <v>370</v>
      </c>
      <c r="L31" s="9">
        <v>2</v>
      </c>
    </row>
    <row r="32" spans="1:12">
      <c r="A32" s="3"/>
      <c r="B32" s="9"/>
      <c r="C32" s="10"/>
      <c r="D32" s="10"/>
      <c r="E32" s="11"/>
      <c r="F32" s="10"/>
      <c r="G32" s="33">
        <v>4</v>
      </c>
      <c r="H32" s="34" t="s">
        <v>371</v>
      </c>
      <c r="I32" s="12" t="s">
        <v>59</v>
      </c>
      <c r="J32" s="18">
        <v>0.7</v>
      </c>
      <c r="K32" s="12" t="s">
        <v>372</v>
      </c>
      <c r="L32" s="35"/>
    </row>
    <row r="33" spans="1:12">
      <c r="A33" s="3"/>
      <c r="B33" s="9"/>
      <c r="C33" s="10"/>
      <c r="D33" s="10"/>
      <c r="E33" s="11"/>
      <c r="F33" s="10"/>
      <c r="G33" s="33"/>
      <c r="H33" s="34"/>
      <c r="I33" s="21"/>
      <c r="J33" s="20"/>
      <c r="K33" s="21"/>
      <c r="L33" s="36"/>
    </row>
    <row r="34" ht="60" spans="1:12">
      <c r="A34" s="3"/>
      <c r="B34" s="9"/>
      <c r="C34" s="10"/>
      <c r="D34" s="10"/>
      <c r="E34" s="11"/>
      <c r="F34" s="10"/>
      <c r="G34" s="33">
        <v>5</v>
      </c>
      <c r="H34" s="34" t="s">
        <v>373</v>
      </c>
      <c r="I34" s="16" t="s">
        <v>59</v>
      </c>
      <c r="J34" s="19">
        <v>0.3</v>
      </c>
      <c r="K34" s="16" t="s">
        <v>374</v>
      </c>
      <c r="L34" s="37"/>
    </row>
    <row r="35" ht="15.6" spans="1:12">
      <c r="A35" s="3"/>
      <c r="B35" s="9"/>
      <c r="C35" s="10"/>
      <c r="D35" s="10"/>
      <c r="E35" s="11"/>
      <c r="F35" s="10"/>
      <c r="G35" s="33">
        <v>6</v>
      </c>
      <c r="H35" s="34" t="s">
        <v>375</v>
      </c>
      <c r="I35" s="16" t="s">
        <v>333</v>
      </c>
      <c r="J35" s="19">
        <v>0.5</v>
      </c>
      <c r="K35" s="16" t="s">
        <v>376</v>
      </c>
      <c r="L35" s="37"/>
    </row>
    <row r="36" ht="15.6" spans="1:12">
      <c r="A36" s="3"/>
      <c r="B36" s="9"/>
      <c r="C36" s="10"/>
      <c r="D36" s="10"/>
      <c r="E36" s="11"/>
      <c r="F36" s="10"/>
      <c r="G36" s="10"/>
      <c r="H36" s="13"/>
      <c r="I36" s="12"/>
      <c r="J36" s="18"/>
      <c r="K36" s="12"/>
      <c r="L36" s="35"/>
    </row>
    <row r="37" ht="15" spans="1:12">
      <c r="A37" s="3"/>
      <c r="B37" s="9"/>
      <c r="C37" s="10"/>
      <c r="D37" s="10"/>
      <c r="E37" s="38" t="s">
        <v>173</v>
      </c>
      <c r="F37" s="38"/>
      <c r="G37" s="38"/>
      <c r="H37" s="38"/>
      <c r="I37" s="38"/>
      <c r="J37" s="39"/>
      <c r="K37" s="40"/>
      <c r="L37" s="41">
        <f>SUM(L2:L36)</f>
        <v>40.5</v>
      </c>
    </row>
    <row r="38" ht="109.2" spans="1:12">
      <c r="A38" s="3"/>
      <c r="B38" s="9"/>
      <c r="C38" s="10"/>
      <c r="D38" s="10"/>
      <c r="E38" s="11" t="s">
        <v>174</v>
      </c>
      <c r="F38" s="42" t="s">
        <v>53</v>
      </c>
      <c r="G38" s="11">
        <v>1</v>
      </c>
      <c r="H38" s="43" t="s">
        <v>377</v>
      </c>
      <c r="I38" s="10" t="s">
        <v>333</v>
      </c>
      <c r="J38" s="44">
        <v>0.85</v>
      </c>
      <c r="K38" s="10" t="s">
        <v>378</v>
      </c>
      <c r="L38" s="45"/>
    </row>
    <row r="39" ht="15.6" spans="1:12">
      <c r="A39" s="3"/>
      <c r="B39" s="9"/>
      <c r="C39" s="10"/>
      <c r="D39" s="10"/>
      <c r="E39" s="11"/>
      <c r="F39" s="46" t="s">
        <v>364</v>
      </c>
      <c r="G39" s="11">
        <v>1</v>
      </c>
      <c r="H39" s="43" t="s">
        <v>379</v>
      </c>
      <c r="I39" s="10" t="s">
        <v>59</v>
      </c>
      <c r="J39" s="44"/>
      <c r="K39" s="11"/>
      <c r="L39" s="45"/>
    </row>
    <row r="40" ht="15.6" spans="1:12">
      <c r="A40" s="3"/>
      <c r="B40" s="9"/>
      <c r="C40" s="10"/>
      <c r="D40" s="10"/>
      <c r="E40" s="11"/>
      <c r="F40" s="46"/>
      <c r="G40" s="11">
        <v>2</v>
      </c>
      <c r="H40" s="43" t="s">
        <v>380</v>
      </c>
      <c r="I40" s="10" t="s">
        <v>59</v>
      </c>
      <c r="J40" s="44"/>
      <c r="K40" s="11"/>
      <c r="L40" s="45"/>
    </row>
    <row r="41" ht="21" customHeight="1" spans="1:12">
      <c r="A41" s="3"/>
      <c r="B41" s="9"/>
      <c r="C41" s="10"/>
      <c r="D41" s="10"/>
      <c r="E41" s="11"/>
      <c r="F41" s="46"/>
      <c r="G41" s="11">
        <v>3</v>
      </c>
      <c r="H41" s="43" t="s">
        <v>381</v>
      </c>
      <c r="I41" s="10" t="s">
        <v>59</v>
      </c>
      <c r="J41" s="44"/>
      <c r="K41" s="11"/>
      <c r="L41" s="45"/>
    </row>
    <row r="42" ht="31.2" spans="1:12">
      <c r="A42" s="3"/>
      <c r="B42" s="9"/>
      <c r="C42" s="10"/>
      <c r="D42" s="10"/>
      <c r="E42" s="11"/>
      <c r="F42" s="46"/>
      <c r="G42" s="11">
        <v>4</v>
      </c>
      <c r="H42" s="43" t="s">
        <v>382</v>
      </c>
      <c r="I42" s="10" t="s">
        <v>59</v>
      </c>
      <c r="J42" s="44"/>
      <c r="K42" s="11"/>
      <c r="L42" s="45"/>
    </row>
  </sheetData>
  <autoFilter xmlns:etc="http://www.wps.cn/officeDocument/2017/etCustomData" ref="A1:Z42" etc:filterBottomFollowUsedRange="0">
    <extLst/>
  </autoFilter>
  <mergeCells count="40">
    <mergeCell ref="E37:H37"/>
    <mergeCell ref="A2:A42"/>
    <mergeCell ref="B2:B42"/>
    <mergeCell ref="C2:C42"/>
    <mergeCell ref="D2:D42"/>
    <mergeCell ref="E2:E36"/>
    <mergeCell ref="E38:E42"/>
    <mergeCell ref="F2:F25"/>
    <mergeCell ref="F26:F28"/>
    <mergeCell ref="F29:F36"/>
    <mergeCell ref="F39:F42"/>
    <mergeCell ref="G4:G6"/>
    <mergeCell ref="G8:G9"/>
    <mergeCell ref="G13:G14"/>
    <mergeCell ref="G15:G17"/>
    <mergeCell ref="G18:G19"/>
    <mergeCell ref="G20:G25"/>
    <mergeCell ref="G32:G33"/>
    <mergeCell ref="H4:H6"/>
    <mergeCell ref="H8:H9"/>
    <mergeCell ref="H13:H14"/>
    <mergeCell ref="H15:H17"/>
    <mergeCell ref="H18:H19"/>
    <mergeCell ref="H20:H25"/>
    <mergeCell ref="H32:H33"/>
    <mergeCell ref="I32:I33"/>
    <mergeCell ref="J4:J6"/>
    <mergeCell ref="J8:J9"/>
    <mergeCell ref="J13:J14"/>
    <mergeCell ref="J15:J17"/>
    <mergeCell ref="J18:J19"/>
    <mergeCell ref="J20:J25"/>
    <mergeCell ref="J32:J33"/>
    <mergeCell ref="K4:K6"/>
    <mergeCell ref="K8:K9"/>
    <mergeCell ref="K13:K14"/>
    <mergeCell ref="K15:K17"/>
    <mergeCell ref="K20:K25"/>
    <mergeCell ref="K32:K33"/>
    <mergeCell ref="L32:L3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项目汇总</vt:lpstr>
      <vt:lpstr>交付-不动产组</vt:lpstr>
      <vt:lpstr>交付-房产组</vt:lpstr>
      <vt:lpstr>交付-物业组</vt:lpstr>
      <vt:lpstr>交付-AI大数据组</vt:lpstr>
      <vt:lpstr>交付-JD组</vt:lpstr>
      <vt:lpstr>产品研发部</vt:lpstr>
      <vt:lpstr>汇房智选部</vt:lpstr>
      <vt:lpstr>软件项目部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2026-05-29T15:52:12Z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2052-12.1.0.26375</vt:lpwstr>
  </property>
  <property fmtid="{D5CDD505-2E9C-101B-9397-08002B2CF9AE}" pid="4" name="CalculationRule">
    <vt:i4>0</vt:i4>
  </property>
</Properties>
</file>