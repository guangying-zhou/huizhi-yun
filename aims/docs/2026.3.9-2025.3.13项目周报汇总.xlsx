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644" tabRatio="905"/>
  </bookViews>
  <sheets>
    <sheet name="项目汇总" sheetId="1" r:id="rId1"/>
    <sheet name="交付-不动产组" sheetId="210" r:id="rId2"/>
    <sheet name="交付-房产组" sheetId="211" r:id="rId3"/>
    <sheet name="交付-物业组" sheetId="212" r:id="rId4"/>
    <sheet name="交付-AI大数据组" sheetId="213" r:id="rId5"/>
    <sheet name="交付-JD组" sheetId="214" r:id="rId6"/>
    <sheet name="产品研发部" sheetId="215" r:id="rId7"/>
    <sheet name="汇房智选部" sheetId="216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'交付-不动产组'!$A$1:$L$35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产品研发部!#REF!</definedName>
    <definedName name="_xlnm._FilterDatabase" localSheetId="7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王壮-leo</author>
  </authors>
  <commentList>
    <comment ref="M2" authorId="0">
      <text>
        <r>
          <rPr>
            <b/>
            <sz val="9"/>
            <rFont val="宋体"/>
            <charset val="134"/>
          </rPr>
          <t>王壮-leo:</t>
        </r>
        <r>
          <rPr>
            <sz val="9"/>
            <rFont val="宋体"/>
            <charset val="134"/>
          </rPr>
          <t xml:space="preserve">
按照每周各项目成员填报工时累计之和除以8计算</t>
        </r>
      </text>
    </comment>
  </commentList>
</comments>
</file>

<file path=xl/sharedStrings.xml><?xml version="1.0" encoding="utf-8"?>
<sst xmlns="http://schemas.openxmlformats.org/spreadsheetml/2006/main" count="790" uniqueCount="333">
  <si>
    <t>项目周报汇总（2026.3.9-2025.3.13）</t>
  </si>
  <si>
    <t>序号</t>
  </si>
  <si>
    <t>隶属部门</t>
  </si>
  <si>
    <t>项目类型</t>
  </si>
  <si>
    <t>项目编号</t>
  </si>
  <si>
    <t>项目名称</t>
  </si>
  <si>
    <t>项目经理</t>
  </si>
  <si>
    <t>立项情况</t>
  </si>
  <si>
    <t>当前阶段</t>
  </si>
  <si>
    <t>进度情况</t>
  </si>
  <si>
    <t>总体完成进度</t>
  </si>
  <si>
    <t>合同状态</t>
  </si>
  <si>
    <t>回款情况</t>
  </si>
  <si>
    <t>上周人力投入(人天)</t>
  </si>
  <si>
    <t>本周人力投入(人天)</t>
  </si>
  <si>
    <t>人力较上周</t>
  </si>
  <si>
    <t>重大问题和风险</t>
  </si>
  <si>
    <t>待协调资源</t>
  </si>
  <si>
    <t>备注</t>
  </si>
  <si>
    <t>交付中心
（王壮）</t>
  </si>
  <si>
    <t>不动产组
（宋义振）</t>
  </si>
  <si>
    <t>济南市不动产登记系统功能拓展</t>
  </si>
  <si>
    <t>宋义振</t>
  </si>
  <si>
    <t>长期项目</t>
  </si>
  <si>
    <t>上线运行</t>
  </si>
  <si>
    <t>正常</t>
  </si>
  <si>
    <t>——</t>
  </si>
  <si>
    <t>已申报预算，未签订</t>
  </si>
  <si>
    <t>不动产登记信息平台信创升级改造项目</t>
  </si>
  <si>
    <t>已立项</t>
  </si>
  <si>
    <t>验收</t>
  </si>
  <si>
    <t>已签订</t>
  </si>
  <si>
    <t>完成初验，目前处于各子系统陆续切换过程中，</t>
  </si>
  <si>
    <t>济南市不动产登记云柜台（线上移动)系统</t>
  </si>
  <si>
    <t>陈一明</t>
  </si>
  <si>
    <t>将完工无需立项</t>
  </si>
  <si>
    <t>开发</t>
  </si>
  <si>
    <t>云柜台上线好几年了，之前不断增加新功能，今年基本没有新增需求，目前处于运维过程中，本月云柜台信创上线</t>
  </si>
  <si>
    <t>济南市不动产预受理系统</t>
  </si>
  <si>
    <t>2025年4月上线，一直保持运维过程中，项目运行文档，本周没有工作输出</t>
  </si>
  <si>
    <t>房产组
（刘存山）</t>
  </si>
  <si>
    <t>济南市房产交易管理平台拓展</t>
  </si>
  <si>
    <t>张大伟</t>
  </si>
  <si>
    <t>未签订</t>
  </si>
  <si>
    <t>济南房产交易与租赁服务平台</t>
  </si>
  <si>
    <t>李宪鹏</t>
  </si>
  <si>
    <t>严重延迟</t>
  </si>
  <si>
    <t>90%？</t>
  </si>
  <si>
    <t>已签合同</t>
  </si>
  <si>
    <t>进度延迟严重</t>
  </si>
  <si>
    <t>2025年12月完成初验，目前调整及测试中，计划4月初上线</t>
  </si>
  <si>
    <t>21250606J</t>
  </si>
  <si>
    <t>山东省机关事务局职工房改管理系统适配改造项目</t>
  </si>
  <si>
    <t>付艳芳</t>
  </si>
  <si>
    <t>2025年12月完成终验，现在处于3年免费运维中</t>
  </si>
  <si>
    <t>宿松房产一体化平台</t>
  </si>
  <si>
    <t>刘存山</t>
  </si>
  <si>
    <t>未立项</t>
  </si>
  <si>
    <t>售前</t>
  </si>
  <si>
    <t>立项工作准备中，计划下周立项</t>
  </si>
  <si>
    <t>物业组
（袁畅）</t>
  </si>
  <si>
    <t>日照市三平台融合、智慧物业、住宅专项维修资金系统信创改造项目</t>
  </si>
  <si>
    <t>王成</t>
  </si>
  <si>
    <t>实施</t>
  </si>
  <si>
    <t>还没组织验收，现在是上线配合推广阶段</t>
  </si>
  <si>
    <t>滨州智慧物业</t>
  </si>
  <si>
    <t>王壮</t>
  </si>
  <si>
    <t>有合同</t>
  </si>
  <si>
    <t>泉农通二期销售售前支持</t>
  </si>
  <si>
    <t>刘传祥</t>
  </si>
  <si>
    <t>销售立项</t>
  </si>
  <si>
    <t>AI大数据组
（李朔刚）</t>
  </si>
  <si>
    <t>济南市不动产登记全量数据汇交及比对系统</t>
  </si>
  <si>
    <t>李朔刚</t>
  </si>
  <si>
    <t>一直有新需求，持续开发</t>
  </si>
  <si>
    <t>济南市不动产登记电子监督系统功能拓展</t>
  </si>
  <si>
    <t>一直有新需求，交房即办证也有合同，还在执行中</t>
  </si>
  <si>
    <t>不动产登记人工智能数字人(一期)项目</t>
  </si>
  <si>
    <t>延迟</t>
  </si>
  <si>
    <t>无合同</t>
  </si>
  <si>
    <t>21250313J</t>
  </si>
  <si>
    <t>电子监督系统标准化产品改造</t>
  </si>
  <si>
    <t>佟丽</t>
  </si>
  <si>
    <t>开发完成，有订单可上线运行，目前已申请专利过程中</t>
  </si>
  <si>
    <t>JD组
（王庆嵋）</t>
  </si>
  <si>
    <t>210123ZHJJ02</t>
  </si>
  <si>
    <t>基层经费监管系统升级研发（二期）</t>
  </si>
  <si>
    <t>王庆嵋</t>
  </si>
  <si>
    <t>2025年10月完成初验进行上线，客户一直未组织终验</t>
  </si>
  <si>
    <t>JD维护</t>
  </si>
  <si>
    <t>技术支持部
（王壮）</t>
  </si>
  <si>
    <t>运维项目</t>
  </si>
  <si>
    <t>不动产登记应用软件维护</t>
  </si>
  <si>
    <t>付蕾</t>
  </si>
  <si>
    <t>济南市房产交易部门运维</t>
  </si>
  <si>
    <t>房产项目运维</t>
  </si>
  <si>
    <t>智慧物业运维（维修资金）项目运维</t>
  </si>
  <si>
    <t>上周人力小计：</t>
  </si>
  <si>
    <t>本周人力小计：</t>
  </si>
  <si>
    <t>人力饱和度</t>
  </si>
  <si>
    <t>存在从其他部门解调情况，下周细化</t>
  </si>
  <si>
    <t>产品研发部
（曹倩）</t>
  </si>
  <si>
    <t>研发项目</t>
  </si>
  <si>
    <t>21250925HF</t>
  </si>
  <si>
    <t>汇房智慧住房租赁综合管理与服务平台</t>
  </si>
  <si>
    <t>曹倩</t>
  </si>
  <si>
    <t>立项</t>
  </si>
  <si>
    <t>21250807J</t>
  </si>
  <si>
    <t>基础平台</t>
  </si>
  <si>
    <t>李昱江</t>
  </si>
  <si>
    <t>立项中</t>
  </si>
  <si>
    <t>/</t>
  </si>
  <si>
    <t>内部管理系统</t>
  </si>
  <si>
    <t>3月下旬立项，正在编辑立项报告</t>
  </si>
  <si>
    <t>汇房智选部
（任建伟）</t>
  </si>
  <si>
    <t>22250903HF</t>
  </si>
  <si>
    <t>济南市联合资产交易公示平台</t>
  </si>
  <si>
    <t>王帅</t>
  </si>
  <si>
    <t>汇房云经纪人</t>
  </si>
  <si>
    <t>任建伟</t>
  </si>
  <si>
    <t>发布</t>
  </si>
  <si>
    <t>22250829HF</t>
  </si>
  <si>
    <t>车位使用权公证备案平台</t>
  </si>
  <si>
    <t>22251028HFJ</t>
  </si>
  <si>
    <t>卓识网安业务平台系统</t>
  </si>
  <si>
    <t>需求</t>
  </si>
  <si>
    <t>3月底左右验收</t>
  </si>
  <si>
    <t>21250516HF</t>
  </si>
  <si>
    <t>汇房云培训考试（汇房考试培训系统）</t>
  </si>
  <si>
    <t>21250801J</t>
  </si>
  <si>
    <t>公司内部系统维护升级项目</t>
  </si>
  <si>
    <t>房源超市SaaS产品化改造(新房超市SaaS)</t>
  </si>
  <si>
    <t>卓识网安业务平台系统-知识库</t>
  </si>
  <si>
    <t>价格未谈拢</t>
  </si>
  <si>
    <t>房屋租赁管理系统(汇房云租)</t>
  </si>
  <si>
    <t>待立项</t>
  </si>
  <si>
    <t>挂起</t>
  </si>
  <si>
    <t>阳信房产超市运维&amp;乐居乳山</t>
  </si>
  <si>
    <t>安震、王帅</t>
  </si>
  <si>
    <t>软件项目部
(王成)</t>
  </si>
  <si>
    <t>日照银行智慧社区维护与升级</t>
  </si>
  <si>
    <t>项目信息</t>
  </si>
  <si>
    <t>当前进度</t>
  </si>
  <si>
    <t>合同回款情况</t>
  </si>
  <si>
    <t>工作/计划</t>
  </si>
  <si>
    <t>模块名称</t>
  </si>
  <si>
    <t>任务简述（多人完成可以合并单元格）</t>
  </si>
  <si>
    <t>责任人（只能填一个人）</t>
  </si>
  <si>
    <t>完成度</t>
  </si>
  <si>
    <t>未完成情况说明</t>
  </si>
  <si>
    <t>工作量（人日）</t>
  </si>
  <si>
    <t xml:space="preserve">济南市不动产登记系统功能拓展
项目编号：22220901
</t>
  </si>
  <si>
    <t>--</t>
  </si>
  <si>
    <t>本周工作</t>
  </si>
  <si>
    <t>不动产登记系统：根据登记中心“26年重点工作座谈会”最新要求修改量化登记需求解决方案。</t>
  </si>
  <si>
    <t>不动产登记系统：云柜台业务传递业务相关数字化材料空缺时增加限制并提醒。</t>
  </si>
  <si>
    <t>不动产登记系统：不动产登记信息查询结果：住房证明和权属证明模板内容调整。（包括移动端、网上抵押）</t>
  </si>
  <si>
    <t>不动产登记系统：办理首次登记进入该业务自动提取该楼幢的“项目测绘成果数据挂接通知书”。</t>
  </si>
  <si>
    <t>不动产登记系统：系统发布新版本前后测试，编写系统发布日志。</t>
  </si>
  <si>
    <t>不动产相关统计任务：9条。</t>
  </si>
  <si>
    <t>OA系统：请假驳回问题处理：采用定时任务的形式处理。</t>
  </si>
  <si>
    <t>李国强</t>
  </si>
  <si>
    <t>济南市大数据局接口平台迁移信创：涉及不动产相关系统接口地址变更工作。
   fycfhfTigger、reiss、reiss_hmd、reiss_client、rerip_dsqtjk、rerip、reiss_ltsspxt、irerip-rerip、irerip-scheduledTask、enrerip-tool</t>
  </si>
  <si>
    <t>不动产智能审核系统:
定位多手业务多权利人提取身份证名首次提取失败，多次提取登簿成功的问题。并商量代码解决方案。代码编写并评审，单元测试。</t>
  </si>
  <si>
    <t>张志鹏</t>
  </si>
  <si>
    <t>不动产登记系统-信息共享：提供给浪潮自助机开具权属证明相关接口开发完成，已部署并发布至市大数据局接口平台。</t>
  </si>
  <si>
    <t>李中正</t>
  </si>
  <si>
    <t>（1）网上抵押系统接口调整：受理人员业务撤件银行返回退件状态，银行查询意见显示为撤销。
（2）农房系统日常维护。</t>
  </si>
  <si>
    <t>合计</t>
  </si>
  <si>
    <t>下周计划</t>
  </si>
  <si>
    <t xml:space="preserve">济南市不动产登记中心不动产登记信息平台信创升级改造项目
项目编号：22250226
</t>
  </si>
  <si>
    <t>信创-登记系统</t>
  </si>
  <si>
    <t>调整签批屏在Chrome上的适配，测试欢迎页，签字，评价器，评价器问题与技术支持沟通调整，新版插件测试。</t>
  </si>
  <si>
    <t>梳理信创接口项目转调接口地址，信创环境需要打通网络</t>
  </si>
  <si>
    <t>信创-电子监督系统、数据汇聚分平台</t>
  </si>
  <si>
    <t>（1）给大数据局填报-往一体化大数据平台XC数据库推数据的服务器网络打通申请。
（2）电子监督信创上线、测试。</t>
  </si>
  <si>
    <t>其他</t>
  </si>
  <si>
    <t xml:space="preserve">  智能审核信创：定位问题jar包升级冲突。</t>
  </si>
  <si>
    <t>云柜台系统：
信创迁移代办事项梳理；
信创服务器接口配置（原172.20.93.136、164代理接口迁移、后端程序代码同步调整）
后端打包部署、核心功能测试。</t>
  </si>
  <si>
    <t>济南市不动产登记云柜台（线上移动)系统
项目编号：22220202</t>
  </si>
  <si>
    <t>运维</t>
  </si>
  <si>
    <t>（1）云柜台生成pdf报错问题排查定位（登记数据不规范），信息反馈
（2）给王廷果统计云柜台办件量 
（3）二手房预约功能报错排查（定位仅经七路大厅预约报错；调整前端代码不走爱山东中台、调用原始接口、处理跨域调用、排查错误原因，问题反馈处理）</t>
  </si>
  <si>
    <t>济南市不动产预受理系统
项目编号：22220701</t>
  </si>
  <si>
    <t>房管软件运维</t>
  </si>
  <si>
    <t>工单   52 件</t>
  </si>
  <si>
    <t>李猛</t>
  </si>
  <si>
    <t>陪产假</t>
  </si>
  <si>
    <t>杨森</t>
  </si>
  <si>
    <t>房管系统运维</t>
  </si>
  <si>
    <t>统计3年以来交易和存量房的安全记录：漏洞和渗透整改记录。
整理2月份的软件项目运行安全情况自查表和自查报告。</t>
  </si>
  <si>
    <t>杨真真</t>
  </si>
  <si>
    <t>祝席成</t>
  </si>
  <si>
    <t>不动产软件运维</t>
  </si>
  <si>
    <t>工单 333  件
增量数据汇交日检</t>
  </si>
  <si>
    <t>不动产系统运维</t>
  </si>
  <si>
    <t>不动产：在93.142nginx代理大数据平台地址https://59.206.138.77
登记系统信创访问大数据局平台：在172.16.12.71数据共享信创机器上nginx代理大数据平台地址，跟政务云申请打通71到大数据平台59.206的地址，两会重保审批比较慢明天开通。
不动产生产政务外172.20.93段13台机器申请访问权籍系统信创地址172.20.2.1:9080,跟政务云李苏楠沟通登记系统x86政务外机器访问172.20.2.1：9080需要找市信息中心在他们172.20.2.1:9080网闸上添加这13台机器。
数据汇交：①省厅前置机地址在10.11.5.63上代理，然后填写需求申请表把10.11.5.63代理后的地址映射成行政服务域，发给自规局周绪；②不动产93.139登记库的自规局网10.11.5.167:50000,填写将该地址映射成行政服务域地址的需求申请表发给周绪；均已映射完成。跟数据汇交信创行政服务域应用机器进行交互。③在10.11.5.63的nginx配置stream模块代理TCP端口；④堡垒机账号申请。⑤大数据共享平台59段的地址分别在政务外172.20.93.142和信创172.16.12.71上代理，提供政务外生产和信创环境的分别使用。⑥数据汇交打算用10.11.5.63代理前置机tcp端口10.11.5.152:22，然后让数据汇交信创应用机器访问10.11.5.63(映射成15段的行政服务域)。</t>
  </si>
  <si>
    <t>济南市房产交易管理平台拓展项目编号:22221201</t>
  </si>
  <si>
    <t>99%</t>
  </si>
  <si>
    <t>梳理线上证明全部与有效两种模式逻辑以及修改相应程序</t>
  </si>
  <si>
    <t>修改测绘挂接保存规划许可证以及土地证</t>
  </si>
  <si>
    <t>省直房改运维</t>
  </si>
  <si>
    <t>济南房产交易运维</t>
  </si>
  <si>
    <t>日常运维</t>
  </si>
  <si>
    <t>处理0点行政区重复数据问题并重新生成数据</t>
  </si>
  <si>
    <t>1.开会讨论测绘报告上传对接问题
2.帮甲方准备信息化建设调研材料
3.梳理并统计交易管理及存量房用户情况
4.统计2021年以来每年业务量与业务变化情况
5.参加信息化建设调研会
6.破案查找2015年老合同标记删除问题</t>
  </si>
  <si>
    <t>1、存量房网签及资金监管系统日常运维
2、资金监管优化退款审核页面功能，实现自有资金退款功能</t>
  </si>
  <si>
    <t>张杨</t>
  </si>
  <si>
    <t>1.开发移动端资金监管界面；
2.pc端公积金监管bug修改；
3.修改省直上市交易界面；
4.中介监管添加签名信息弹窗；</t>
  </si>
  <si>
    <t>董文超</t>
  </si>
  <si>
    <t>1、新系统挂牌房源信息查询接口功能优化,与嘉友前端对接（完成100%）
2、新平台增加资金监管爱山东端的电子监管协议查看接口逻辑，完善电子签名待办已办查询及签名查看接口功能，与前端对接测试（完成80%）
3、编写完善新平台系统菜单功能文档，系统上线跟进清单（完成100%）</t>
  </si>
  <si>
    <t>修改省直上市交易需求文档，并与业务部门开会沟通需求，演示静态页面</t>
  </si>
  <si>
    <t>房产一体化项目：惠民、博兴、滨州、沾化、无棣、阳信、滨州阳、信维护</t>
  </si>
  <si>
    <t>王德智</t>
  </si>
  <si>
    <t>房产一体化项目：博兴、沾化、乳山、阳信维护；</t>
  </si>
  <si>
    <t>万德跃</t>
  </si>
  <si>
    <t>房产一体化：安徽地区、五莲、诸城维护</t>
  </si>
  <si>
    <t>滨州房产一体化驻场维护</t>
  </si>
  <si>
    <t>吴胜傲</t>
  </si>
  <si>
    <t>房屋租赁网签</t>
  </si>
  <si>
    <t>王延磊</t>
  </si>
  <si>
    <t>合同管理功能优化调整</t>
  </si>
  <si>
    <t>王光辉</t>
  </si>
  <si>
    <t>调整合同文本</t>
  </si>
  <si>
    <t>时守杰</t>
  </si>
  <si>
    <t>施工计划、立项文档整理</t>
  </si>
  <si>
    <t>智慧物业（维修资金）运维</t>
  </si>
  <si>
    <t>日照物业维护：日照 现场培训、推进项目落地；</t>
  </si>
  <si>
    <t>1 维修资金系统维护：东营地区区、滨州地区维护；
2 配合销售演示维修资金系统；</t>
  </si>
  <si>
    <t>牛丽君</t>
  </si>
  <si>
    <t>维修资金系统维护：滨州、东营、兖州、莱芜、潍坊滨海等地区维护</t>
  </si>
  <si>
    <t>赵衍峰</t>
  </si>
  <si>
    <t>日照维系资金驻场维护</t>
  </si>
  <si>
    <t>马睿</t>
  </si>
  <si>
    <t>各地维修资金维护</t>
  </si>
  <si>
    <t>日照市三平台融合、智慧物业、住宅专项维修资金系统信创改造项目
项目编号：22240822</t>
  </si>
  <si>
    <t>日照维修资金问题处理及测试</t>
  </si>
  <si>
    <t>许建飞</t>
  </si>
  <si>
    <t>日照维修资金运维</t>
  </si>
  <si>
    <t>滨州智慧物业
项目编号：23251211</t>
  </si>
  <si>
    <t>移动端开发和测试（业主房屋维修资金查询接口开发、物业区域数据同步）</t>
  </si>
  <si>
    <t>景旭</t>
  </si>
  <si>
    <t>数据看板设计及优化</t>
  </si>
  <si>
    <t>滨州维修资金公积金中心推送接口与博彦联调测试</t>
  </si>
  <si>
    <t>孙达</t>
  </si>
  <si>
    <t>招投标功能优化，移动端专家请假功能开发完成</t>
  </si>
  <si>
    <t>公示网站开发</t>
  </si>
  <si>
    <t>郇正基</t>
  </si>
  <si>
    <t>数据看板设计及优化完成</t>
  </si>
  <si>
    <t>公示网站开发、部署测试</t>
  </si>
  <si>
    <t>泉农通二期销售售前支持
项目编号：
121018</t>
  </si>
  <si>
    <t>网信办数字乡村平台数据集清单、情况总结报告整理，现场沟通汇报；</t>
  </si>
  <si>
    <t>农业局“泉农通”业务协同平台功能扩展项目详细建设方案优化，大数据上报材料整理，大数据局方案提交</t>
  </si>
  <si>
    <t>袁畅</t>
  </si>
  <si>
    <t>网信办数字乡村平台招标文件准备，系统架构搭建，数据集指标梳理</t>
  </si>
  <si>
    <t>农业局“泉农通”业务协同平台功能扩展项目做好大数据局专家评审准备</t>
  </si>
  <si>
    <t>济南市不动产登记全量数据汇交及比对系统
项目编号：222201001</t>
  </si>
  <si>
    <t>数据汇交分析：地房联动指标分析，提交给自然资源部。</t>
  </si>
  <si>
    <t>增量汇交问题处理</t>
  </si>
  <si>
    <t>济南市不动产登记电子监督系统功能拓展
项目编号：22220905</t>
  </si>
  <si>
    <t>预警解除记录功能，新增需求。
“交房即办证”风险预警分类大屏的按照最新预警规则更新。
统计导出24,25年线下办理业务明细。
变更功能：云柜台工作量、办件量规则调整。</t>
  </si>
  <si>
    <t>王建</t>
  </si>
  <si>
    <t>闫元泉</t>
  </si>
  <si>
    <t>不动产登记人工智能数字人(一期)项目
项目编号：21250326</t>
  </si>
  <si>
    <t>知识库构建、智能检索：按照功能需求点（除AI相关）开发，本周主要开发功能点：为不同角色分配文件的新增、修改、删除、查看、导出等操作权限；文档名重复率扫描及导出。</t>
  </si>
  <si>
    <t>测试qwen3.5:0.8b模型的ocr能力。
paddleorc的ocr能力测试。
openclaw+大模型的配置、调试。</t>
  </si>
  <si>
    <t>毕彦信</t>
  </si>
  <si>
    <t>电子监督系统标准化产品改造
项目编号：21250313J</t>
  </si>
  <si>
    <t>维修大队系统建设方案汇报与方案重新编写修改</t>
  </si>
  <si>
    <t>维修大队系统建设方案编写与汇报</t>
  </si>
  <si>
    <t>基层经费监管系统升级研发（二期）
项目编号：
210123ZHJJ02</t>
  </si>
  <si>
    <t>系统运维管理</t>
  </si>
  <si>
    <t>王晓阳</t>
  </si>
  <si>
    <t>基层经费监管系统终验材料准备</t>
  </si>
  <si>
    <t>基层经费监管系统终验</t>
  </si>
  <si>
    <t>住房租赁管理服务平台（监管端）
项目编号：21250925HF</t>
  </si>
  <si>
    <t>魏山明</t>
  </si>
  <si>
    <t>搭建住房租赁平台的前后端开发环境，并导入相关平台库</t>
  </si>
  <si>
    <t>用新规范设计表结构，用AI自动生成建表语句，并导入平台数据库</t>
  </si>
  <si>
    <t>熟悉平台Demo以及代码规范，并尝试完后信用规则管理的后端代码</t>
  </si>
  <si>
    <t>基础平台
（未立项）</t>
  </si>
  <si>
    <t>平台底座修改，完成初版并上传到Maven仓库。</t>
  </si>
  <si>
    <t>石伟佳</t>
  </si>
  <si>
    <t>平台业务模块打包方式调试，去掉fat jar。</t>
  </si>
  <si>
    <t>单体版脚手架编写完成，同时编写初始化脚本。</t>
  </si>
  <si>
    <t>微服务代码模板编写完成，调试网关链式调用等问题，编写完成初始化脚本。</t>
  </si>
  <si>
    <t>其他技术支持工作。以及编码规范体系设计初步调研</t>
  </si>
  <si>
    <t>单体架构前后端项目本地搭建、基座项目下载查看；
参加会议：平台相关近期工作安排</t>
  </si>
  <si>
    <t>试用codeBuddy开发工具，尝试运行传统项目
梳理eland平台当前架构和升级目标</t>
  </si>
  <si>
    <t>彭步坤</t>
  </si>
  <si>
    <t>单体架构后端项目本地搭建
参加会议</t>
  </si>
  <si>
    <t>上传eland平台到git统一管理</t>
  </si>
  <si>
    <t>内部管理系统
（立项阶段）</t>
  </si>
  <si>
    <t>1.项目管理系统平台前后端搭建，数据库创建以及脚本刷入,基座关键代码走读
2.项目管理系统按照数据库说明文档中的表结构生成mysql建表语句刷到数据库中
3.按照项目管理部分产品图使用AI构建前端代码并放入项目管理系统中</t>
  </si>
  <si>
    <t>窦延群</t>
  </si>
  <si>
    <t>需求分析及原型设计</t>
  </si>
  <si>
    <t>张燕</t>
  </si>
  <si>
    <t xml:space="preserve">1.前端项目框架egret-ui-admin-vue3的本地搭建，并初步运行启动；
2.单体框架模版egret-template-boot的本地搭建，boot环境配置，数据库配置；
3.项目配合AI工具，分析熟悉框架架构。
</t>
  </si>
  <si>
    <t>卢波</t>
  </si>
  <si>
    <t xml:space="preserve">济南市联合资产交易公示平台
项目编号：22250903HF
</t>
  </si>
  <si>
    <t>1.通知公告返回值修改，房源批量导入功能开发；
2.房源合并逻辑开发调试；</t>
  </si>
  <si>
    <t>许兴欣</t>
  </si>
  <si>
    <t>1.参与项目需求会议，梳理并确认本期需求要点，按业务要求完成对应页面开发。 加班加点推进相关接口对接与联调工作，确保前后端交互正常、数据流转稳定，形成可演示版本。 修改测试提出的问题，及时定位、修复测试，保障页面展示与功能流程正常可用。
2.联合资产小程序 依据 UI 反馈的优化建议，完成小程序页面展示效果迭代，优化视觉呈现与交互体验； 在收藏列表模块新增「强制管理」Tab 页，开发并实现强制管理房源的收藏操作功能，完善收藏业务场景覆盖； 对昨日加班开发的功能开展全维度页面 BUG 排查，定位并修复各类异常问题，保障功能稳定性； 封装瀑布流通用组件，完成列表页功能改造，统一页面开发标准，大幅提升页面复用性与开发效率。 优化首页展示效果，开发 Tab 栏滑动置顶交互功能，验证效果适配性，提升页面操作体验。 web端：针对测试最新反馈的问题进行快速响应，逐一定位问题根因并完成修复验证，确保页面展示效果、功能流程符合业务要求，保障系统稳定可用。
3.围绕客户演示需求，对演示页面功能进行专项优化，全面梳理演示核心流程与关键交互点，修复功能瑕疵、优化页面响应速度及展示效果；完成演示场景全流程自测，确保页面功能稳定、流程顺畅、展示效果符合客户体验预期，为客户演示工作做好充分准备。 web端/小程序：配合后端定位测试问题，针对测试最新反馈的问题进行快速响应，逐一定位问题根因并完成修复验证，确保页面展示效果、功能流程符合业务要求，保障系统稳定可用。
4.小程序: 对小程序房源模块功能进行全面测试，在搜索页面及地图列表完成新增强制管理搜索 Tab，完善业务场景功能覆盖，提升操作便捷性与用户体验；推进地图找房功能页面改版开发，按设计与需求完成页面结构、交互及样式开发，保障页面体验与业务展示效果。 web端：及时响应并修复测试反馈问题，同步配合后端排查定位问题，完成接口调整后的对接与联调，确保功能正常流转。
5.小程序: 推进地图找房功能页面改版开发，完善业务逻辑处理中； web端：完成编辑页与详情页委托数据的展示优化，提升页面可读性与展示效果；在新建小区模块新增地铁线选择字段，根据接口变更同步完成前端适配更新，并及时开展接口对接与联调，确保数据交互正常、功能流程顺畅；及时响应并修复测试反馈的各类 bug; 梳理汇总项目信息及开发进度，向部门主管汇报当前工作内容、阶段成果、预估工期及后续计划。</t>
  </si>
  <si>
    <t>梁超</t>
  </si>
  <si>
    <t>1.演示功能评审，强制管理pc和小程序接口开发联调支撑；
2.特殊房产交易测试问题优化解决；
3.带押过户提存，双预告，预转本，定时任务代码编写；</t>
  </si>
  <si>
    <t>赵敬</t>
  </si>
  <si>
    <t>1.测试-济南市联合资产交易公示平台（联合资产+带押过户+带封过户）并准备演示数据；</t>
  </si>
  <si>
    <t>亓俣辰</t>
  </si>
  <si>
    <t>1.按照会议需求完成设计联合资产小程序端首页。包括设计banner的slogan、金刚区主图标、次图标及瀑布流抵押房产列表样式。
2.完成设计联合资产小程序端地图找房样式。包括总区域/总片区/显示小区样式，小区显示查封房产/抵押房产/强制管理/历史遗留标签及价格，选中显示小区房源列表。
3.按照会议需求完成设计联合资产PC端首页的多个版本并确定一版。
4.页面ui设计：包含：（1）. 按照会议需求完成调整联合资产PC端首页。包括顶部样式、通知公告、推荐房源、抵押房产、查封房产、强制管理、历史遗留、土地交易和顶部样式。 （2）. 调整联合资产PC端房产列表页。包括筛选样式（位置、户型、价格、面积、朝向）（ 3）. 调整联合资产PC端房产详情页。包括调整中介/物业/业主咨询、房源信息、附房信息、尽调信息、房源介绍、推荐房源。
5.完成调整联合资产PC端地图找房的小区展示样式。包括添加强制管理房产标签等。</t>
  </si>
  <si>
    <t>冯庆召</t>
  </si>
  <si>
    <t>房源展厅PC端开发 - 页面改版优化</t>
  </si>
  <si>
    <t>赵旺</t>
  </si>
  <si>
    <t>1.参与项目需求会议；
2.房源小程序二维码获取生成；
3.土地管理接口开发对接，房源详情，测试环境发布，问题修改</t>
  </si>
  <si>
    <t>蔡高情</t>
  </si>
  <si>
    <t>1.公证处现场沟通联合资产优化事项、建设需求、改进方案；
2.根据会议需求，推进平台-用户端网站、小程序；公证处业务端优化事项；
3.推进平台优化事项测试进度，并准备测试、汇报数据；
4.与齐鲁银行沟通执行案款提存测试事项；
5.准备联合资产交易公示平台汇报事项，客户现场汇报联合资产交易公示平台演示；
6.项目材料整理，根据汇报中客户反馈，设计平台优化方案；
7.推进平台-用户端网站、小程序；公证处业务端优化事项；</t>
  </si>
  <si>
    <t xml:space="preserve">车位使用权公证备案平台
项目编号：22250829HF
</t>
  </si>
  <si>
    <t xml:space="preserve">汇房云经纪人
项目编号：21250418
</t>
  </si>
  <si>
    <t>汇房域名无法微信打开问题修复，
日常运营支持，滨州德邦相关需求设计准备
滨房租售首页修改，合同签订开发设计推进</t>
  </si>
  <si>
    <t>设计</t>
  </si>
  <si>
    <t>B端APP工作台与业绩详情页、C端企业专属小程序首页、成交喜报设计</t>
  </si>
  <si>
    <t xml:space="preserve">汇房云培训考试
项目编号：
</t>
  </si>
  <si>
    <t>枣庄协会新需求修改，日常运营维护支持</t>
  </si>
  <si>
    <t>枣庄协会新需求修改前端开发</t>
  </si>
  <si>
    <t>支付问题排查修复，枣庄新需求修改跟进</t>
  </si>
  <si>
    <t>卓识网安业务平台系统
项目编号：22251028HFJ</t>
  </si>
  <si>
    <t>工作台、异地备案、工程数据表等缺陷修复，客户验收支持
遗留需求与需求变动修改</t>
  </si>
  <si>
    <t>安震</t>
  </si>
  <si>
    <t>测试问题记录文档修复，云效缺陷修复，需求变动开发修改</t>
  </si>
  <si>
    <t>王恒通</t>
  </si>
  <si>
    <t>识网安依赖更新导致项目启动与流水线部署问题处理，验收事项与缺陷修复跟进，剩余需求细节推进客户确定。
卓识网安测试与缺陷修复</t>
  </si>
  <si>
    <t>测试</t>
  </si>
  <si>
    <t>公司内部系统维护升级项目
项目编号：21250801J</t>
  </si>
  <si>
    <t>阳信房产超市运维</t>
  </si>
  <si>
    <t>基础平台
21250807J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</si>
</sst>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</numFmts>
  <fonts count="4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name val="等线"/>
      <charset val="134"/>
    </font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2"/>
      <color rgb="FF000000"/>
      <name val="Arial"/>
      <charset val="134"/>
    </font>
    <font>
      <sz val="9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FF0000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6" borderId="2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29" applyNumberFormat="0" applyAlignment="0" applyProtection="0">
      <alignment vertical="center"/>
    </xf>
    <xf numFmtId="0" fontId="34" fillId="8" borderId="30" applyNumberFormat="0" applyAlignment="0" applyProtection="0">
      <alignment vertical="center"/>
    </xf>
    <xf numFmtId="0" fontId="35" fillId="8" borderId="29" applyNumberFormat="0" applyAlignment="0" applyProtection="0">
      <alignment vertical="center"/>
    </xf>
    <xf numFmtId="0" fontId="36" fillId="9" borderId="31" applyNumberFormat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5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 applyBorder="0">
      <alignment vertical="center"/>
    </xf>
  </cellStyleXfs>
  <cellXfs count="303">
    <xf numFmtId="176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wrapText="1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left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2" borderId="8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vertical="center"/>
    </xf>
    <xf numFmtId="0" fontId="5" fillId="0" borderId="9" xfId="0" applyNumberFormat="1" applyFont="1" applyBorder="1" applyAlignment="1">
      <alignment horizontal="center" vertical="center" wrapText="1"/>
    </xf>
    <xf numFmtId="0" fontId="0" fillId="0" borderId="10" xfId="0" applyNumberFormat="1" applyBorder="1"/>
    <xf numFmtId="0" fontId="5" fillId="3" borderId="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9" fontId="5" fillId="3" borderId="1" xfId="0" applyNumberFormat="1" applyFont="1" applyFill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3" xfId="0" applyNumberFormat="1" applyBorder="1"/>
    <xf numFmtId="0" fontId="0" fillId="0" borderId="9" xfId="0" applyNumberFormat="1" applyBorder="1"/>
    <xf numFmtId="0" fontId="5" fillId="0" borderId="9" xfId="0" applyNumberFormat="1" applyFont="1" applyBorder="1" applyAlignment="1">
      <alignment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9" fontId="5" fillId="0" borderId="5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left" vertical="center" wrapText="1"/>
    </xf>
    <xf numFmtId="9" fontId="5" fillId="0" borderId="9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Alignment="1">
      <alignment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left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10" fillId="0" borderId="11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9" fontId="9" fillId="0" borderId="5" xfId="0" applyNumberFormat="1" applyFont="1" applyFill="1" applyBorder="1" applyAlignment="1">
      <alignment horizontal="center" vertical="center" wrapText="1"/>
    </xf>
    <xf numFmtId="177" fontId="9" fillId="0" borderId="5" xfId="0" applyNumberFormat="1" applyFont="1" applyFill="1" applyBorder="1" applyAlignment="1">
      <alignment horizontal="center" vertical="center"/>
    </xf>
    <xf numFmtId="0" fontId="10" fillId="0" borderId="12" xfId="0" applyNumberFormat="1" applyFont="1" applyFill="1" applyBorder="1" applyAlignment="1">
      <alignment horizontal="center" vertical="center" wrapText="1"/>
    </xf>
    <xf numFmtId="0" fontId="11" fillId="0" borderId="12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9" fillId="3" borderId="5" xfId="0" applyNumberFormat="1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vertical="center"/>
    </xf>
    <xf numFmtId="0" fontId="9" fillId="3" borderId="5" xfId="0" applyNumberFormat="1" applyFont="1" applyFill="1" applyBorder="1" applyAlignment="1">
      <alignment vertical="center"/>
    </xf>
    <xf numFmtId="177" fontId="9" fillId="3" borderId="5" xfId="0" applyNumberFormat="1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vertical="center" wrapText="1"/>
    </xf>
    <xf numFmtId="9" fontId="9" fillId="0" borderId="5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 wrapText="1"/>
    </xf>
    <xf numFmtId="0" fontId="11" fillId="0" borderId="10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left" vertical="center" wrapText="1"/>
    </xf>
    <xf numFmtId="0" fontId="14" fillId="0" borderId="5" xfId="0" applyNumberFormat="1" applyFont="1" applyFill="1" applyBorder="1" applyAlignment="1">
      <alignment horizontal="center" vertical="center" wrapText="1"/>
    </xf>
    <xf numFmtId="0" fontId="13" fillId="0" borderId="12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left" vertical="center" wrapText="1"/>
    </xf>
    <xf numFmtId="0" fontId="14" fillId="0" borderId="5" xfId="0" applyNumberFormat="1" applyFont="1" applyFill="1" applyBorder="1" applyAlignment="1">
      <alignment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Alignment="1">
      <alignment vertical="center" wrapText="1"/>
    </xf>
    <xf numFmtId="0" fontId="15" fillId="0" borderId="0" xfId="0" applyNumberFormat="1" applyFont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center" vertical="center" wrapText="1"/>
    </xf>
    <xf numFmtId="0" fontId="18" fillId="0" borderId="2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left" vertical="center" wrapText="1"/>
    </xf>
    <xf numFmtId="0" fontId="18" fillId="2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Border="1" applyAlignment="1">
      <alignment horizontal="center" vertical="center"/>
    </xf>
    <xf numFmtId="0" fontId="18" fillId="3" borderId="1" xfId="0" applyNumberFormat="1" applyFont="1" applyFill="1" applyBorder="1" applyAlignment="1">
      <alignment horizontal="center" vertical="center"/>
    </xf>
    <xf numFmtId="9" fontId="18" fillId="3" borderId="1" xfId="0" applyNumberFormat="1" applyFont="1" applyFill="1" applyBorder="1" applyAlignment="1">
      <alignment vertical="center"/>
    </xf>
    <xf numFmtId="0" fontId="18" fillId="3" borderId="1" xfId="0" applyNumberFormat="1" applyFont="1" applyFill="1" applyBorder="1" applyAlignment="1">
      <alignment vertical="center"/>
    </xf>
    <xf numFmtId="177" fontId="18" fillId="3" borderId="1" xfId="0" applyNumberFormat="1" applyFont="1" applyFill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vertical="center" wrapText="1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176" fontId="2" fillId="0" borderId="10" xfId="0" applyFont="1" applyBorder="1" applyAlignment="1">
      <alignment horizontal="center" vertical="center" wrapText="1"/>
    </xf>
    <xf numFmtId="176" fontId="4" fillId="0" borderId="10" xfId="0" applyFont="1" applyBorder="1" applyAlignment="1">
      <alignment horizontal="left" vertical="center"/>
    </xf>
    <xf numFmtId="176" fontId="5" fillId="0" borderId="10" xfId="0" applyFont="1" applyBorder="1" applyAlignment="1">
      <alignment horizontal="center" vertical="center" wrapText="1"/>
    </xf>
    <xf numFmtId="176" fontId="5" fillId="0" borderId="10" xfId="0" applyFont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left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177" fontId="5" fillId="0" borderId="10" xfId="0" applyNumberFormat="1" applyFont="1" applyBorder="1" applyAlignment="1">
      <alignment horizontal="center" vertical="center"/>
    </xf>
    <xf numFmtId="176" fontId="2" fillId="0" borderId="5" xfId="0" applyFont="1" applyBorder="1" applyAlignment="1">
      <alignment horizontal="center" vertical="center" wrapText="1"/>
    </xf>
    <xf numFmtId="176" fontId="4" fillId="0" borderId="5" xfId="0" applyFont="1" applyBorder="1" applyAlignment="1">
      <alignment horizontal="left" vertical="center"/>
    </xf>
    <xf numFmtId="176" fontId="5" fillId="0" borderId="5" xfId="0" applyFont="1" applyBorder="1" applyAlignment="1">
      <alignment horizontal="center" vertical="center" wrapText="1"/>
    </xf>
    <xf numFmtId="176" fontId="5" fillId="0" borderId="5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left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/>
    </xf>
    <xf numFmtId="176" fontId="5" fillId="0" borderId="7" xfId="0" applyFont="1" applyBorder="1" applyAlignment="1">
      <alignment horizontal="center" vertical="center"/>
    </xf>
    <xf numFmtId="176" fontId="5" fillId="0" borderId="7" xfId="0" applyFont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Border="1" applyAlignment="1">
      <alignment vertical="center"/>
    </xf>
    <xf numFmtId="176" fontId="5" fillId="3" borderId="18" xfId="0" applyFont="1" applyFill="1" applyBorder="1" applyAlignment="1">
      <alignment horizontal="center" vertical="center"/>
    </xf>
    <xf numFmtId="176" fontId="5" fillId="3" borderId="8" xfId="0" applyFont="1" applyFill="1" applyBorder="1" applyAlignment="1">
      <alignment horizontal="center" vertical="center"/>
    </xf>
    <xf numFmtId="176" fontId="5" fillId="3" borderId="19" xfId="0" applyFont="1" applyFill="1" applyBorder="1" applyAlignment="1">
      <alignment horizontal="center" vertical="center"/>
    </xf>
    <xf numFmtId="176" fontId="5" fillId="3" borderId="7" xfId="0" applyFont="1" applyFill="1" applyBorder="1" applyAlignment="1">
      <alignment horizontal="center" vertical="center"/>
    </xf>
    <xf numFmtId="9" fontId="5" fillId="3" borderId="5" xfId="0" applyNumberFormat="1" applyFont="1" applyFill="1" applyBorder="1" applyAlignment="1">
      <alignment vertical="center"/>
    </xf>
    <xf numFmtId="176" fontId="5" fillId="3" borderId="5" xfId="0" applyFont="1" applyFill="1" applyBorder="1" applyAlignment="1">
      <alignment vertical="center"/>
    </xf>
    <xf numFmtId="177" fontId="5" fillId="3" borderId="5" xfId="0" applyNumberFormat="1" applyFont="1" applyFill="1" applyBorder="1" applyAlignment="1">
      <alignment horizontal="center" vertical="center"/>
    </xf>
    <xf numFmtId="176" fontId="5" fillId="0" borderId="20" xfId="0" applyFont="1" applyBorder="1" applyAlignment="1">
      <alignment horizontal="center" vertical="center"/>
    </xf>
    <xf numFmtId="176" fontId="4" fillId="0" borderId="10" xfId="0" applyFont="1" applyBorder="1" applyAlignment="1">
      <alignment horizontal="left" vertical="center" wrapText="1"/>
    </xf>
    <xf numFmtId="9" fontId="5" fillId="0" borderId="15" xfId="0" applyNumberFormat="1" applyFont="1" applyBorder="1" applyAlignment="1">
      <alignment horizontal="center" vertical="center"/>
    </xf>
    <xf numFmtId="176" fontId="5" fillId="0" borderId="13" xfId="0" applyFont="1" applyBorder="1" applyAlignment="1">
      <alignment horizontal="center" vertical="center"/>
    </xf>
    <xf numFmtId="176" fontId="4" fillId="0" borderId="5" xfId="0" applyFont="1" applyBorder="1" applyAlignment="1">
      <alignment vertical="center"/>
    </xf>
    <xf numFmtId="176" fontId="5" fillId="0" borderId="21" xfId="0" applyFont="1" applyBorder="1" applyAlignment="1">
      <alignment horizontal="left" vertical="center" wrapText="1"/>
    </xf>
    <xf numFmtId="176" fontId="5" fillId="0" borderId="15" xfId="0" applyFont="1" applyBorder="1" applyAlignment="1">
      <alignment horizontal="center" vertical="center" wrapText="1"/>
    </xf>
    <xf numFmtId="176" fontId="5" fillId="0" borderId="3" xfId="0" applyFont="1" applyBorder="1" applyAlignment="1">
      <alignment horizontal="left" vertical="center" wrapText="1"/>
    </xf>
    <xf numFmtId="176" fontId="5" fillId="0" borderId="22" xfId="0" applyFont="1" applyBorder="1" applyAlignment="1">
      <alignment horizontal="left" vertical="center" wrapText="1"/>
    </xf>
    <xf numFmtId="176" fontId="5" fillId="0" borderId="5" xfId="0" applyFont="1" applyBorder="1" applyAlignment="1">
      <alignment vertical="center" wrapText="1"/>
    </xf>
    <xf numFmtId="176" fontId="5" fillId="0" borderId="10" xfId="0" applyFont="1" applyBorder="1" applyAlignment="1">
      <alignment vertical="center"/>
    </xf>
    <xf numFmtId="176" fontId="5" fillId="3" borderId="5" xfId="0" applyFont="1" applyFill="1" applyBorder="1" applyAlignment="1">
      <alignment horizontal="center" vertical="center"/>
    </xf>
    <xf numFmtId="0" fontId="5" fillId="0" borderId="5" xfId="0" applyNumberFormat="1" applyFont="1" applyBorder="1" applyAlignment="1">
      <alignment vertical="center" wrapText="1"/>
    </xf>
    <xf numFmtId="9" fontId="5" fillId="0" borderId="5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vertical="center"/>
    </xf>
    <xf numFmtId="176" fontId="2" fillId="0" borderId="1" xfId="0" applyFont="1" applyBorder="1" applyAlignment="1">
      <alignment horizontal="center" vertical="center" wrapText="1"/>
    </xf>
    <xf numFmtId="176" fontId="4" fillId="0" borderId="1" xfId="0" applyFont="1" applyBorder="1" applyAlignment="1">
      <alignment horizontal="left" vertical="center"/>
    </xf>
    <xf numFmtId="176" fontId="5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5" fillId="0" borderId="2" xfId="0" applyFont="1" applyBorder="1" applyAlignment="1">
      <alignment horizontal="left" vertical="center" wrapText="1"/>
    </xf>
    <xf numFmtId="176" fontId="5" fillId="0" borderId="1" xfId="0" applyFont="1" applyBorder="1" applyAlignment="1">
      <alignment vertical="center"/>
    </xf>
    <xf numFmtId="176" fontId="5" fillId="0" borderId="9" xfId="0" applyFont="1" applyBorder="1" applyAlignment="1">
      <alignment horizontal="left" vertical="center" wrapText="1"/>
    </xf>
    <xf numFmtId="176" fontId="5" fillId="3" borderId="4" xfId="0" applyFont="1" applyFill="1" applyBorder="1" applyAlignment="1">
      <alignment horizontal="center" vertical="center"/>
    </xf>
    <xf numFmtId="176" fontId="5" fillId="3" borderId="6" xfId="0" applyFont="1" applyFill="1" applyBorder="1" applyAlignment="1">
      <alignment horizontal="center" vertical="center"/>
    </xf>
    <xf numFmtId="176" fontId="5" fillId="3" borderId="1" xfId="0" applyFont="1" applyFill="1" applyBorder="1" applyAlignment="1">
      <alignment vertical="center"/>
    </xf>
    <xf numFmtId="176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18" fillId="2" borderId="1" xfId="0" applyNumberFormat="1" applyFont="1" applyFill="1" applyBorder="1" applyAlignment="1">
      <alignment horizontal="left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/>
    </xf>
    <xf numFmtId="177" fontId="9" fillId="3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left" vertical="center" wrapText="1"/>
    </xf>
    <xf numFmtId="9" fontId="9" fillId="0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9" fontId="0" fillId="0" borderId="0" xfId="0" applyNumberFormat="1"/>
    <xf numFmtId="49" fontId="0" fillId="0" borderId="0" xfId="0" applyNumberFormat="1"/>
    <xf numFmtId="176" fontId="21" fillId="4" borderId="1" xfId="0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/>
    </xf>
    <xf numFmtId="176" fontId="22" fillId="4" borderId="1" xfId="0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0" fontId="22" fillId="4" borderId="1" xfId="0" applyNumberFormat="1" applyFont="1" applyFill="1" applyBorder="1" applyAlignment="1">
      <alignment horizontal="center" vertical="center" wrapText="1"/>
    </xf>
    <xf numFmtId="49" fontId="22" fillId="4" borderId="1" xfId="0" applyNumberFormat="1" applyFont="1" applyFill="1" applyBorder="1" applyAlignment="1">
      <alignment horizontal="center" vertical="center" wrapText="1"/>
    </xf>
    <xf numFmtId="176" fontId="22" fillId="4" borderId="1" xfId="0" applyFont="1" applyFill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/>
    </xf>
    <xf numFmtId="176" fontId="23" fillId="0" borderId="2" xfId="0" applyFont="1" applyBorder="1" applyAlignment="1">
      <alignment horizontal="center" vertical="center" wrapText="1"/>
    </xf>
    <xf numFmtId="176" fontId="23" fillId="0" borderId="1" xfId="0" applyFont="1" applyBorder="1" applyAlignment="1">
      <alignment horizontal="center" vertical="center" wrapText="1"/>
    </xf>
    <xf numFmtId="176" fontId="23" fillId="0" borderId="1" xfId="0" applyFont="1" applyBorder="1" applyAlignment="1">
      <alignment vertical="center"/>
    </xf>
    <xf numFmtId="176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176" fontId="23" fillId="0" borderId="1" xfId="0" applyFont="1" applyBorder="1" applyAlignment="1">
      <alignment vertical="center" wrapText="1"/>
    </xf>
    <xf numFmtId="176" fontId="23" fillId="0" borderId="3" xfId="0" applyFont="1" applyBorder="1" applyAlignment="1">
      <alignment horizontal="center" vertical="center"/>
    </xf>
    <xf numFmtId="9" fontId="23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Font="1" applyFill="1" applyBorder="1" applyAlignment="1">
      <alignment horizontal="center" vertical="center"/>
    </xf>
    <xf numFmtId="176" fontId="23" fillId="0" borderId="1" xfId="0" applyFont="1" applyFill="1" applyBorder="1" applyAlignment="1">
      <alignment horizontal="center" vertical="center" wrapText="1"/>
    </xf>
    <xf numFmtId="176" fontId="23" fillId="5" borderId="1" xfId="0" applyFont="1" applyFill="1" applyBorder="1" applyAlignment="1">
      <alignment horizontal="center" vertical="center"/>
    </xf>
    <xf numFmtId="9" fontId="23" fillId="0" borderId="1" xfId="0" applyNumberFormat="1" applyFont="1" applyFill="1" applyBorder="1" applyAlignment="1">
      <alignment horizontal="center" vertical="center"/>
    </xf>
    <xf numFmtId="176" fontId="23" fillId="5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/>
    </xf>
    <xf numFmtId="176" fontId="23" fillId="0" borderId="1" xfId="0" applyFont="1" applyFill="1" applyBorder="1" applyAlignment="1">
      <alignment vertical="center"/>
    </xf>
    <xf numFmtId="49" fontId="23" fillId="0" borderId="1" xfId="0" applyNumberFormat="1" applyFont="1" applyFill="1" applyBorder="1" applyAlignment="1">
      <alignment horizontal="center" vertical="center" wrapText="1"/>
    </xf>
    <xf numFmtId="176" fontId="23" fillId="0" borderId="1" xfId="0" applyFont="1" applyBorder="1" applyAlignment="1">
      <alignment horizontal="center" vertical="center"/>
    </xf>
    <xf numFmtId="0" fontId="23" fillId="0" borderId="24" xfId="0" applyNumberFormat="1" applyFont="1" applyBorder="1" applyAlignment="1">
      <alignment horizontal="center" vertical="center"/>
    </xf>
    <xf numFmtId="176" fontId="23" fillId="0" borderId="25" xfId="0" applyFont="1" applyBorder="1" applyAlignment="1">
      <alignment horizontal="center" vertical="center"/>
    </xf>
    <xf numFmtId="176" fontId="23" fillId="0" borderId="24" xfId="0" applyFont="1" applyBorder="1" applyAlignment="1">
      <alignment horizontal="center" vertical="center"/>
    </xf>
    <xf numFmtId="176" fontId="23" fillId="4" borderId="24" xfId="0" applyFont="1" applyFill="1" applyBorder="1" applyAlignment="1">
      <alignment horizontal="center" vertical="center"/>
    </xf>
    <xf numFmtId="0" fontId="23" fillId="4" borderId="24" xfId="0" applyNumberFormat="1" applyFont="1" applyFill="1" applyBorder="1" applyAlignment="1">
      <alignment horizontal="center" vertical="center"/>
    </xf>
    <xf numFmtId="176" fontId="23" fillId="4" borderId="24" xfId="0" applyFont="1" applyFill="1" applyBorder="1" applyAlignment="1">
      <alignment horizontal="center" vertical="center" wrapText="1"/>
    </xf>
    <xf numFmtId="9" fontId="23" fillId="4" borderId="24" xfId="0" applyNumberFormat="1" applyFont="1" applyFill="1" applyBorder="1" applyAlignment="1">
      <alignment horizontal="center" vertical="center"/>
    </xf>
    <xf numFmtId="176" fontId="23" fillId="0" borderId="24" xfId="0" applyFont="1" applyBorder="1" applyAlignment="1">
      <alignment horizontal="center" vertical="center" wrapText="1"/>
    </xf>
    <xf numFmtId="0" fontId="23" fillId="0" borderId="9" xfId="0" applyNumberFormat="1" applyFont="1" applyBorder="1" applyAlignment="1">
      <alignment horizontal="center" vertical="center"/>
    </xf>
    <xf numFmtId="176" fontId="23" fillId="0" borderId="3" xfId="0" applyFont="1" applyBorder="1" applyAlignment="1">
      <alignment horizontal="center" vertical="center" wrapText="1"/>
    </xf>
    <xf numFmtId="0" fontId="23" fillId="0" borderId="9" xfId="0" applyNumberFormat="1" applyFont="1" applyFill="1" applyBorder="1" applyAlignment="1">
      <alignment horizontal="center" vertical="center"/>
    </xf>
    <xf numFmtId="176" fontId="23" fillId="0" borderId="9" xfId="0" applyFont="1" applyFill="1" applyBorder="1" applyAlignment="1">
      <alignment vertical="center"/>
    </xf>
    <xf numFmtId="176" fontId="23" fillId="0" borderId="9" xfId="0" applyFont="1" applyFill="1" applyBorder="1" applyAlignment="1">
      <alignment horizontal="center" vertical="center"/>
    </xf>
    <xf numFmtId="9" fontId="23" fillId="0" borderId="9" xfId="0" applyNumberFormat="1" applyFont="1" applyFill="1" applyBorder="1" applyAlignment="1">
      <alignment horizontal="center" vertical="center"/>
    </xf>
    <xf numFmtId="0" fontId="23" fillId="0" borderId="9" xfId="0" applyNumberFormat="1" applyFont="1" applyFill="1" applyBorder="1" applyAlignment="1">
      <alignment horizontal="center" vertical="center" wrapText="1"/>
    </xf>
    <xf numFmtId="176" fontId="24" fillId="0" borderId="9" xfId="0" applyFont="1" applyFill="1" applyBorder="1" applyAlignment="1">
      <alignment vertical="center" wrapText="1"/>
    </xf>
    <xf numFmtId="0" fontId="23" fillId="0" borderId="2" xfId="0" applyNumberFormat="1" applyFont="1" applyBorder="1" applyAlignment="1">
      <alignment horizontal="center" vertical="center"/>
    </xf>
    <xf numFmtId="176" fontId="23" fillId="0" borderId="2" xfId="0" applyFont="1" applyBorder="1" applyAlignment="1">
      <alignment vertical="center"/>
    </xf>
    <xf numFmtId="176" fontId="23" fillId="0" borderId="2" xfId="0" applyFont="1" applyBorder="1" applyAlignment="1">
      <alignment horizontal="center" vertical="center"/>
    </xf>
    <xf numFmtId="9" fontId="23" fillId="0" borderId="2" xfId="0" applyNumberFormat="1" applyFont="1" applyBorder="1" applyAlignment="1">
      <alignment horizontal="center" vertical="center"/>
    </xf>
    <xf numFmtId="0" fontId="23" fillId="0" borderId="2" xfId="0" applyNumberFormat="1" applyFont="1" applyBorder="1" applyAlignment="1">
      <alignment horizontal="center" vertical="center" wrapText="1"/>
    </xf>
    <xf numFmtId="176" fontId="23" fillId="0" borderId="2" xfId="0" applyFont="1" applyBorder="1" applyAlignment="1">
      <alignment vertical="center" wrapText="1"/>
    </xf>
    <xf numFmtId="176" fontId="23" fillId="0" borderId="2" xfId="0" applyFont="1" applyFill="1" applyBorder="1" applyAlignment="1">
      <alignment horizontal="center" vertical="center"/>
    </xf>
    <xf numFmtId="176" fontId="23" fillId="0" borderId="25" xfId="0" applyFont="1" applyBorder="1" applyAlignment="1">
      <alignment horizontal="center" vertical="center" wrapText="1"/>
    </xf>
    <xf numFmtId="176" fontId="23" fillId="0" borderId="9" xfId="0" applyFont="1" applyBorder="1" applyAlignment="1">
      <alignment horizontal="center" vertical="center" wrapText="1"/>
    </xf>
    <xf numFmtId="176" fontId="23" fillId="0" borderId="9" xfId="0" applyFont="1" applyBorder="1" applyAlignment="1">
      <alignment vertical="center"/>
    </xf>
    <xf numFmtId="176" fontId="23" fillId="0" borderId="9" xfId="0" applyFont="1" applyFill="1" applyBorder="1" applyAlignment="1">
      <alignment horizontal="center" vertical="center" wrapText="1"/>
    </xf>
    <xf numFmtId="176" fontId="23" fillId="0" borderId="9" xfId="0" applyFont="1" applyFill="1" applyBorder="1" applyAlignment="1">
      <alignment vertical="center" wrapText="1"/>
    </xf>
    <xf numFmtId="176" fontId="24" fillId="0" borderId="1" xfId="0" applyFont="1" applyFill="1" applyBorder="1" applyAlignment="1">
      <alignment vertical="center" wrapText="1"/>
    </xf>
    <xf numFmtId="176" fontId="23" fillId="3" borderId="1" xfId="0" applyFont="1" applyFill="1" applyBorder="1" applyAlignment="1">
      <alignment vertical="center"/>
    </xf>
    <xf numFmtId="0" fontId="23" fillId="0" borderId="4" xfId="0" applyNumberFormat="1" applyFont="1" applyFill="1" applyBorder="1" applyAlignment="1">
      <alignment horizontal="center" vertical="center"/>
    </xf>
    <xf numFmtId="0" fontId="23" fillId="0" borderId="6" xfId="0" applyNumberFormat="1" applyFont="1" applyFill="1" applyBorder="1" applyAlignment="1">
      <alignment horizontal="center" vertical="center"/>
    </xf>
    <xf numFmtId="176" fontId="23" fillId="0" borderId="9" xfId="0" applyFont="1" applyBorder="1" applyAlignment="1">
      <alignment horizontal="center" vertical="center"/>
    </xf>
    <xf numFmtId="9" fontId="23" fillId="0" borderId="9" xfId="0" applyNumberFormat="1" applyFont="1" applyBorder="1" applyAlignment="1">
      <alignment horizontal="center" vertical="center"/>
    </xf>
    <xf numFmtId="49" fontId="23" fillId="0" borderId="9" xfId="0" applyNumberFormat="1" applyFont="1" applyFill="1" applyBorder="1" applyAlignment="1">
      <alignment horizontal="center" vertical="center" wrapText="1"/>
    </xf>
    <xf numFmtId="176" fontId="23" fillId="0" borderId="9" xfId="0" applyFont="1" applyBorder="1" applyAlignment="1">
      <alignment vertical="center" wrapText="1"/>
    </xf>
    <xf numFmtId="0" fontId="23" fillId="0" borderId="0" xfId="0" applyNumberFormat="1" applyFont="1" applyAlignment="1">
      <alignment horizontal="center" vertical="center"/>
    </xf>
    <xf numFmtId="176" fontId="23" fillId="0" borderId="0" xfId="0" applyFont="1" applyAlignment="1">
      <alignment horizontal="center" vertical="center"/>
    </xf>
    <xf numFmtId="176" fontId="23" fillId="0" borderId="0" xfId="0" applyFont="1" applyAlignment="1">
      <alignment vertical="center"/>
    </xf>
    <xf numFmtId="0" fontId="23" fillId="0" borderId="0" xfId="0" applyNumberFormat="1" applyFont="1" applyAlignment="1">
      <alignment vertical="center"/>
    </xf>
    <xf numFmtId="176" fontId="0" fillId="0" borderId="0" xfId="0" applyAlignment="1">
      <alignment vertical="center"/>
    </xf>
    <xf numFmtId="0" fontId="5" fillId="0" borderId="1" xfId="0" applyNumberFormat="1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10" xfId="51"/>
    <cellStyle name="常规 11" xfId="52"/>
    <cellStyle name="常规 12" xfId="53"/>
    <cellStyle name="常规 13" xfId="54"/>
    <cellStyle name="常规 14" xfId="55"/>
    <cellStyle name="常规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07-2026.3.13&#39033;&#30446;&#21608;&#25253;&#27719;&#246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9-2026.3.13&#39033;&#30446;&#21608;&#25253;&#27719;&#24635;-&#20132;&#20184;-&#29289;&#19994;&#3245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9-2026.3.13&#39033;&#30446;&#21608;&#25253;&#27719;&#24635;-&#20132;&#20184;-AI&#22823;&#25968;&#25454;&#32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09-2025.3.13&#39033;&#30446;&#21608;&#25253;&#27719;&#24635;-&#20132;&#20184;-JD&#3245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9-2026.3.13&#39033;&#30446;&#21608;&#25253;&#27719;&#24635;-&#27719;&#25151;&#26234;&#36873;&#370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汇房智选部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1"/>
  <sheetViews>
    <sheetView tabSelected="1" zoomScale="70" zoomScaleNormal="70" topLeftCell="A8" workbookViewId="0">
      <selection activeCell="N42" sqref="N42"/>
    </sheetView>
  </sheetViews>
  <sheetFormatPr defaultColWidth="9" defaultRowHeight="13.8"/>
  <cols>
    <col min="1" max="1" width="7.11111111111111" style="232" customWidth="1"/>
    <col min="2" max="2" width="15.4444444444444" customWidth="1"/>
    <col min="3" max="3" width="14.4444444444444" customWidth="1"/>
    <col min="4" max="4" width="21.8888888888889" style="232" customWidth="1"/>
    <col min="5" max="5" width="41.8888888888889" customWidth="1"/>
    <col min="6" max="6" width="21.2222222222222" customWidth="1"/>
    <col min="7" max="7" width="9.88888888888889" customWidth="1"/>
    <col min="8" max="8" width="11.4444444444444" customWidth="1"/>
    <col min="9" max="9" width="10.8888888888889" customWidth="1"/>
    <col min="10" max="10" width="15.3333333333333" style="233" customWidth="1"/>
    <col min="11" max="11" width="11.3333333333333" style="232" customWidth="1"/>
    <col min="12" max="12" width="20.6296296296296" customWidth="1"/>
    <col min="13" max="13" width="19.7777777777778" style="232" customWidth="1"/>
    <col min="14" max="14" width="20.1574074074074" style="232" customWidth="1"/>
    <col min="15" max="15" width="21.2685185185185" style="234" customWidth="1"/>
    <col min="16" max="16" width="19.2037037037037" customWidth="1"/>
    <col min="17" max="17" width="16.3518518518519" customWidth="1"/>
    <col min="18" max="18" width="85.2314814814815" customWidth="1"/>
  </cols>
  <sheetData>
    <row r="1" ht="37.5" customHeight="1" spans="1:18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</row>
    <row r="2" ht="30" customHeight="1" spans="1:18">
      <c r="A2" s="236" t="s">
        <v>1</v>
      </c>
      <c r="B2" s="237" t="s">
        <v>2</v>
      </c>
      <c r="C2" s="237" t="s">
        <v>3</v>
      </c>
      <c r="D2" s="236" t="s">
        <v>4</v>
      </c>
      <c r="E2" s="237" t="s">
        <v>5</v>
      </c>
      <c r="F2" s="237" t="s">
        <v>6</v>
      </c>
      <c r="G2" s="237" t="s">
        <v>7</v>
      </c>
      <c r="H2" s="237" t="s">
        <v>8</v>
      </c>
      <c r="I2" s="237" t="s">
        <v>9</v>
      </c>
      <c r="J2" s="238" t="s">
        <v>10</v>
      </c>
      <c r="K2" s="239" t="s">
        <v>11</v>
      </c>
      <c r="L2" s="237" t="s">
        <v>12</v>
      </c>
      <c r="M2" s="236" t="s">
        <v>13</v>
      </c>
      <c r="N2" s="236" t="s">
        <v>14</v>
      </c>
      <c r="O2" s="240" t="s">
        <v>15</v>
      </c>
      <c r="P2" s="241" t="s">
        <v>16</v>
      </c>
      <c r="Q2" s="237" t="s">
        <v>17</v>
      </c>
      <c r="R2" s="237" t="s">
        <v>18</v>
      </c>
    </row>
    <row r="3" ht="23" customHeight="1" spans="1:18">
      <c r="A3" s="242">
        <v>1</v>
      </c>
      <c r="B3" s="243" t="s">
        <v>19</v>
      </c>
      <c r="C3" s="244" t="s">
        <v>20</v>
      </c>
      <c r="D3" s="242">
        <v>22220901</v>
      </c>
      <c r="E3" s="245" t="s">
        <v>21</v>
      </c>
      <c r="F3" s="246" t="s">
        <v>22</v>
      </c>
      <c r="G3" s="246" t="s">
        <v>23</v>
      </c>
      <c r="H3" s="246" t="s">
        <v>24</v>
      </c>
      <c r="I3" s="246" t="s">
        <v>25</v>
      </c>
      <c r="J3" s="247" t="s">
        <v>26</v>
      </c>
      <c r="K3" s="248" t="s">
        <v>27</v>
      </c>
      <c r="L3" s="246"/>
      <c r="M3" s="242">
        <v>13.75</v>
      </c>
      <c r="N3" s="242">
        <v>15</v>
      </c>
      <c r="O3" s="249" t="str">
        <f>N3-M3&amp;"("&amp;ROUND(((N3-M3)/M3*100),0)&amp;"%)"</f>
        <v>1.25(9%)</v>
      </c>
      <c r="P3" s="250"/>
      <c r="Q3" s="245"/>
      <c r="R3" s="246"/>
    </row>
    <row r="4" ht="23" customHeight="1" spans="1:18">
      <c r="A4" s="242">
        <v>2</v>
      </c>
      <c r="B4" s="251"/>
      <c r="C4" s="246"/>
      <c r="D4" s="242">
        <v>22250226</v>
      </c>
      <c r="E4" s="245" t="s">
        <v>28</v>
      </c>
      <c r="F4" s="246" t="s">
        <v>22</v>
      </c>
      <c r="G4" s="246" t="s">
        <v>29</v>
      </c>
      <c r="H4" s="246" t="s">
        <v>30</v>
      </c>
      <c r="I4" s="246" t="s">
        <v>25</v>
      </c>
      <c r="J4" s="252">
        <v>0.91</v>
      </c>
      <c r="K4" s="248" t="s">
        <v>31</v>
      </c>
      <c r="L4" s="246"/>
      <c r="M4" s="242">
        <v>10.1</v>
      </c>
      <c r="N4" s="242">
        <v>8.5</v>
      </c>
      <c r="O4" s="249" t="str">
        <f t="shared" ref="O4:O6" si="0">ROUND(N4-M4,2)&amp;"("&amp;ROUND(((N4-M4)/M4*100),0)&amp;"%)"</f>
        <v>-1.6(-16%)</v>
      </c>
      <c r="P4" s="250"/>
      <c r="Q4" s="245"/>
      <c r="R4" s="253" t="s">
        <v>32</v>
      </c>
    </row>
    <row r="5" ht="23" customHeight="1" spans="1:18">
      <c r="A5" s="242">
        <v>3</v>
      </c>
      <c r="B5" s="251"/>
      <c r="C5" s="246"/>
      <c r="D5" s="242">
        <v>22220202</v>
      </c>
      <c r="E5" s="245" t="s">
        <v>33</v>
      </c>
      <c r="F5" s="246" t="s">
        <v>34</v>
      </c>
      <c r="G5" s="244" t="s">
        <v>35</v>
      </c>
      <c r="H5" s="246" t="s">
        <v>36</v>
      </c>
      <c r="I5" s="246" t="s">
        <v>25</v>
      </c>
      <c r="J5" s="247" t="s">
        <v>26</v>
      </c>
      <c r="K5" s="248" t="s">
        <v>31</v>
      </c>
      <c r="L5" s="250"/>
      <c r="M5" s="242">
        <v>0</v>
      </c>
      <c r="N5" s="242">
        <v>0.5</v>
      </c>
      <c r="O5" s="242">
        <v>0.5</v>
      </c>
      <c r="P5" s="244"/>
      <c r="Q5" s="245"/>
      <c r="R5" s="254" t="s">
        <v>37</v>
      </c>
    </row>
    <row r="6" ht="23" customHeight="1" spans="1:18">
      <c r="A6" s="242">
        <v>4</v>
      </c>
      <c r="B6" s="251"/>
      <c r="C6" s="246"/>
      <c r="D6" s="242">
        <v>22220701</v>
      </c>
      <c r="E6" s="245" t="s">
        <v>38</v>
      </c>
      <c r="F6" s="246" t="s">
        <v>34</v>
      </c>
      <c r="G6" s="244"/>
      <c r="H6" s="246" t="s">
        <v>36</v>
      </c>
      <c r="I6" s="246" t="s">
        <v>25</v>
      </c>
      <c r="J6" s="247" t="s">
        <v>26</v>
      </c>
      <c r="K6" s="248" t="s">
        <v>31</v>
      </c>
      <c r="L6" s="250"/>
      <c r="M6" s="242">
        <v>0</v>
      </c>
      <c r="N6" s="242">
        <v>0</v>
      </c>
      <c r="O6" s="249">
        <v>0</v>
      </c>
      <c r="P6" s="244"/>
      <c r="Q6" s="245"/>
      <c r="R6" s="254" t="s">
        <v>39</v>
      </c>
    </row>
    <row r="7" ht="23" customHeight="1" spans="1:18">
      <c r="A7" s="242">
        <v>5</v>
      </c>
      <c r="B7" s="251"/>
      <c r="C7" s="244" t="s">
        <v>40</v>
      </c>
      <c r="D7" s="242">
        <v>22221201</v>
      </c>
      <c r="E7" s="245" t="s">
        <v>41</v>
      </c>
      <c r="F7" s="246" t="s">
        <v>42</v>
      </c>
      <c r="G7" s="244" t="s">
        <v>23</v>
      </c>
      <c r="H7" s="246" t="s">
        <v>36</v>
      </c>
      <c r="I7" s="246" t="s">
        <v>25</v>
      </c>
      <c r="J7" s="247" t="s">
        <v>26</v>
      </c>
      <c r="K7" s="248" t="s">
        <v>43</v>
      </c>
      <c r="L7" s="246"/>
      <c r="M7" s="242">
        <v>4</v>
      </c>
      <c r="N7" s="242">
        <v>2</v>
      </c>
      <c r="O7" s="249" t="str">
        <f t="shared" ref="O7:O15" si="1">N7-M7&amp;"("&amp;ROUND(((N7-M7)/M7*100),0)&amp;"%)"</f>
        <v>-2(-50%)</v>
      </c>
      <c r="P7" s="250"/>
      <c r="Q7" s="245"/>
      <c r="R7" s="253"/>
    </row>
    <row r="8" ht="23" customHeight="1" spans="1:18">
      <c r="A8" s="242">
        <v>6</v>
      </c>
      <c r="B8" s="251"/>
      <c r="C8" s="246"/>
      <c r="D8" s="242">
        <v>22250314</v>
      </c>
      <c r="E8" s="245" t="s">
        <v>44</v>
      </c>
      <c r="F8" s="246" t="s">
        <v>45</v>
      </c>
      <c r="G8" s="246" t="s">
        <v>29</v>
      </c>
      <c r="H8" s="246" t="s">
        <v>36</v>
      </c>
      <c r="I8" s="255" t="s">
        <v>46</v>
      </c>
      <c r="J8" s="256" t="s">
        <v>47</v>
      </c>
      <c r="K8" s="248" t="s">
        <v>48</v>
      </c>
      <c r="L8" s="246"/>
      <c r="M8" s="242">
        <v>8</v>
      </c>
      <c r="N8" s="242">
        <v>9.5</v>
      </c>
      <c r="O8" s="249" t="str">
        <f t="shared" si="1"/>
        <v>1.5(19%)</v>
      </c>
      <c r="P8" s="257" t="s">
        <v>49</v>
      </c>
      <c r="Q8" s="245"/>
      <c r="R8" s="253" t="s">
        <v>50</v>
      </c>
    </row>
    <row r="9" ht="23" customHeight="1" spans="1:18">
      <c r="A9" s="242">
        <v>7</v>
      </c>
      <c r="B9" s="251"/>
      <c r="C9" s="246"/>
      <c r="D9" s="258" t="s">
        <v>51</v>
      </c>
      <c r="E9" s="259" t="s">
        <v>52</v>
      </c>
      <c r="F9" s="253" t="s">
        <v>53</v>
      </c>
      <c r="G9" s="253" t="s">
        <v>29</v>
      </c>
      <c r="H9" s="253" t="s">
        <v>36</v>
      </c>
      <c r="I9" s="253" t="s">
        <v>25</v>
      </c>
      <c r="J9" s="256"/>
      <c r="K9" s="249" t="s">
        <v>48</v>
      </c>
      <c r="L9" s="253"/>
      <c r="M9" s="258">
        <v>5</v>
      </c>
      <c r="N9" s="258">
        <v>5</v>
      </c>
      <c r="O9" s="249" t="str">
        <f t="shared" si="1"/>
        <v>0(0%)</v>
      </c>
      <c r="P9" s="250"/>
      <c r="Q9" s="245"/>
      <c r="R9" s="253" t="s">
        <v>54</v>
      </c>
    </row>
    <row r="10" ht="23" customHeight="1" spans="1:18">
      <c r="A10" s="242">
        <v>8</v>
      </c>
      <c r="B10" s="251"/>
      <c r="C10" s="246"/>
      <c r="D10" s="258"/>
      <c r="E10" s="259" t="s">
        <v>55</v>
      </c>
      <c r="F10" s="253" t="s">
        <v>56</v>
      </c>
      <c r="G10" s="253" t="s">
        <v>57</v>
      </c>
      <c r="H10" s="253" t="s">
        <v>58</v>
      </c>
      <c r="I10" s="253" t="s">
        <v>25</v>
      </c>
      <c r="J10" s="256"/>
      <c r="K10" s="249" t="s">
        <v>43</v>
      </c>
      <c r="L10" s="253"/>
      <c r="M10" s="258">
        <v>10.5</v>
      </c>
      <c r="N10" s="258">
        <v>12</v>
      </c>
      <c r="O10" s="258" t="str">
        <f t="shared" si="1"/>
        <v>1.5(14%)</v>
      </c>
      <c r="P10" s="254"/>
      <c r="Q10" s="259"/>
      <c r="R10" s="254" t="s">
        <v>59</v>
      </c>
    </row>
    <row r="11" ht="23" customHeight="1" spans="1:18">
      <c r="A11" s="242">
        <v>9</v>
      </c>
      <c r="B11" s="251"/>
      <c r="C11" s="244" t="s">
        <v>60</v>
      </c>
      <c r="D11" s="258">
        <v>22240822</v>
      </c>
      <c r="E11" s="259" t="s">
        <v>61</v>
      </c>
      <c r="F11" s="253" t="s">
        <v>62</v>
      </c>
      <c r="G11" s="253" t="s">
        <v>29</v>
      </c>
      <c r="H11" s="253" t="s">
        <v>63</v>
      </c>
      <c r="I11" s="253" t="s">
        <v>25</v>
      </c>
      <c r="J11" s="256">
        <v>0.95</v>
      </c>
      <c r="K11" s="249" t="s">
        <v>31</v>
      </c>
      <c r="L11" s="253"/>
      <c r="M11" s="258">
        <v>8.5</v>
      </c>
      <c r="N11" s="258">
        <v>9</v>
      </c>
      <c r="O11" s="249" t="str">
        <f t="shared" si="1"/>
        <v>0.5(6%)</v>
      </c>
      <c r="P11" s="254"/>
      <c r="Q11" s="259"/>
      <c r="R11" s="253" t="s">
        <v>64</v>
      </c>
    </row>
    <row r="12" ht="23" customHeight="1" spans="1:18">
      <c r="A12" s="242">
        <v>10</v>
      </c>
      <c r="B12" s="251"/>
      <c r="C12" s="246"/>
      <c r="D12" s="258">
        <v>23251211</v>
      </c>
      <c r="E12" s="259" t="s">
        <v>65</v>
      </c>
      <c r="F12" s="253" t="s">
        <v>66</v>
      </c>
      <c r="G12" s="253" t="s">
        <v>29</v>
      </c>
      <c r="H12" s="253" t="s">
        <v>63</v>
      </c>
      <c r="I12" s="253" t="s">
        <v>25</v>
      </c>
      <c r="J12" s="256">
        <v>0.85</v>
      </c>
      <c r="K12" s="249" t="s">
        <v>67</v>
      </c>
      <c r="L12" s="253"/>
      <c r="M12" s="258">
        <v>22.5</v>
      </c>
      <c r="N12" s="258">
        <v>21</v>
      </c>
      <c r="O12" s="260" t="str">
        <f t="shared" si="1"/>
        <v>-1.5(-7%)</v>
      </c>
      <c r="P12" s="254"/>
      <c r="Q12" s="259"/>
      <c r="R12" s="253"/>
    </row>
    <row r="13" ht="23" customHeight="1" spans="1:18">
      <c r="A13" s="242">
        <v>11</v>
      </c>
      <c r="B13" s="251"/>
      <c r="C13" s="246"/>
      <c r="D13" s="242">
        <v>121018</v>
      </c>
      <c r="E13" s="245" t="s">
        <v>68</v>
      </c>
      <c r="F13" s="246" t="s">
        <v>69</v>
      </c>
      <c r="G13" s="246" t="s">
        <v>70</v>
      </c>
      <c r="H13" s="246" t="s">
        <v>58</v>
      </c>
      <c r="I13" s="246" t="s">
        <v>25</v>
      </c>
      <c r="J13" s="247"/>
      <c r="K13" s="248"/>
      <c r="L13" s="246"/>
      <c r="M13" s="242">
        <v>8</v>
      </c>
      <c r="N13" s="242">
        <v>11</v>
      </c>
      <c r="O13" s="260" t="str">
        <f t="shared" si="1"/>
        <v>3(38%)</v>
      </c>
      <c r="P13" s="244"/>
      <c r="Q13" s="245"/>
      <c r="R13" s="253"/>
    </row>
    <row r="14" ht="23" customHeight="1" spans="1:18">
      <c r="A14" s="242">
        <v>12</v>
      </c>
      <c r="B14" s="251"/>
      <c r="C14" s="244" t="s">
        <v>71</v>
      </c>
      <c r="D14" s="242">
        <v>222201001</v>
      </c>
      <c r="E14" s="245" t="s">
        <v>72</v>
      </c>
      <c r="F14" s="246" t="s">
        <v>73</v>
      </c>
      <c r="G14" s="244" t="s">
        <v>35</v>
      </c>
      <c r="H14" s="246" t="s">
        <v>24</v>
      </c>
      <c r="I14" s="246" t="s">
        <v>25</v>
      </c>
      <c r="J14" s="247" t="s">
        <v>26</v>
      </c>
      <c r="K14" s="248" t="s">
        <v>31</v>
      </c>
      <c r="L14" s="250"/>
      <c r="M14" s="242">
        <v>1</v>
      </c>
      <c r="N14" s="242">
        <v>2.75</v>
      </c>
      <c r="O14" s="260" t="str">
        <f t="shared" si="1"/>
        <v>1.75(175%)</v>
      </c>
      <c r="P14" s="244"/>
      <c r="Q14" s="245"/>
      <c r="R14" s="253" t="s">
        <v>74</v>
      </c>
    </row>
    <row r="15" ht="23" customHeight="1" spans="1:18">
      <c r="A15" s="242">
        <v>13</v>
      </c>
      <c r="B15" s="251"/>
      <c r="C15" s="246"/>
      <c r="D15" s="242">
        <v>22220905</v>
      </c>
      <c r="E15" s="245" t="s">
        <v>75</v>
      </c>
      <c r="F15" s="246" t="s">
        <v>73</v>
      </c>
      <c r="G15" s="244"/>
      <c r="H15" s="246" t="s">
        <v>24</v>
      </c>
      <c r="I15" s="246" t="s">
        <v>25</v>
      </c>
      <c r="J15" s="247" t="s">
        <v>26</v>
      </c>
      <c r="K15" s="248" t="s">
        <v>27</v>
      </c>
      <c r="L15" s="250"/>
      <c r="M15" s="242">
        <v>2.3</v>
      </c>
      <c r="N15" s="242">
        <v>3.87</v>
      </c>
      <c r="O15" s="260" t="str">
        <f t="shared" si="1"/>
        <v>1.57(68%)</v>
      </c>
      <c r="P15" s="250"/>
      <c r="Q15" s="245"/>
      <c r="R15" s="253" t="s">
        <v>76</v>
      </c>
    </row>
    <row r="16" ht="23" customHeight="1" spans="1:18">
      <c r="A16" s="242">
        <v>14</v>
      </c>
      <c r="B16" s="251"/>
      <c r="C16" s="246"/>
      <c r="D16" s="242">
        <v>21250326</v>
      </c>
      <c r="E16" s="245" t="s">
        <v>77</v>
      </c>
      <c r="F16" s="246" t="s">
        <v>73</v>
      </c>
      <c r="G16" s="244" t="s">
        <v>29</v>
      </c>
      <c r="H16" s="246" t="s">
        <v>36</v>
      </c>
      <c r="I16" s="246" t="s">
        <v>78</v>
      </c>
      <c r="J16" s="256">
        <v>0.8</v>
      </c>
      <c r="K16" s="248" t="s">
        <v>79</v>
      </c>
      <c r="L16" s="244"/>
      <c r="M16" s="242">
        <v>14</v>
      </c>
      <c r="N16" s="242">
        <v>17.5</v>
      </c>
      <c r="O16" s="249" t="str">
        <f t="shared" ref="O15:O23" si="2">N16-M16&amp;"("&amp;ROUND(((N16-M16)/M16*100),0)&amp;"%)"</f>
        <v>3.5(25%)</v>
      </c>
      <c r="P16" s="250"/>
      <c r="Q16" s="245"/>
      <c r="R16" s="253"/>
    </row>
    <row r="17" ht="23" customHeight="1" spans="1:18">
      <c r="A17" s="242">
        <v>15</v>
      </c>
      <c r="B17" s="251"/>
      <c r="C17" s="246"/>
      <c r="D17" s="242" t="s">
        <v>80</v>
      </c>
      <c r="E17" s="245" t="s">
        <v>81</v>
      </c>
      <c r="F17" s="246" t="s">
        <v>82</v>
      </c>
      <c r="G17" s="244" t="s">
        <v>29</v>
      </c>
      <c r="H17" s="246" t="s">
        <v>36</v>
      </c>
      <c r="I17" s="246" t="s">
        <v>25</v>
      </c>
      <c r="J17" s="256">
        <v>1</v>
      </c>
      <c r="K17" s="248" t="s">
        <v>79</v>
      </c>
      <c r="L17" s="244"/>
      <c r="M17" s="242">
        <v>2.3</v>
      </c>
      <c r="N17" s="242">
        <v>0</v>
      </c>
      <c r="O17" s="249" t="str">
        <f>N17-M17&amp;"("&amp;ROUND(((N17-M17)/M17*100),0)&amp;"%)"</f>
        <v>-2.3(-100%)</v>
      </c>
      <c r="P17" s="250"/>
      <c r="Q17" s="245"/>
      <c r="R17" s="261" t="s">
        <v>83</v>
      </c>
    </row>
    <row r="18" ht="23" customHeight="1" spans="1:18">
      <c r="A18" s="242">
        <v>16</v>
      </c>
      <c r="B18" s="251"/>
      <c r="C18" s="244" t="s">
        <v>84</v>
      </c>
      <c r="D18" s="242" t="s">
        <v>85</v>
      </c>
      <c r="E18" s="245" t="s">
        <v>86</v>
      </c>
      <c r="F18" s="246" t="s">
        <v>87</v>
      </c>
      <c r="G18" s="246" t="s">
        <v>29</v>
      </c>
      <c r="H18" s="246" t="s">
        <v>58</v>
      </c>
      <c r="I18" s="246" t="s">
        <v>25</v>
      </c>
      <c r="J18" s="247"/>
      <c r="K18" s="248"/>
      <c r="L18" s="246"/>
      <c r="M18" s="242">
        <v>5.5</v>
      </c>
      <c r="N18" s="242">
        <v>8</v>
      </c>
      <c r="O18" s="260" t="str">
        <f>N18-M18&amp;"("&amp;ROUND(((N18-M18)/M18*100),0)&amp;"%)"</f>
        <v>2.5(45%)</v>
      </c>
      <c r="P18" s="250"/>
      <c r="Q18" s="245"/>
      <c r="R18" s="244" t="s">
        <v>88</v>
      </c>
    </row>
    <row r="19" ht="23" customHeight="1" spans="1:18">
      <c r="A19" s="242">
        <v>17</v>
      </c>
      <c r="B19" s="251"/>
      <c r="C19" s="246"/>
      <c r="D19" s="258"/>
      <c r="E19" s="245" t="s">
        <v>89</v>
      </c>
      <c r="F19" s="246" t="s">
        <v>87</v>
      </c>
      <c r="G19" s="246" t="s">
        <v>29</v>
      </c>
      <c r="H19" s="246"/>
      <c r="I19" s="246"/>
      <c r="J19" s="247"/>
      <c r="K19" s="248"/>
      <c r="L19" s="246"/>
      <c r="M19" s="242">
        <v>6.5</v>
      </c>
      <c r="N19" s="242">
        <v>7</v>
      </c>
      <c r="O19" s="260" t="str">
        <f t="shared" si="2"/>
        <v>0.5(8%)</v>
      </c>
      <c r="P19" s="250"/>
      <c r="Q19" s="245"/>
      <c r="R19" s="254"/>
    </row>
    <row r="20" ht="23" customHeight="1" spans="1:18">
      <c r="A20" s="242">
        <v>18</v>
      </c>
      <c r="B20" s="251"/>
      <c r="C20" s="244" t="s">
        <v>90</v>
      </c>
      <c r="D20" s="242" t="s">
        <v>91</v>
      </c>
      <c r="E20" s="245" t="s">
        <v>92</v>
      </c>
      <c r="F20" s="246" t="s">
        <v>93</v>
      </c>
      <c r="G20" s="246" t="s">
        <v>29</v>
      </c>
      <c r="H20" s="246"/>
      <c r="I20" s="246"/>
      <c r="J20" s="247"/>
      <c r="K20" s="248"/>
      <c r="L20" s="246"/>
      <c r="M20" s="242">
        <v>21</v>
      </c>
      <c r="N20" s="242">
        <v>21</v>
      </c>
      <c r="O20" s="260" t="str">
        <f t="shared" si="2"/>
        <v>0(0%)</v>
      </c>
      <c r="P20" s="254"/>
      <c r="Q20" s="259"/>
      <c r="R20" s="253"/>
    </row>
    <row r="21" ht="23" customHeight="1" spans="1:18">
      <c r="A21" s="242">
        <v>19</v>
      </c>
      <c r="B21" s="251"/>
      <c r="C21" s="246"/>
      <c r="D21" s="242"/>
      <c r="E21" s="245" t="s">
        <v>94</v>
      </c>
      <c r="F21" s="246" t="s">
        <v>45</v>
      </c>
      <c r="G21" s="246" t="s">
        <v>29</v>
      </c>
      <c r="H21" s="246"/>
      <c r="I21" s="246"/>
      <c r="J21" s="247"/>
      <c r="K21" s="248"/>
      <c r="L21" s="246"/>
      <c r="M21" s="242">
        <v>20</v>
      </c>
      <c r="N21" s="242">
        <v>15.5</v>
      </c>
      <c r="O21" s="249" t="str">
        <f t="shared" si="2"/>
        <v>-4.5(-23%)</v>
      </c>
      <c r="P21" s="254"/>
      <c r="Q21" s="259"/>
      <c r="R21" s="253"/>
    </row>
    <row r="22" ht="23" customHeight="1" spans="1:18">
      <c r="A22" s="242">
        <v>20</v>
      </c>
      <c r="B22" s="251"/>
      <c r="C22" s="246"/>
      <c r="D22" s="242"/>
      <c r="E22" s="245" t="s">
        <v>95</v>
      </c>
      <c r="F22" s="246" t="s">
        <v>56</v>
      </c>
      <c r="G22" s="246" t="s">
        <v>29</v>
      </c>
      <c r="H22" s="246"/>
      <c r="I22" s="246"/>
      <c r="J22" s="247"/>
      <c r="K22" s="248"/>
      <c r="L22" s="244"/>
      <c r="M22" s="242">
        <v>17.5</v>
      </c>
      <c r="N22" s="242">
        <v>13</v>
      </c>
      <c r="O22" s="249" t="str">
        <f t="shared" si="2"/>
        <v>-4.5(-26%)</v>
      </c>
      <c r="P22" s="250"/>
      <c r="Q22" s="245"/>
      <c r="R22" s="253"/>
    </row>
    <row r="23" ht="23" customHeight="1" spans="1:18">
      <c r="A23" s="242">
        <v>21</v>
      </c>
      <c r="B23" s="251"/>
      <c r="C23" s="246"/>
      <c r="D23" s="242"/>
      <c r="E23" s="245" t="s">
        <v>96</v>
      </c>
      <c r="F23" s="246" t="s">
        <v>66</v>
      </c>
      <c r="G23" s="246" t="s">
        <v>29</v>
      </c>
      <c r="H23" s="246"/>
      <c r="I23" s="246"/>
      <c r="J23" s="247"/>
      <c r="K23" s="248"/>
      <c r="L23" s="244"/>
      <c r="M23" s="242">
        <v>15</v>
      </c>
      <c r="N23" s="242">
        <v>21</v>
      </c>
      <c r="O23" s="249" t="str">
        <f t="shared" si="2"/>
        <v>6(40%)</v>
      </c>
      <c r="P23" s="250"/>
      <c r="Q23" s="245"/>
      <c r="R23" s="253"/>
    </row>
    <row r="24" ht="38.25" customHeight="1" spans="1:18">
      <c r="A24" s="262"/>
      <c r="B24" s="263"/>
      <c r="C24" s="264"/>
      <c r="D24" s="264"/>
      <c r="E24" s="264"/>
      <c r="F24" s="264"/>
      <c r="G24" s="264"/>
      <c r="H24" s="265" t="s">
        <v>97</v>
      </c>
      <c r="I24" s="265"/>
      <c r="J24" s="266">
        <v>195.45</v>
      </c>
      <c r="K24" s="266"/>
      <c r="L24" s="265" t="s">
        <v>98</v>
      </c>
      <c r="M24" s="266"/>
      <c r="N24" s="266">
        <v>203.12</v>
      </c>
      <c r="O24" s="266"/>
      <c r="P24" s="267" t="s">
        <v>99</v>
      </c>
      <c r="Q24" s="268">
        <f>N24/34/5</f>
        <v>1.19482352941176</v>
      </c>
      <c r="R24" s="269" t="s">
        <v>100</v>
      </c>
    </row>
    <row r="25" ht="29" customHeight="1" spans="1:18">
      <c r="A25" s="270">
        <v>22</v>
      </c>
      <c r="B25" s="271" t="s">
        <v>101</v>
      </c>
      <c r="C25" s="271" t="s">
        <v>102</v>
      </c>
      <c r="D25" s="272" t="s">
        <v>103</v>
      </c>
      <c r="E25" s="273" t="s">
        <v>104</v>
      </c>
      <c r="F25" s="274" t="s">
        <v>105</v>
      </c>
      <c r="G25" s="274" t="s">
        <v>29</v>
      </c>
      <c r="H25" s="274" t="s">
        <v>106</v>
      </c>
      <c r="I25" s="274" t="s">
        <v>25</v>
      </c>
      <c r="J25" s="275">
        <v>0.1</v>
      </c>
      <c r="K25" s="276" t="s">
        <v>43</v>
      </c>
      <c r="L25" s="274"/>
      <c r="M25" s="272">
        <v>4</v>
      </c>
      <c r="N25" s="272">
        <v>4.5</v>
      </c>
      <c r="O25" s="249" t="str">
        <f>N25-M25&amp;"("&amp;ROUND(((N25-M25)/M25*100),0)&amp;"%)"</f>
        <v>0.5(13%)</v>
      </c>
      <c r="P25" s="277"/>
      <c r="Q25" s="273"/>
      <c r="R25" s="274"/>
    </row>
    <row r="26" ht="25" customHeight="1" spans="1:18">
      <c r="A26" s="242">
        <v>23</v>
      </c>
      <c r="B26" s="271"/>
      <c r="C26" s="271"/>
      <c r="D26" s="242" t="s">
        <v>107</v>
      </c>
      <c r="E26" s="245" t="s">
        <v>108</v>
      </c>
      <c r="F26" s="246" t="s">
        <v>109</v>
      </c>
      <c r="G26" s="246" t="s">
        <v>110</v>
      </c>
      <c r="H26" s="246" t="s">
        <v>36</v>
      </c>
      <c r="I26" s="246" t="s">
        <v>25</v>
      </c>
      <c r="J26" s="247" t="s">
        <v>111</v>
      </c>
      <c r="K26" s="248" t="s">
        <v>79</v>
      </c>
      <c r="L26" s="244"/>
      <c r="M26" s="242">
        <v>13.4</v>
      </c>
      <c r="N26" s="242">
        <v>9</v>
      </c>
      <c r="O26" s="249" t="str">
        <f>N26-M26&amp;"("&amp;ROUND(((N26-M26)/M26*100),0)&amp;"%)"</f>
        <v>-4.4(-33%)</v>
      </c>
      <c r="P26" s="250"/>
      <c r="Q26" s="245"/>
      <c r="R26" s="253"/>
    </row>
    <row r="27" ht="25" customHeight="1" spans="1:18">
      <c r="A27" s="278"/>
      <c r="B27" s="271"/>
      <c r="C27" s="271"/>
      <c r="D27" s="278"/>
      <c r="E27" s="279" t="s">
        <v>112</v>
      </c>
      <c r="F27" s="280" t="s">
        <v>105</v>
      </c>
      <c r="G27" s="246" t="s">
        <v>110</v>
      </c>
      <c r="H27" s="280"/>
      <c r="I27" s="280"/>
      <c r="J27" s="281"/>
      <c r="K27" s="282"/>
      <c r="L27" s="243"/>
      <c r="M27" s="278">
        <v>17.5</v>
      </c>
      <c r="N27" s="278">
        <v>11.5</v>
      </c>
      <c r="O27" s="249" t="str">
        <f>N27-M27&amp;"("&amp;ROUND(((N27-M27)/M27*100),0)&amp;"%)"</f>
        <v>-6(-34%)</v>
      </c>
      <c r="P27" s="283"/>
      <c r="Q27" s="279"/>
      <c r="R27" s="284" t="s">
        <v>113</v>
      </c>
    </row>
    <row r="28" ht="41" customHeight="1" spans="1:18">
      <c r="A28" s="262"/>
      <c r="B28" s="285"/>
      <c r="C28" s="264"/>
      <c r="D28" s="264"/>
      <c r="E28" s="264"/>
      <c r="F28" s="264"/>
      <c r="G28" s="264"/>
      <c r="H28" s="265" t="s">
        <v>97</v>
      </c>
      <c r="I28" s="265"/>
      <c r="J28" s="266">
        <v>34.9</v>
      </c>
      <c r="K28" s="266"/>
      <c r="L28" s="265" t="s">
        <v>98</v>
      </c>
      <c r="M28" s="266"/>
      <c r="N28" s="266">
        <v>25</v>
      </c>
      <c r="O28" s="266"/>
      <c r="P28" s="267" t="s">
        <v>99</v>
      </c>
      <c r="Q28" s="268">
        <f>N28/10/5</f>
        <v>0.5</v>
      </c>
      <c r="R28" s="269"/>
    </row>
    <row r="29" ht="23" customHeight="1" spans="1:18">
      <c r="A29" s="270">
        <v>24</v>
      </c>
      <c r="B29" s="271" t="s">
        <v>114</v>
      </c>
      <c r="C29" s="286" t="s">
        <v>102</v>
      </c>
      <c r="D29" s="272" t="s">
        <v>115</v>
      </c>
      <c r="E29" s="287" t="s">
        <v>116</v>
      </c>
      <c r="F29" s="274" t="s">
        <v>117</v>
      </c>
      <c r="G29" s="288" t="s">
        <v>29</v>
      </c>
      <c r="H29" s="274" t="s">
        <v>36</v>
      </c>
      <c r="I29" s="274" t="s">
        <v>25</v>
      </c>
      <c r="J29" s="275">
        <v>0.8</v>
      </c>
      <c r="K29" s="276" t="s">
        <v>31</v>
      </c>
      <c r="L29" s="274"/>
      <c r="M29" s="272">
        <v>27.35</v>
      </c>
      <c r="N29" s="272">
        <v>37.6</v>
      </c>
      <c r="O29" s="276" t="str">
        <f>ROUND(N29-M29,2)&amp;"("&amp;ROUND(((N29-M29)/M29)*100,0)&amp;"%)"</f>
        <v>10.25(37%)</v>
      </c>
      <c r="P29" s="289"/>
      <c r="Q29" s="273"/>
      <c r="R29" s="274"/>
    </row>
    <row r="30" ht="23" customHeight="1" spans="1:18">
      <c r="A30" s="270">
        <v>25</v>
      </c>
      <c r="B30" s="271"/>
      <c r="C30" s="244"/>
      <c r="D30" s="242">
        <v>21250418</v>
      </c>
      <c r="E30" s="259" t="s">
        <v>118</v>
      </c>
      <c r="F30" s="246" t="s">
        <v>119</v>
      </c>
      <c r="G30" s="246" t="s">
        <v>29</v>
      </c>
      <c r="H30" s="246" t="s">
        <v>120</v>
      </c>
      <c r="I30" s="246" t="s">
        <v>25</v>
      </c>
      <c r="J30" s="247" t="s">
        <v>26</v>
      </c>
      <c r="K30" s="242" t="s">
        <v>79</v>
      </c>
      <c r="L30" s="253"/>
      <c r="M30" s="258">
        <v>0.5</v>
      </c>
      <c r="N30" s="258">
        <v>1.7</v>
      </c>
      <c r="O30" s="276" t="str">
        <f>ROUND(N30-M30,2)&amp;"("&amp;ROUND(((N30-M30)/M30)*100,0)&amp;"%)"</f>
        <v>1.2(240%)</v>
      </c>
      <c r="P30" s="290"/>
      <c r="Q30" s="259"/>
      <c r="R30" s="254"/>
    </row>
    <row r="31" ht="23" customHeight="1" spans="1:18">
      <c r="A31" s="270">
        <v>26</v>
      </c>
      <c r="B31" s="271"/>
      <c r="C31" s="244"/>
      <c r="D31" s="258" t="s">
        <v>121</v>
      </c>
      <c r="E31" s="245" t="s">
        <v>122</v>
      </c>
      <c r="F31" s="253" t="s">
        <v>119</v>
      </c>
      <c r="G31" s="254" t="s">
        <v>29</v>
      </c>
      <c r="H31" s="253" t="s">
        <v>36</v>
      </c>
      <c r="I31" s="253" t="s">
        <v>25</v>
      </c>
      <c r="J31" s="256">
        <v>0.8</v>
      </c>
      <c r="K31" s="249" t="s">
        <v>31</v>
      </c>
      <c r="L31" s="253"/>
      <c r="M31" s="258">
        <v>7.65</v>
      </c>
      <c r="N31" s="258">
        <v>0</v>
      </c>
      <c r="O31" s="276" t="str">
        <f t="shared" ref="O30:O38" si="3">ROUND(N31-M31,2)&amp;"("&amp;ROUND(((N31-M31)/M31)*100,0)&amp;"%)"</f>
        <v>-7.65(-100%)</v>
      </c>
      <c r="P31" s="290"/>
      <c r="Q31" s="259"/>
      <c r="R31" s="254"/>
    </row>
    <row r="32" ht="23" customHeight="1" spans="1:18">
      <c r="A32" s="270">
        <v>27</v>
      </c>
      <c r="B32" s="271"/>
      <c r="C32" s="244"/>
      <c r="D32" s="258" t="s">
        <v>123</v>
      </c>
      <c r="E32" s="259" t="s">
        <v>124</v>
      </c>
      <c r="F32" s="253" t="s">
        <v>119</v>
      </c>
      <c r="G32" s="254" t="s">
        <v>29</v>
      </c>
      <c r="H32" s="253" t="s">
        <v>125</v>
      </c>
      <c r="I32" s="253" t="s">
        <v>25</v>
      </c>
      <c r="J32" s="256">
        <v>0.05</v>
      </c>
      <c r="K32" s="249"/>
      <c r="L32" s="253"/>
      <c r="M32" s="258">
        <v>18.5</v>
      </c>
      <c r="N32" s="258">
        <v>11</v>
      </c>
      <c r="O32" s="276" t="str">
        <f t="shared" si="3"/>
        <v>-7.5(-41%)</v>
      </c>
      <c r="P32" s="290"/>
      <c r="Q32" s="259"/>
      <c r="R32" s="254" t="s">
        <v>126</v>
      </c>
    </row>
    <row r="33" ht="23" customHeight="1" spans="1:18">
      <c r="A33" s="270">
        <v>28</v>
      </c>
      <c r="B33" s="271"/>
      <c r="C33" s="244"/>
      <c r="D33" s="242" t="s">
        <v>127</v>
      </c>
      <c r="E33" s="245" t="s">
        <v>128</v>
      </c>
      <c r="F33" s="253" t="s">
        <v>119</v>
      </c>
      <c r="G33" s="246" t="s">
        <v>29</v>
      </c>
      <c r="H33" s="246" t="s">
        <v>36</v>
      </c>
      <c r="I33" s="253" t="s">
        <v>25</v>
      </c>
      <c r="J33" s="256">
        <v>0.3</v>
      </c>
      <c r="K33" s="242" t="s">
        <v>79</v>
      </c>
      <c r="L33" s="245"/>
      <c r="M33" s="242"/>
      <c r="N33" s="242">
        <v>4.7</v>
      </c>
      <c r="O33" s="276">
        <v>4.7</v>
      </c>
      <c r="P33" s="245"/>
      <c r="Q33" s="259"/>
      <c r="R33" s="254"/>
    </row>
    <row r="34" ht="23" customHeight="1" spans="1:18">
      <c r="A34" s="270">
        <v>29</v>
      </c>
      <c r="B34" s="271"/>
      <c r="C34" s="244"/>
      <c r="D34" s="242" t="s">
        <v>129</v>
      </c>
      <c r="E34" s="245" t="s">
        <v>130</v>
      </c>
      <c r="F34" s="246" t="s">
        <v>119</v>
      </c>
      <c r="G34" s="246" t="s">
        <v>29</v>
      </c>
      <c r="H34" s="246" t="s">
        <v>36</v>
      </c>
      <c r="I34" s="246" t="s">
        <v>25</v>
      </c>
      <c r="J34" s="247" t="s">
        <v>111</v>
      </c>
      <c r="K34" s="248" t="s">
        <v>79</v>
      </c>
      <c r="L34" s="244"/>
      <c r="M34" s="242">
        <v>0</v>
      </c>
      <c r="N34" s="242"/>
      <c r="O34" s="276" t="e">
        <f t="shared" si="3"/>
        <v>#DIV/0!</v>
      </c>
      <c r="P34" s="250"/>
      <c r="Q34" s="245"/>
      <c r="R34" s="254"/>
    </row>
    <row r="35" ht="23" customHeight="1" spans="1:18">
      <c r="A35" s="270">
        <v>30</v>
      </c>
      <c r="B35" s="271"/>
      <c r="C35" s="244"/>
      <c r="D35" s="242">
        <v>21250417</v>
      </c>
      <c r="E35" s="245" t="s">
        <v>131</v>
      </c>
      <c r="F35" s="246" t="s">
        <v>109</v>
      </c>
      <c r="G35" s="246" t="s">
        <v>29</v>
      </c>
      <c r="H35" s="246" t="s">
        <v>120</v>
      </c>
      <c r="I35" s="246" t="s">
        <v>25</v>
      </c>
      <c r="J35" s="247" t="s">
        <v>26</v>
      </c>
      <c r="K35" s="242" t="s">
        <v>79</v>
      </c>
      <c r="L35" s="245"/>
      <c r="M35" s="242"/>
      <c r="N35" s="242"/>
      <c r="O35" s="276" t="e">
        <f t="shared" si="3"/>
        <v>#DIV/0!</v>
      </c>
      <c r="P35" s="245"/>
      <c r="Q35" s="245"/>
      <c r="R35" s="254"/>
    </row>
    <row r="36" ht="23" customHeight="1" spans="1:18">
      <c r="A36" s="270">
        <v>31</v>
      </c>
      <c r="B36" s="271"/>
      <c r="C36" s="244"/>
      <c r="D36" s="242"/>
      <c r="E36" s="259" t="s">
        <v>132</v>
      </c>
      <c r="F36" s="253"/>
      <c r="G36" s="254" t="s">
        <v>57</v>
      </c>
      <c r="H36" s="253" t="s">
        <v>58</v>
      </c>
      <c r="I36" s="246"/>
      <c r="J36" s="247"/>
      <c r="K36" s="248"/>
      <c r="L36" s="244"/>
      <c r="M36" s="242"/>
      <c r="N36" s="242"/>
      <c r="O36" s="276" t="e">
        <f t="shared" si="3"/>
        <v>#DIV/0!</v>
      </c>
      <c r="P36" s="250"/>
      <c r="Q36" s="245"/>
      <c r="R36" s="254" t="s">
        <v>133</v>
      </c>
    </row>
    <row r="37" ht="23" customHeight="1" spans="1:18">
      <c r="A37" s="270">
        <v>32</v>
      </c>
      <c r="B37" s="271"/>
      <c r="C37" s="244"/>
      <c r="D37" s="242"/>
      <c r="E37" s="291" t="s">
        <v>134</v>
      </c>
      <c r="F37" s="246"/>
      <c r="G37" s="246" t="s">
        <v>135</v>
      </c>
      <c r="H37" s="246" t="s">
        <v>136</v>
      </c>
      <c r="I37" s="246"/>
      <c r="J37" s="247"/>
      <c r="K37" s="248"/>
      <c r="L37" s="244"/>
      <c r="M37" s="242"/>
      <c r="N37" s="242"/>
      <c r="O37" s="276" t="e">
        <f t="shared" si="3"/>
        <v>#DIV/0!</v>
      </c>
      <c r="P37" s="250"/>
      <c r="Q37" s="245"/>
      <c r="R37" s="254"/>
    </row>
    <row r="38" ht="23" customHeight="1" spans="1:18">
      <c r="A38" s="270">
        <v>33</v>
      </c>
      <c r="B38" s="271"/>
      <c r="C38" s="292" t="s">
        <v>91</v>
      </c>
      <c r="D38" s="293"/>
      <c r="E38" s="245" t="s">
        <v>137</v>
      </c>
      <c r="F38" s="246" t="s">
        <v>138</v>
      </c>
      <c r="G38" s="246" t="s">
        <v>29</v>
      </c>
      <c r="H38" s="253"/>
      <c r="I38" s="253"/>
      <c r="J38" s="256"/>
      <c r="K38" s="249"/>
      <c r="L38" s="253"/>
      <c r="M38" s="258"/>
      <c r="N38" s="258"/>
      <c r="O38" s="276" t="e">
        <f t="shared" si="3"/>
        <v>#DIV/0!</v>
      </c>
      <c r="P38" s="290"/>
      <c r="Q38" s="259"/>
      <c r="R38" s="254"/>
    </row>
    <row r="39" ht="47" customHeight="1" spans="1:18">
      <c r="A39" s="262"/>
      <c r="B39" s="285"/>
      <c r="C39" s="264"/>
      <c r="D39" s="264"/>
      <c r="E39" s="264"/>
      <c r="F39" s="264"/>
      <c r="G39" s="264"/>
      <c r="H39" s="265" t="s">
        <v>97</v>
      </c>
      <c r="I39" s="265"/>
      <c r="J39" s="266">
        <v>54</v>
      </c>
      <c r="K39" s="266"/>
      <c r="L39" s="265" t="s">
        <v>98</v>
      </c>
      <c r="M39" s="266"/>
      <c r="N39" s="266">
        <v>55</v>
      </c>
      <c r="O39" s="266"/>
      <c r="P39" s="267" t="s">
        <v>99</v>
      </c>
      <c r="Q39" s="268">
        <f>N39/7/5</f>
        <v>1.57142857142857</v>
      </c>
      <c r="R39" s="269"/>
    </row>
    <row r="40" ht="28" customHeight="1" spans="1:18">
      <c r="A40" s="270">
        <v>34</v>
      </c>
      <c r="B40" s="271" t="s">
        <v>139</v>
      </c>
      <c r="C40" s="294" t="s">
        <v>102</v>
      </c>
      <c r="D40" s="270">
        <v>22210906</v>
      </c>
      <c r="E40" s="287" t="s">
        <v>140</v>
      </c>
      <c r="F40" s="294" t="s">
        <v>62</v>
      </c>
      <c r="G40" s="294" t="s">
        <v>23</v>
      </c>
      <c r="H40" s="294" t="s">
        <v>36</v>
      </c>
      <c r="I40" s="294" t="s">
        <v>25</v>
      </c>
      <c r="J40" s="295" t="s">
        <v>23</v>
      </c>
      <c r="K40" s="270"/>
      <c r="L40" s="294"/>
      <c r="M40" s="270">
        <v>25</v>
      </c>
      <c r="N40" s="270">
        <v>27</v>
      </c>
      <c r="O40" s="296" t="str">
        <f>N40-M40&amp;"("&amp;ROUND(((N40-M40)/M40*100),0)&amp;"%)"</f>
        <v>2(8%)</v>
      </c>
      <c r="P40" s="297"/>
      <c r="Q40" s="287"/>
      <c r="R40" s="286"/>
    </row>
    <row r="41" ht="40" customHeight="1" spans="1:18">
      <c r="A41" s="262"/>
      <c r="B41" s="263"/>
      <c r="C41" s="264"/>
      <c r="D41" s="264"/>
      <c r="E41" s="264"/>
      <c r="F41" s="264"/>
      <c r="G41" s="264"/>
      <c r="H41" s="265" t="s">
        <v>97</v>
      </c>
      <c r="I41" s="265"/>
      <c r="J41" s="266">
        <v>25</v>
      </c>
      <c r="K41" s="266"/>
      <c r="L41" s="265" t="s">
        <v>98</v>
      </c>
      <c r="M41" s="266"/>
      <c r="N41" s="266">
        <v>27</v>
      </c>
      <c r="O41" s="266"/>
      <c r="P41" s="267" t="s">
        <v>99</v>
      </c>
      <c r="Q41" s="268">
        <f>N41/22/5</f>
        <v>0.245454545454545</v>
      </c>
      <c r="R41" s="269"/>
    </row>
    <row r="42" ht="43.2" customHeight="1" spans="1:18">
      <c r="A42" s="298"/>
      <c r="B42" s="299"/>
      <c r="C42" s="299"/>
      <c r="D42" s="298"/>
      <c r="E42" s="300"/>
      <c r="F42" s="299"/>
    </row>
    <row r="43" ht="43.2" customHeight="1" spans="1:18">
      <c r="A43" s="298"/>
      <c r="B43" s="299"/>
      <c r="C43" s="299"/>
      <c r="D43" s="298"/>
      <c r="E43" s="300"/>
      <c r="F43" s="299"/>
    </row>
    <row r="44" ht="15.6" spans="1:18">
      <c r="A44" s="301"/>
      <c r="B44" s="300"/>
      <c r="C44" s="300"/>
      <c r="D44" s="301"/>
      <c r="E44" s="300"/>
      <c r="F44" s="300"/>
    </row>
    <row r="45" ht="15.6" customHeight="1" spans="1:18">
      <c r="A45" s="301"/>
      <c r="B45" s="300"/>
      <c r="C45" s="300"/>
      <c r="D45" s="301"/>
      <c r="E45" s="300"/>
      <c r="F45" s="300"/>
    </row>
    <row r="46" ht="15.6" spans="1:18">
      <c r="A46" s="301"/>
      <c r="B46" s="300"/>
      <c r="C46" s="300"/>
      <c r="D46" s="301"/>
      <c r="E46" s="300"/>
      <c r="F46" s="300"/>
    </row>
    <row r="47" ht="15.6" spans="1:18">
      <c r="A47" s="301"/>
      <c r="B47" s="300"/>
      <c r="C47" s="300"/>
      <c r="D47" s="301"/>
      <c r="E47" s="300"/>
      <c r="F47" s="300"/>
    </row>
    <row r="48" ht="15.6" spans="1:18">
      <c r="A48" s="301"/>
      <c r="B48" s="300"/>
      <c r="C48" s="300"/>
      <c r="D48" s="301"/>
      <c r="E48" s="300"/>
      <c r="F48" s="300"/>
    </row>
    <row r="49" ht="15.6" spans="1:6">
      <c r="A49" s="301"/>
      <c r="B49" s="300"/>
      <c r="C49" s="300"/>
      <c r="D49" s="301"/>
      <c r="E49" s="300"/>
      <c r="F49" s="300"/>
    </row>
    <row r="50" spans="1:6">
      <c r="A50" s="3"/>
      <c r="B50" s="302"/>
      <c r="C50" s="302"/>
      <c r="D50" s="3"/>
      <c r="E50" s="302"/>
      <c r="F50" s="302"/>
    </row>
    <row r="51" spans="1:6">
      <c r="A51" s="3"/>
      <c r="B51" s="302"/>
      <c r="C51" s="302"/>
      <c r="D51" s="3"/>
      <c r="E51" s="302"/>
      <c r="F51" s="302"/>
    </row>
  </sheetData>
  <mergeCells count="29">
    <mergeCell ref="A1:R1"/>
    <mergeCell ref="C24:G24"/>
    <mergeCell ref="H24:I24"/>
    <mergeCell ref="J24:K24"/>
    <mergeCell ref="C28:G28"/>
    <mergeCell ref="H28:I28"/>
    <mergeCell ref="J28:K28"/>
    <mergeCell ref="C38:D38"/>
    <mergeCell ref="C39:G39"/>
    <mergeCell ref="H39:I39"/>
    <mergeCell ref="J39:K39"/>
    <mergeCell ref="C41:G41"/>
    <mergeCell ref="H41:I41"/>
    <mergeCell ref="J41:K41"/>
    <mergeCell ref="B3:B24"/>
    <mergeCell ref="B25:B28"/>
    <mergeCell ref="B29:B39"/>
    <mergeCell ref="B40:B41"/>
    <mergeCell ref="C3:C6"/>
    <mergeCell ref="C7:C10"/>
    <mergeCell ref="C11:C13"/>
    <mergeCell ref="C14:C17"/>
    <mergeCell ref="C18:C19"/>
    <mergeCell ref="C20:C23"/>
    <mergeCell ref="C25:C26"/>
    <mergeCell ref="C29:C37"/>
    <mergeCell ref="D20:D23"/>
    <mergeCell ref="G5:G6"/>
    <mergeCell ref="G14:G15"/>
  </mergeCells>
  <dataValidations count="7">
    <dataValidation type="list" allowBlank="1" showInputMessage="1" showErrorMessage="1" sqref="H9 H21 H25 H30 H33 H35 H38">
      <formula1>"售前,立项,需求,设计,开发,发布,实施,验收"</formula1>
    </dataValidation>
    <dataValidation type="list" allowBlank="1" showInputMessage="1" showErrorMessage="1" sqref="H20 H34 H3:H6 H14:H17 H26:H27">
      <formula1>"售前,立项,需求,开发,发布,实施,验收,上线运行"</formula1>
    </dataValidation>
    <dataValidation type="list" allowBlank="1" showInputMessage="1" showErrorMessage="1" sqref="H29 H36 H31:H32">
      <formula1>"售前,立项,需求,开发,发布,实施,验收,上线运行,维护"</formula1>
    </dataValidation>
    <dataValidation type="list" allowBlank="1" showInputMessage="1" showErrorMessage="1" sqref="I33">
      <formula1>"长期项目,正常,提前,延迟,严重延迟,暂停"</formula1>
    </dataValidation>
    <dataValidation type="list" allowBlank="1" showInputMessage="1" showErrorMessage="1" sqref="H37">
      <formula1>"售前,立项,需求,设计,开发,发布,实施,验收,挂起,暂停"</formula1>
    </dataValidation>
    <dataValidation type="list" allowBlank="1" showInputMessage="1" showErrorMessage="1" sqref="H40 H7:H8 H10:H13 H18:H19 H22:H23">
      <formula1>"售前,立项,需求,开发,发布,实施,验收"</formula1>
    </dataValidation>
    <dataValidation type="list" allowBlank="1" showInputMessage="1" showErrorMessage="1" sqref="I40 I3:I23 I25:I27 I29:I32 I34:I38">
      <formula1>"长期项目,正常,提前,延迟,严重延迟"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48"/>
  <sheetViews>
    <sheetView workbookViewId="0">
      <pane ySplit="1" topLeftCell="A24" activePane="bottomLeft" state="frozen"/>
      <selection/>
      <selection pane="bottomLeft" activeCell="E33" sqref="E33:H33"/>
    </sheetView>
  </sheetViews>
  <sheetFormatPr defaultColWidth="9.11111111111111" defaultRowHeight="13.2"/>
  <cols>
    <col min="1" max="1" width="22.4444444444444" style="134" customWidth="1"/>
    <col min="2" max="2" width="11.6666666666667" style="134" customWidth="1"/>
    <col min="3" max="5" width="9.11111111111111" style="134"/>
    <col min="6" max="6" width="19.5555555555556" style="134" customWidth="1"/>
    <col min="7" max="7" width="9.11111111111111" style="134"/>
    <col min="8" max="8" width="59.6666666666667" style="134" customWidth="1"/>
    <col min="9" max="11" width="9.11111111111111" style="134"/>
    <col min="12" max="12" width="19.5555555555556" style="135" customWidth="1"/>
    <col min="13" max="16384" width="9.11111111111111" style="134"/>
  </cols>
  <sheetData>
    <row r="1" ht="69.6" spans="1:26">
      <c r="A1" s="55" t="s">
        <v>141</v>
      </c>
      <c r="B1" s="136" t="s">
        <v>6</v>
      </c>
      <c r="C1" s="55" t="s">
        <v>142</v>
      </c>
      <c r="D1" s="55" t="s">
        <v>143</v>
      </c>
      <c r="E1" s="136" t="s">
        <v>144</v>
      </c>
      <c r="F1" s="55" t="s">
        <v>145</v>
      </c>
      <c r="G1" s="55" t="s">
        <v>1</v>
      </c>
      <c r="H1" s="137" t="s">
        <v>146</v>
      </c>
      <c r="I1" s="55" t="s">
        <v>147</v>
      </c>
      <c r="J1" s="138" t="s">
        <v>148</v>
      </c>
      <c r="K1" s="55" t="s">
        <v>149</v>
      </c>
      <c r="L1" s="139" t="s">
        <v>150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30" spans="1:26">
      <c r="A2" s="55" t="s">
        <v>151</v>
      </c>
      <c r="B2" s="56" t="s">
        <v>22</v>
      </c>
      <c r="C2" s="303" t="s">
        <v>152</v>
      </c>
      <c r="D2" s="57"/>
      <c r="E2" s="58" t="s">
        <v>153</v>
      </c>
      <c r="F2" s="57" t="s">
        <v>36</v>
      </c>
      <c r="G2" s="57">
        <v>1</v>
      </c>
      <c r="H2" s="20" t="s">
        <v>154</v>
      </c>
      <c r="I2" s="16" t="s">
        <v>22</v>
      </c>
      <c r="J2" s="60">
        <v>1</v>
      </c>
      <c r="K2" s="57"/>
      <c r="L2" s="56">
        <v>0.5</v>
      </c>
    </row>
    <row r="3" ht="30" spans="1:26">
      <c r="A3" s="55"/>
      <c r="B3" s="56"/>
      <c r="C3" s="57"/>
      <c r="D3" s="57"/>
      <c r="E3" s="58"/>
      <c r="F3" s="57"/>
      <c r="G3" s="57">
        <v>2</v>
      </c>
      <c r="H3" s="20" t="s">
        <v>155</v>
      </c>
      <c r="I3" s="16" t="s">
        <v>22</v>
      </c>
      <c r="J3" s="60">
        <v>1</v>
      </c>
      <c r="K3" s="57"/>
      <c r="L3" s="56">
        <v>1</v>
      </c>
    </row>
    <row r="4" ht="30" spans="1:26">
      <c r="A4" s="55"/>
      <c r="B4" s="56"/>
      <c r="C4" s="57"/>
      <c r="D4" s="57"/>
      <c r="E4" s="58"/>
      <c r="F4" s="57"/>
      <c r="G4" s="57">
        <v>3</v>
      </c>
      <c r="H4" s="20" t="s">
        <v>156</v>
      </c>
      <c r="I4" s="16" t="s">
        <v>22</v>
      </c>
      <c r="J4" s="60">
        <v>1</v>
      </c>
      <c r="K4" s="57"/>
      <c r="L4" s="56">
        <v>1</v>
      </c>
    </row>
    <row r="5" ht="30" spans="1:26">
      <c r="A5" s="55"/>
      <c r="B5" s="56"/>
      <c r="C5" s="57"/>
      <c r="D5" s="57"/>
      <c r="E5" s="58"/>
      <c r="F5" s="57"/>
      <c r="G5" s="57">
        <v>4</v>
      </c>
      <c r="H5" s="20" t="s">
        <v>157</v>
      </c>
      <c r="I5" s="16" t="s">
        <v>22</v>
      </c>
      <c r="J5" s="60">
        <v>1</v>
      </c>
      <c r="K5" s="57"/>
      <c r="L5" s="56">
        <v>0.5</v>
      </c>
    </row>
    <row r="6" ht="15.6" spans="1:26">
      <c r="A6" s="55"/>
      <c r="B6" s="56"/>
      <c r="C6" s="57"/>
      <c r="D6" s="57"/>
      <c r="E6" s="58"/>
      <c r="F6" s="57"/>
      <c r="G6" s="57">
        <v>5</v>
      </c>
      <c r="H6" s="20" t="s">
        <v>158</v>
      </c>
      <c r="I6" s="16" t="s">
        <v>22</v>
      </c>
      <c r="J6" s="60">
        <v>1</v>
      </c>
      <c r="K6" s="57"/>
      <c r="L6" s="56">
        <v>1</v>
      </c>
    </row>
    <row r="7" ht="15.6" spans="1:26">
      <c r="A7" s="55"/>
      <c r="B7" s="56"/>
      <c r="C7" s="57"/>
      <c r="D7" s="57"/>
      <c r="E7" s="58"/>
      <c r="F7" s="57"/>
      <c r="G7" s="57">
        <v>6</v>
      </c>
      <c r="H7" s="20" t="s">
        <v>159</v>
      </c>
      <c r="I7" s="16" t="s">
        <v>22</v>
      </c>
      <c r="J7" s="60">
        <v>1</v>
      </c>
      <c r="K7" s="57"/>
      <c r="L7" s="56">
        <v>1</v>
      </c>
    </row>
    <row r="8" ht="15.6" spans="1:26">
      <c r="A8" s="55"/>
      <c r="B8" s="56"/>
      <c r="C8" s="57"/>
      <c r="D8" s="57"/>
      <c r="E8" s="58"/>
      <c r="F8" s="57"/>
      <c r="G8" s="57">
        <v>7</v>
      </c>
      <c r="H8" s="61" t="s">
        <v>160</v>
      </c>
      <c r="I8" s="210" t="s">
        <v>161</v>
      </c>
      <c r="J8" s="60">
        <v>1</v>
      </c>
      <c r="K8" s="57"/>
      <c r="L8" s="56">
        <v>1.5</v>
      </c>
    </row>
    <row r="9" ht="75" spans="1:26">
      <c r="A9" s="55"/>
      <c r="B9" s="56"/>
      <c r="C9" s="57"/>
      <c r="D9" s="57"/>
      <c r="E9" s="58"/>
      <c r="F9" s="57"/>
      <c r="G9" s="57">
        <v>8</v>
      </c>
      <c r="H9" s="61" t="s">
        <v>162</v>
      </c>
      <c r="I9" s="210" t="s">
        <v>161</v>
      </c>
      <c r="J9" s="60">
        <v>1</v>
      </c>
      <c r="K9" s="57"/>
      <c r="L9" s="56">
        <v>2</v>
      </c>
    </row>
    <row r="10" ht="45" spans="1:26">
      <c r="A10" s="55"/>
      <c r="B10" s="56"/>
      <c r="C10" s="57"/>
      <c r="D10" s="57"/>
      <c r="E10" s="58"/>
      <c r="F10" s="57"/>
      <c r="G10" s="57">
        <v>9</v>
      </c>
      <c r="H10" s="61" t="s">
        <v>163</v>
      </c>
      <c r="I10" s="210" t="s">
        <v>164</v>
      </c>
      <c r="J10" s="60">
        <v>1</v>
      </c>
      <c r="K10" s="57"/>
      <c r="L10" s="56">
        <v>2</v>
      </c>
    </row>
    <row r="11" ht="30" spans="1:26">
      <c r="A11" s="55"/>
      <c r="B11" s="56"/>
      <c r="C11" s="57"/>
      <c r="D11" s="57"/>
      <c r="E11" s="58"/>
      <c r="F11" s="57"/>
      <c r="G11" s="57">
        <v>10</v>
      </c>
      <c r="H11" s="211" t="s">
        <v>165</v>
      </c>
      <c r="I11" s="210" t="s">
        <v>166</v>
      </c>
      <c r="J11" s="60">
        <v>1</v>
      </c>
      <c r="K11" s="57"/>
      <c r="L11" s="56">
        <v>2.5</v>
      </c>
    </row>
    <row r="12" ht="56.4" customHeight="1" spans="1:26">
      <c r="A12" s="55"/>
      <c r="B12" s="56"/>
      <c r="C12" s="57"/>
      <c r="D12" s="57"/>
      <c r="E12" s="58"/>
      <c r="F12" s="57"/>
      <c r="G12" s="57">
        <v>11</v>
      </c>
      <c r="H12" s="212" t="s">
        <v>167</v>
      </c>
      <c r="I12" s="210" t="s">
        <v>166</v>
      </c>
      <c r="J12" s="60">
        <v>1</v>
      </c>
      <c r="K12" s="57"/>
      <c r="L12" s="56">
        <v>2</v>
      </c>
    </row>
    <row r="13" ht="15" spans="1:26">
      <c r="A13" s="55"/>
      <c r="B13" s="56"/>
      <c r="C13" s="57"/>
      <c r="D13" s="57"/>
      <c r="E13" s="35" t="s">
        <v>168</v>
      </c>
      <c r="F13" s="35"/>
      <c r="G13" s="35"/>
      <c r="H13" s="35"/>
      <c r="I13" s="35"/>
      <c r="J13" s="43"/>
      <c r="K13" s="38"/>
      <c r="L13" s="39">
        <f>SUM(L2:L12)</f>
        <v>15</v>
      </c>
    </row>
    <row r="14" ht="15.6" spans="1:26">
      <c r="A14" s="55"/>
      <c r="B14" s="56"/>
      <c r="C14" s="57"/>
      <c r="D14" s="57"/>
      <c r="E14" s="58" t="s">
        <v>169</v>
      </c>
      <c r="F14" s="58" t="s">
        <v>36</v>
      </c>
      <c r="G14" s="58">
        <v>1</v>
      </c>
      <c r="H14" s="63"/>
      <c r="I14" s="57"/>
      <c r="J14" s="64"/>
      <c r="K14" s="58"/>
      <c r="L14" s="65"/>
    </row>
    <row r="15" ht="15.6" spans="1:26">
      <c r="A15" s="55"/>
      <c r="B15" s="56"/>
      <c r="C15" s="57"/>
      <c r="D15" s="57"/>
      <c r="E15" s="58"/>
      <c r="F15" s="58"/>
      <c r="G15" s="58">
        <v>2</v>
      </c>
      <c r="H15" s="63"/>
      <c r="I15" s="58"/>
      <c r="J15" s="64"/>
      <c r="K15" s="58"/>
      <c r="L15" s="65"/>
    </row>
    <row r="16" ht="30" spans="1:26">
      <c r="A16" s="55" t="s">
        <v>170</v>
      </c>
      <c r="B16" s="56" t="s">
        <v>22</v>
      </c>
      <c r="C16" s="60">
        <v>0.92</v>
      </c>
      <c r="D16" s="57"/>
      <c r="E16" s="58" t="s">
        <v>153</v>
      </c>
      <c r="F16" s="57" t="s">
        <v>171</v>
      </c>
      <c r="G16" s="57">
        <v>1</v>
      </c>
      <c r="H16" s="61" t="s">
        <v>172</v>
      </c>
      <c r="I16" s="16" t="s">
        <v>164</v>
      </c>
      <c r="J16" s="60">
        <v>1</v>
      </c>
      <c r="K16" s="58"/>
      <c r="L16" s="56">
        <v>2</v>
      </c>
    </row>
    <row r="17" ht="15" spans="1:12">
      <c r="A17" s="55"/>
      <c r="B17" s="56"/>
      <c r="C17" s="60"/>
      <c r="D17" s="57"/>
      <c r="E17" s="58"/>
      <c r="F17" s="57"/>
      <c r="G17" s="57">
        <v>2</v>
      </c>
      <c r="H17" s="20" t="s">
        <v>173</v>
      </c>
      <c r="I17" s="19" t="s">
        <v>161</v>
      </c>
      <c r="J17" s="21">
        <v>1</v>
      </c>
      <c r="K17" s="22"/>
      <c r="L17" s="17">
        <v>1.5</v>
      </c>
    </row>
    <row r="18" ht="46.8" customHeight="1" spans="1:12">
      <c r="A18" s="55"/>
      <c r="B18" s="56"/>
      <c r="C18" s="57"/>
      <c r="D18" s="57"/>
      <c r="E18" s="58"/>
      <c r="F18" s="213" t="s">
        <v>174</v>
      </c>
      <c r="G18" s="19">
        <v>1</v>
      </c>
      <c r="H18" s="214" t="s">
        <v>175</v>
      </c>
      <c r="I18" s="19" t="s">
        <v>73</v>
      </c>
      <c r="J18" s="21">
        <v>1</v>
      </c>
      <c r="K18" s="22"/>
      <c r="L18" s="17">
        <v>1</v>
      </c>
    </row>
    <row r="19" ht="15" spans="1:12">
      <c r="A19" s="55"/>
      <c r="B19" s="56"/>
      <c r="C19" s="57"/>
      <c r="D19" s="57"/>
      <c r="E19" s="58"/>
      <c r="F19" s="16" t="s">
        <v>176</v>
      </c>
      <c r="G19" s="19">
        <v>1</v>
      </c>
      <c r="H19" s="215" t="s">
        <v>177</v>
      </c>
      <c r="I19" s="16" t="s">
        <v>164</v>
      </c>
      <c r="J19" s="21">
        <v>1</v>
      </c>
      <c r="K19" s="22"/>
      <c r="L19" s="17">
        <v>1</v>
      </c>
    </row>
    <row r="20" ht="75" spans="1:12">
      <c r="A20" s="55"/>
      <c r="B20" s="56"/>
      <c r="C20" s="57"/>
      <c r="D20" s="57"/>
      <c r="E20" s="58"/>
      <c r="F20" s="16"/>
      <c r="G20" s="19">
        <v>2</v>
      </c>
      <c r="H20" s="20" t="s">
        <v>178</v>
      </c>
      <c r="I20" s="16" t="s">
        <v>34</v>
      </c>
      <c r="J20" s="21">
        <v>1</v>
      </c>
      <c r="K20" s="22"/>
      <c r="L20" s="17">
        <v>3</v>
      </c>
    </row>
    <row r="21" ht="15" spans="1:12">
      <c r="A21" s="55"/>
      <c r="B21" s="56"/>
      <c r="C21" s="57"/>
      <c r="D21" s="57"/>
      <c r="E21" s="58"/>
      <c r="F21" s="16"/>
      <c r="G21" s="19"/>
      <c r="H21" s="20"/>
      <c r="I21" s="16"/>
      <c r="J21" s="21"/>
      <c r="K21" s="22"/>
      <c r="L21" s="17"/>
    </row>
    <row r="22" ht="15" spans="1:12">
      <c r="A22" s="55"/>
      <c r="B22" s="56"/>
      <c r="C22" s="57"/>
      <c r="D22" s="57"/>
      <c r="E22" s="35" t="s">
        <v>168</v>
      </c>
      <c r="F22" s="35"/>
      <c r="G22" s="35"/>
      <c r="H22" s="35"/>
      <c r="I22" s="35"/>
      <c r="J22" s="43"/>
      <c r="K22" s="38"/>
      <c r="L22" s="39">
        <f>SUM(L16:L21)</f>
        <v>8.5</v>
      </c>
    </row>
    <row r="23" ht="15.6" spans="1:12">
      <c r="A23" s="55"/>
      <c r="B23" s="56"/>
      <c r="C23" s="57"/>
      <c r="D23" s="57"/>
      <c r="E23" s="58" t="s">
        <v>169</v>
      </c>
      <c r="F23" s="58" t="s">
        <v>36</v>
      </c>
      <c r="G23" s="58">
        <v>1</v>
      </c>
      <c r="H23" s="63"/>
      <c r="I23" s="57"/>
      <c r="J23" s="64"/>
      <c r="K23" s="58"/>
      <c r="L23" s="65"/>
    </row>
    <row r="24" ht="15" spans="1:12">
      <c r="A24" s="55"/>
      <c r="B24" s="56"/>
      <c r="C24" s="57"/>
      <c r="D24" s="57"/>
      <c r="E24" s="58"/>
      <c r="F24" s="58"/>
      <c r="G24" s="58">
        <v>2</v>
      </c>
      <c r="H24" s="61"/>
      <c r="I24" s="58"/>
      <c r="J24" s="64"/>
      <c r="K24" s="58"/>
      <c r="L24" s="65"/>
    </row>
    <row r="25" ht="90" spans="1:12">
      <c r="A25" s="216" t="s">
        <v>179</v>
      </c>
      <c r="B25" s="56" t="s">
        <v>34</v>
      </c>
      <c r="C25" s="57"/>
      <c r="D25" s="57"/>
      <c r="E25" s="58" t="s">
        <v>153</v>
      </c>
      <c r="F25" s="57" t="s">
        <v>180</v>
      </c>
      <c r="G25" s="57">
        <v>1</v>
      </c>
      <c r="H25" s="212" t="s">
        <v>181</v>
      </c>
      <c r="I25" s="125" t="s">
        <v>34</v>
      </c>
      <c r="J25" s="60">
        <v>1</v>
      </c>
      <c r="K25" s="58"/>
      <c r="L25" s="65">
        <v>0.5</v>
      </c>
    </row>
    <row r="26" ht="15" spans="1:12">
      <c r="A26" s="55"/>
      <c r="B26" s="56"/>
      <c r="C26" s="57"/>
      <c r="D26" s="57"/>
      <c r="E26" s="58"/>
      <c r="F26" s="57"/>
      <c r="G26" s="57">
        <v>2</v>
      </c>
      <c r="H26" s="211"/>
      <c r="I26" s="125"/>
      <c r="J26" s="60"/>
      <c r="K26" s="58"/>
      <c r="L26" s="65"/>
    </row>
    <row r="27" ht="15" spans="1:12">
      <c r="A27" s="55"/>
      <c r="B27" s="56"/>
      <c r="C27" s="57"/>
      <c r="D27" s="57"/>
      <c r="E27" s="35" t="s">
        <v>168</v>
      </c>
      <c r="F27" s="35"/>
      <c r="G27" s="35"/>
      <c r="H27" s="35"/>
      <c r="I27" s="35"/>
      <c r="J27" s="43"/>
      <c r="K27" s="38"/>
      <c r="L27" s="39">
        <f>SUM(L25:L26)</f>
        <v>0.5</v>
      </c>
    </row>
    <row r="28" ht="15.6" spans="1:12">
      <c r="A28" s="55"/>
      <c r="B28" s="56"/>
      <c r="C28" s="57"/>
      <c r="D28" s="57"/>
      <c r="E28" s="58" t="s">
        <v>169</v>
      </c>
      <c r="F28" s="58"/>
      <c r="G28" s="58"/>
      <c r="H28" s="63"/>
      <c r="I28" s="57"/>
      <c r="J28" s="64"/>
      <c r="K28" s="58"/>
      <c r="L28" s="65"/>
    </row>
    <row r="29" ht="15" spans="1:12">
      <c r="A29" s="55"/>
      <c r="B29" s="56"/>
      <c r="C29" s="57"/>
      <c r="D29" s="57"/>
      <c r="E29" s="58"/>
      <c r="F29" s="58"/>
      <c r="G29" s="58"/>
      <c r="H29" s="61"/>
      <c r="I29" s="58"/>
      <c r="J29" s="64"/>
      <c r="K29" s="58"/>
      <c r="L29" s="65"/>
    </row>
    <row r="30" ht="34.8" customHeight="1" spans="1:12">
      <c r="A30" s="55" t="s">
        <v>182</v>
      </c>
      <c r="B30" s="56" t="s">
        <v>34</v>
      </c>
      <c r="C30" s="57"/>
      <c r="D30" s="57"/>
      <c r="E30" s="58" t="s">
        <v>153</v>
      </c>
      <c r="F30" s="57" t="s">
        <v>180</v>
      </c>
      <c r="G30" s="57">
        <v>1</v>
      </c>
      <c r="H30" s="201"/>
      <c r="I30" s="16"/>
      <c r="J30" s="60"/>
      <c r="K30" s="58"/>
      <c r="L30" s="65"/>
    </row>
    <row r="31" ht="15" spans="1:12">
      <c r="A31" s="55"/>
      <c r="B31" s="56"/>
      <c r="C31" s="57"/>
      <c r="D31" s="57"/>
      <c r="E31" s="58"/>
      <c r="F31" s="57"/>
      <c r="G31" s="57">
        <v>2</v>
      </c>
      <c r="H31" s="61"/>
      <c r="I31" s="16"/>
      <c r="J31" s="60"/>
      <c r="K31" s="58"/>
      <c r="L31" s="65"/>
    </row>
    <row r="32" ht="15" spans="1:12">
      <c r="A32" s="55"/>
      <c r="B32" s="56"/>
      <c r="C32" s="57"/>
      <c r="D32" s="57"/>
      <c r="E32" s="58"/>
      <c r="F32" s="57"/>
      <c r="G32" s="57">
        <v>3</v>
      </c>
      <c r="H32" s="61"/>
      <c r="I32" s="16"/>
      <c r="J32" s="60"/>
      <c r="K32" s="58"/>
      <c r="L32" s="65"/>
    </row>
    <row r="33" ht="15" spans="1:12">
      <c r="A33" s="55"/>
      <c r="B33" s="56"/>
      <c r="C33" s="57"/>
      <c r="D33" s="57"/>
      <c r="E33" s="35" t="s">
        <v>168</v>
      </c>
      <c r="F33" s="35"/>
      <c r="G33" s="35"/>
      <c r="H33" s="35"/>
      <c r="I33" s="35"/>
      <c r="J33" s="43"/>
      <c r="K33" s="38"/>
      <c r="L33" s="39">
        <v>0</v>
      </c>
    </row>
    <row r="34" ht="15.6" spans="1:12">
      <c r="A34" s="55"/>
      <c r="B34" s="56"/>
      <c r="C34" s="57"/>
      <c r="D34" s="57"/>
      <c r="E34" s="58" t="s">
        <v>169</v>
      </c>
      <c r="F34" s="58"/>
      <c r="G34" s="58"/>
      <c r="H34" s="63"/>
      <c r="I34" s="57"/>
      <c r="J34" s="64"/>
      <c r="K34" s="58"/>
      <c r="L34" s="65"/>
    </row>
    <row r="35" ht="15" spans="1:12">
      <c r="A35" s="55"/>
      <c r="B35" s="56"/>
      <c r="C35" s="57"/>
      <c r="D35" s="57"/>
      <c r="E35" s="58"/>
      <c r="F35" s="58"/>
      <c r="G35" s="58"/>
      <c r="H35" s="61"/>
      <c r="I35" s="58"/>
      <c r="J35" s="64"/>
      <c r="K35" s="58"/>
      <c r="L35" s="65"/>
    </row>
    <row r="36" spans="1:12">
      <c r="A36" s="217" t="s">
        <v>92</v>
      </c>
      <c r="B36" s="218"/>
      <c r="C36" s="219"/>
      <c r="D36" s="219"/>
      <c r="E36" s="220"/>
      <c r="F36" s="220" t="s">
        <v>183</v>
      </c>
      <c r="G36" s="219">
        <v>1</v>
      </c>
      <c r="H36" s="221" t="s">
        <v>184</v>
      </c>
      <c r="I36" s="222" t="s">
        <v>93</v>
      </c>
      <c r="J36" s="223">
        <v>1</v>
      </c>
      <c r="K36" s="220"/>
      <c r="L36" s="224">
        <v>2</v>
      </c>
    </row>
    <row r="37" spans="1:12">
      <c r="A37" s="217"/>
      <c r="B37" s="218"/>
      <c r="C37" s="219"/>
      <c r="D37" s="219"/>
      <c r="E37" s="220"/>
      <c r="F37" s="220"/>
      <c r="G37" s="219"/>
      <c r="H37" s="221"/>
      <c r="I37" s="222" t="s">
        <v>185</v>
      </c>
      <c r="J37" s="223">
        <v>0</v>
      </c>
      <c r="K37" s="220" t="s">
        <v>186</v>
      </c>
      <c r="L37" s="224">
        <v>0</v>
      </c>
    </row>
    <row r="38" spans="1:12">
      <c r="A38" s="217"/>
      <c r="B38" s="218"/>
      <c r="C38" s="219"/>
      <c r="D38" s="219"/>
      <c r="E38" s="220"/>
      <c r="F38" s="220"/>
      <c r="G38" s="219"/>
      <c r="H38" s="221"/>
      <c r="I38" s="222" t="s">
        <v>187</v>
      </c>
      <c r="J38" s="223">
        <v>1</v>
      </c>
      <c r="K38" s="220"/>
      <c r="L38" s="224">
        <v>1</v>
      </c>
    </row>
    <row r="39" spans="1:12">
      <c r="A39" s="217"/>
      <c r="B39" s="218"/>
      <c r="C39" s="219"/>
      <c r="D39" s="219"/>
      <c r="E39" s="220"/>
      <c r="F39" s="219" t="s">
        <v>188</v>
      </c>
      <c r="G39" s="219">
        <v>1</v>
      </c>
      <c r="H39" s="221" t="s">
        <v>189</v>
      </c>
      <c r="I39" s="222" t="s">
        <v>190</v>
      </c>
      <c r="J39" s="223">
        <v>1</v>
      </c>
      <c r="K39" s="220"/>
      <c r="L39" s="225">
        <v>1</v>
      </c>
    </row>
    <row r="40" spans="1:12">
      <c r="A40" s="217"/>
      <c r="B40" s="218"/>
      <c r="C40" s="219"/>
      <c r="D40" s="219"/>
      <c r="E40" s="220"/>
      <c r="F40" s="219"/>
      <c r="G40" s="219"/>
      <c r="H40" s="221"/>
      <c r="I40" s="222" t="s">
        <v>191</v>
      </c>
      <c r="J40" s="223">
        <v>1</v>
      </c>
      <c r="K40" s="220"/>
      <c r="L40" s="225">
        <v>1</v>
      </c>
    </row>
    <row r="41" spans="1:12">
      <c r="A41" s="217"/>
      <c r="B41" s="218"/>
      <c r="C41" s="219"/>
      <c r="D41" s="219"/>
      <c r="E41" s="220"/>
      <c r="F41" s="219" t="s">
        <v>192</v>
      </c>
      <c r="G41" s="219">
        <v>1</v>
      </c>
      <c r="H41" s="221" t="s">
        <v>193</v>
      </c>
      <c r="I41" s="222" t="s">
        <v>93</v>
      </c>
      <c r="J41" s="223">
        <v>1</v>
      </c>
      <c r="K41" s="220"/>
      <c r="L41" s="224">
        <v>3</v>
      </c>
    </row>
    <row r="42" spans="1:12">
      <c r="A42" s="217"/>
      <c r="B42" s="218"/>
      <c r="C42" s="219"/>
      <c r="D42" s="219"/>
      <c r="E42" s="220"/>
      <c r="F42" s="219"/>
      <c r="G42" s="219"/>
      <c r="H42" s="221"/>
      <c r="I42" s="222" t="s">
        <v>185</v>
      </c>
      <c r="J42" s="223">
        <v>0</v>
      </c>
      <c r="K42" s="220" t="s">
        <v>186</v>
      </c>
      <c r="L42" s="224">
        <v>0</v>
      </c>
    </row>
    <row r="43" spans="1:12">
      <c r="A43" s="217"/>
      <c r="B43" s="218"/>
      <c r="C43" s="219"/>
      <c r="D43" s="219"/>
      <c r="E43" s="220"/>
      <c r="F43" s="219"/>
      <c r="G43" s="219"/>
      <c r="H43" s="221"/>
      <c r="I43" s="222" t="s">
        <v>187</v>
      </c>
      <c r="J43" s="223">
        <v>1</v>
      </c>
      <c r="K43" s="220"/>
      <c r="L43" s="224">
        <v>6</v>
      </c>
    </row>
    <row r="44" spans="1:12">
      <c r="A44" s="217"/>
      <c r="B44" s="218"/>
      <c r="C44" s="219"/>
      <c r="D44" s="219"/>
      <c r="E44" s="220"/>
      <c r="F44" s="220" t="s">
        <v>194</v>
      </c>
      <c r="G44" s="219">
        <v>1</v>
      </c>
      <c r="H44" s="221" t="s">
        <v>195</v>
      </c>
      <c r="I44" s="222" t="s">
        <v>190</v>
      </c>
      <c r="J44" s="223">
        <v>1</v>
      </c>
      <c r="K44" s="220"/>
      <c r="L44" s="225">
        <v>4</v>
      </c>
    </row>
    <row r="45" spans="1:12">
      <c r="A45" s="217"/>
      <c r="B45" s="218"/>
      <c r="C45" s="219"/>
      <c r="D45" s="219"/>
      <c r="E45" s="220"/>
      <c r="F45" s="220"/>
      <c r="G45" s="219"/>
      <c r="H45" s="221"/>
      <c r="I45" s="222" t="s">
        <v>191</v>
      </c>
      <c r="J45" s="223">
        <v>1</v>
      </c>
      <c r="K45" s="220"/>
      <c r="L45" s="225">
        <v>3</v>
      </c>
    </row>
    <row r="46" spans="1:12">
      <c r="A46" s="217"/>
      <c r="B46" s="218"/>
      <c r="C46" s="219"/>
      <c r="D46" s="219"/>
      <c r="E46" s="226" t="s">
        <v>168</v>
      </c>
      <c r="F46" s="226"/>
      <c r="G46" s="226"/>
      <c r="H46" s="226"/>
      <c r="I46" s="226"/>
      <c r="J46" s="227"/>
      <c r="K46" s="228"/>
      <c r="L46" s="229">
        <f>SUM(L36:L45)</f>
        <v>21</v>
      </c>
    </row>
    <row r="47" ht="13.8" spans="1:12">
      <c r="A47" s="217"/>
      <c r="B47" s="218"/>
      <c r="C47" s="219"/>
      <c r="D47" s="219"/>
      <c r="E47" s="220" t="s">
        <v>169</v>
      </c>
      <c r="F47" s="220"/>
      <c r="G47" s="220"/>
      <c r="H47" s="230"/>
      <c r="I47" s="219"/>
      <c r="J47" s="231"/>
      <c r="K47" s="220"/>
      <c r="L47" s="225"/>
    </row>
    <row r="48" spans="1:12">
      <c r="A48" s="217"/>
      <c r="B48" s="218"/>
      <c r="C48" s="219"/>
      <c r="D48" s="219"/>
      <c r="E48" s="220"/>
      <c r="F48" s="220"/>
      <c r="G48" s="220"/>
      <c r="H48" s="221"/>
      <c r="I48" s="220"/>
      <c r="J48" s="231"/>
      <c r="K48" s="220"/>
      <c r="L48" s="225"/>
    </row>
  </sheetData>
  <autoFilter xmlns:etc="http://www.wps.cn/officeDocument/2017/etCustomData" ref="A1:L35" etc:filterBottomFollowUsedRange="0">
    <extLst/>
  </autoFilter>
  <mergeCells count="57">
    <mergeCell ref="E13:H13"/>
    <mergeCell ref="E22:H22"/>
    <mergeCell ref="E27:H27"/>
    <mergeCell ref="E33:H33"/>
    <mergeCell ref="E46:H46"/>
    <mergeCell ref="A2:A15"/>
    <mergeCell ref="A16:A24"/>
    <mergeCell ref="A25:A29"/>
    <mergeCell ref="A30:A35"/>
    <mergeCell ref="A36:A48"/>
    <mergeCell ref="B2:B15"/>
    <mergeCell ref="B16:B24"/>
    <mergeCell ref="B25:B29"/>
    <mergeCell ref="B30:B35"/>
    <mergeCell ref="B36:B48"/>
    <mergeCell ref="C2:C15"/>
    <mergeCell ref="C16:C24"/>
    <mergeCell ref="C25:C29"/>
    <mergeCell ref="C30:C35"/>
    <mergeCell ref="C36:C48"/>
    <mergeCell ref="D2:D15"/>
    <mergeCell ref="D16:D24"/>
    <mergeCell ref="D25:D29"/>
    <mergeCell ref="D30:D35"/>
    <mergeCell ref="D36:D48"/>
    <mergeCell ref="E2:E12"/>
    <mergeCell ref="E14:E15"/>
    <mergeCell ref="E16:E21"/>
    <mergeCell ref="E23:E24"/>
    <mergeCell ref="E25:E26"/>
    <mergeCell ref="E28:E29"/>
    <mergeCell ref="E30:E32"/>
    <mergeCell ref="E34:E35"/>
    <mergeCell ref="E36:E45"/>
    <mergeCell ref="E47:E48"/>
    <mergeCell ref="F2:F12"/>
    <mergeCell ref="F14:F15"/>
    <mergeCell ref="F16:F17"/>
    <mergeCell ref="F19:F21"/>
    <mergeCell ref="F23:F24"/>
    <mergeCell ref="F25:F26"/>
    <mergeCell ref="F28:F29"/>
    <mergeCell ref="F30:F32"/>
    <mergeCell ref="F34:F35"/>
    <mergeCell ref="F36:F38"/>
    <mergeCell ref="F39:F40"/>
    <mergeCell ref="F41:F43"/>
    <mergeCell ref="F44:F45"/>
    <mergeCell ref="F47:F48"/>
    <mergeCell ref="G36:G38"/>
    <mergeCell ref="G39:G40"/>
    <mergeCell ref="G41:G43"/>
    <mergeCell ref="G44:G45"/>
    <mergeCell ref="H36:H38"/>
    <mergeCell ref="H39:H40"/>
    <mergeCell ref="H41:H43"/>
    <mergeCell ref="H44:H4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55"/>
  <sheetViews>
    <sheetView workbookViewId="0">
      <pane ySplit="1" topLeftCell="A23" activePane="bottomLeft" state="frozen"/>
      <selection/>
      <selection pane="bottomLeft" activeCell="E47" sqref="E47:E52"/>
    </sheetView>
  </sheetViews>
  <sheetFormatPr defaultColWidth="9.11111111111111" defaultRowHeight="13.2"/>
  <cols>
    <col min="1" max="1" width="22.4444444444444" style="134" customWidth="1"/>
    <col min="2" max="2" width="11.6666666666667" style="134" customWidth="1"/>
    <col min="3" max="7" width="9.11111111111111" style="134"/>
    <col min="8" max="8" width="59.6666666666667" style="134" customWidth="1"/>
    <col min="9" max="11" width="9.11111111111111" style="134"/>
    <col min="12" max="12" width="19.5555555555556" style="135" customWidth="1"/>
    <col min="13" max="16384" width="9.11111111111111" style="134"/>
  </cols>
  <sheetData>
    <row r="1" ht="69.6" spans="1:26">
      <c r="A1" s="55" t="s">
        <v>141</v>
      </c>
      <c r="B1" s="136" t="s">
        <v>6</v>
      </c>
      <c r="C1" s="55" t="s">
        <v>142</v>
      </c>
      <c r="D1" s="55" t="s">
        <v>143</v>
      </c>
      <c r="E1" s="136" t="s">
        <v>144</v>
      </c>
      <c r="F1" s="55" t="s">
        <v>145</v>
      </c>
      <c r="G1" s="55" t="s">
        <v>1</v>
      </c>
      <c r="H1" s="137" t="s">
        <v>146</v>
      </c>
      <c r="I1" s="55" t="s">
        <v>147</v>
      </c>
      <c r="J1" s="138" t="s">
        <v>148</v>
      </c>
      <c r="K1" s="55" t="s">
        <v>149</v>
      </c>
      <c r="L1" s="139" t="s">
        <v>150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5.6" spans="1:26">
      <c r="A2" s="55" t="s">
        <v>196</v>
      </c>
      <c r="B2" s="56" t="s">
        <v>42</v>
      </c>
      <c r="C2" s="303" t="s">
        <v>197</v>
      </c>
      <c r="D2" s="57"/>
      <c r="E2" s="58" t="s">
        <v>153</v>
      </c>
      <c r="F2" s="57" t="s">
        <v>36</v>
      </c>
      <c r="G2" s="57">
        <v>1</v>
      </c>
      <c r="H2" s="61" t="s">
        <v>198</v>
      </c>
      <c r="I2" s="16" t="s">
        <v>42</v>
      </c>
      <c r="J2" s="60">
        <v>1</v>
      </c>
      <c r="K2" s="57"/>
      <c r="L2" s="56">
        <v>1</v>
      </c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15.6" spans="1:26">
      <c r="A3" s="55"/>
      <c r="B3" s="56"/>
      <c r="C3" s="57"/>
      <c r="D3" s="57"/>
      <c r="E3" s="58"/>
      <c r="F3" s="57"/>
      <c r="G3" s="57">
        <v>2</v>
      </c>
      <c r="H3" s="62" t="s">
        <v>199</v>
      </c>
      <c r="I3" s="16" t="s">
        <v>42</v>
      </c>
      <c r="J3" s="60">
        <v>1</v>
      </c>
      <c r="K3" s="57"/>
      <c r="L3" s="56">
        <v>1</v>
      </c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5" spans="1:26">
      <c r="A4" s="55"/>
      <c r="B4" s="56"/>
      <c r="C4" s="57"/>
      <c r="D4" s="57"/>
      <c r="E4" s="35" t="s">
        <v>168</v>
      </c>
      <c r="F4" s="35"/>
      <c r="G4" s="35"/>
      <c r="H4" s="35"/>
      <c r="I4" s="35"/>
      <c r="J4" s="43"/>
      <c r="K4" s="38"/>
      <c r="L4" s="39">
        <f>SUM(L2:L3)</f>
        <v>2</v>
      </c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ht="15.6" spans="1:26">
      <c r="A5" s="55"/>
      <c r="B5" s="56"/>
      <c r="C5" s="57"/>
      <c r="D5" s="57"/>
      <c r="E5" s="58" t="s">
        <v>169</v>
      </c>
      <c r="F5" s="58" t="s">
        <v>36</v>
      </c>
      <c r="G5" s="58">
        <v>1</v>
      </c>
      <c r="H5" s="63"/>
      <c r="I5" s="57"/>
      <c r="J5" s="64"/>
      <c r="K5" s="58"/>
      <c r="L5" s="65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15.6" spans="1:26">
      <c r="A6" s="55"/>
      <c r="B6" s="56"/>
      <c r="C6" s="57"/>
      <c r="D6" s="57"/>
      <c r="E6" s="58"/>
      <c r="F6" s="58"/>
      <c r="G6" s="58">
        <v>2</v>
      </c>
      <c r="H6" s="63"/>
      <c r="I6" s="58"/>
      <c r="J6" s="64"/>
      <c r="K6" s="58"/>
      <c r="L6" s="65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15" spans="1:26">
      <c r="A7" s="55" t="s">
        <v>52</v>
      </c>
      <c r="B7" s="56" t="s">
        <v>53</v>
      </c>
      <c r="C7" s="57"/>
      <c r="D7" s="57"/>
      <c r="E7" s="58" t="s">
        <v>153</v>
      </c>
      <c r="F7" s="57" t="s">
        <v>180</v>
      </c>
      <c r="G7" s="57">
        <v>1</v>
      </c>
      <c r="H7" s="201" t="s">
        <v>200</v>
      </c>
      <c r="I7" s="16" t="s">
        <v>53</v>
      </c>
      <c r="J7" s="60">
        <v>1</v>
      </c>
      <c r="K7" s="58"/>
      <c r="L7" s="65">
        <v>5</v>
      </c>
    </row>
    <row r="8" ht="15" spans="1:26">
      <c r="A8" s="55"/>
      <c r="B8" s="56"/>
      <c r="C8" s="57"/>
      <c r="D8" s="57"/>
      <c r="E8" s="35" t="s">
        <v>168</v>
      </c>
      <c r="F8" s="35"/>
      <c r="G8" s="35"/>
      <c r="H8" s="35"/>
      <c r="I8" s="35"/>
      <c r="J8" s="43"/>
      <c r="K8" s="38"/>
      <c r="L8" s="39">
        <v>5</v>
      </c>
    </row>
    <row r="9" ht="15.6" spans="1:26">
      <c r="A9" s="55"/>
      <c r="B9" s="56"/>
      <c r="C9" s="57"/>
      <c r="D9" s="57"/>
      <c r="E9" s="58" t="s">
        <v>169</v>
      </c>
      <c r="F9" s="58"/>
      <c r="G9" s="58"/>
      <c r="H9" s="63"/>
      <c r="I9" s="57"/>
      <c r="J9" s="64"/>
      <c r="K9" s="58"/>
      <c r="L9" s="65"/>
    </row>
    <row r="10" ht="15" spans="1:26">
      <c r="A10" s="55"/>
      <c r="B10" s="56"/>
      <c r="C10" s="57"/>
      <c r="D10" s="57"/>
      <c r="E10" s="58"/>
      <c r="F10" s="58"/>
      <c r="G10" s="58"/>
      <c r="H10" s="61"/>
      <c r="I10" s="58"/>
      <c r="J10" s="64"/>
      <c r="K10" s="58"/>
      <c r="L10" s="65"/>
    </row>
    <row r="11" s="134" customFormat="1" ht="15" spans="1:26">
      <c r="A11" s="55" t="s">
        <v>201</v>
      </c>
      <c r="B11" s="56" t="s">
        <v>45</v>
      </c>
      <c r="C11" s="57"/>
      <c r="D11" s="57"/>
      <c r="E11" s="58" t="s">
        <v>153</v>
      </c>
      <c r="F11" s="57" t="s">
        <v>180</v>
      </c>
      <c r="G11" s="57">
        <v>1</v>
      </c>
      <c r="H11" s="201" t="s">
        <v>202</v>
      </c>
      <c r="I11" s="16" t="s">
        <v>93</v>
      </c>
      <c r="J11" s="60">
        <v>1</v>
      </c>
      <c r="K11" s="58"/>
      <c r="L11" s="65">
        <v>3</v>
      </c>
    </row>
    <row r="12" s="134" customFormat="1" ht="15" spans="1:26">
      <c r="A12" s="55"/>
      <c r="B12" s="56"/>
      <c r="C12" s="57"/>
      <c r="D12" s="57"/>
      <c r="E12" s="58"/>
      <c r="F12" s="57"/>
      <c r="G12" s="57">
        <v>2</v>
      </c>
      <c r="H12" s="201" t="s">
        <v>202</v>
      </c>
      <c r="I12" s="16" t="s">
        <v>185</v>
      </c>
      <c r="J12" s="60">
        <v>1</v>
      </c>
      <c r="K12" s="58"/>
      <c r="L12" s="65">
        <v>2</v>
      </c>
    </row>
    <row r="13" s="134" customFormat="1" ht="15" spans="1:26">
      <c r="A13" s="55"/>
      <c r="B13" s="56"/>
      <c r="C13" s="57"/>
      <c r="D13" s="57"/>
      <c r="E13" s="58"/>
      <c r="F13" s="57"/>
      <c r="G13" s="57">
        <v>3</v>
      </c>
      <c r="H13" s="201" t="s">
        <v>202</v>
      </c>
      <c r="I13" s="16" t="s">
        <v>187</v>
      </c>
      <c r="J13" s="60">
        <v>1</v>
      </c>
      <c r="K13" s="58"/>
      <c r="L13" s="65">
        <v>2</v>
      </c>
    </row>
    <row r="14" s="134" customFormat="1" ht="15" spans="1:26">
      <c r="A14" s="55"/>
      <c r="B14" s="56"/>
      <c r="C14" s="57"/>
      <c r="D14" s="57"/>
      <c r="E14" s="58"/>
      <c r="F14" s="57"/>
      <c r="G14" s="57">
        <v>4</v>
      </c>
      <c r="H14" s="61" t="s">
        <v>202</v>
      </c>
      <c r="I14" s="16" t="s">
        <v>191</v>
      </c>
      <c r="J14" s="60">
        <v>1</v>
      </c>
      <c r="K14" s="58"/>
      <c r="L14" s="65">
        <v>2</v>
      </c>
    </row>
    <row r="15" s="134" customFormat="1" ht="15" spans="1:26">
      <c r="A15" s="55"/>
      <c r="B15" s="56"/>
      <c r="C15" s="57"/>
      <c r="D15" s="57"/>
      <c r="E15" s="58"/>
      <c r="F15" s="57"/>
      <c r="G15" s="57">
        <v>5</v>
      </c>
      <c r="H15" s="61" t="s">
        <v>203</v>
      </c>
      <c r="I15" s="16" t="s">
        <v>82</v>
      </c>
      <c r="J15" s="60">
        <v>1</v>
      </c>
      <c r="K15" s="58"/>
      <c r="L15" s="65">
        <v>1</v>
      </c>
    </row>
    <row r="16" s="134" customFormat="1" ht="90" spans="1:26">
      <c r="A16" s="55"/>
      <c r="B16" s="56"/>
      <c r="C16" s="57"/>
      <c r="D16" s="57"/>
      <c r="E16" s="58"/>
      <c r="F16" s="57"/>
      <c r="G16" s="57">
        <v>6</v>
      </c>
      <c r="H16" s="201" t="s">
        <v>204</v>
      </c>
      <c r="I16" s="16" t="s">
        <v>45</v>
      </c>
      <c r="J16" s="60">
        <v>1</v>
      </c>
      <c r="K16" s="58"/>
      <c r="L16" s="65">
        <v>4</v>
      </c>
    </row>
    <row r="17" s="134" customFormat="1" ht="30" spans="1:12">
      <c r="A17" s="55"/>
      <c r="B17" s="56"/>
      <c r="C17" s="57"/>
      <c r="D17" s="57"/>
      <c r="E17" s="58"/>
      <c r="F17" s="57"/>
      <c r="G17" s="57">
        <v>7</v>
      </c>
      <c r="H17" s="201" t="s">
        <v>205</v>
      </c>
      <c r="I17" s="16" t="s">
        <v>206</v>
      </c>
      <c r="J17" s="60">
        <v>1</v>
      </c>
      <c r="K17" s="58"/>
      <c r="L17" s="65">
        <v>1.5</v>
      </c>
    </row>
    <row r="18" s="134" customFormat="1" ht="15" spans="1:12">
      <c r="A18" s="55"/>
      <c r="B18" s="56"/>
      <c r="C18" s="57"/>
      <c r="D18" s="57"/>
      <c r="E18" s="58"/>
      <c r="F18" s="57"/>
      <c r="G18" s="57"/>
      <c r="H18" s="201"/>
      <c r="I18" s="16"/>
      <c r="J18" s="60"/>
      <c r="K18" s="58"/>
      <c r="L18" s="65"/>
    </row>
    <row r="19" s="134" customFormat="1" ht="15" spans="1:12">
      <c r="A19" s="55"/>
      <c r="B19" s="56"/>
      <c r="C19" s="57"/>
      <c r="D19" s="57"/>
      <c r="E19" s="35" t="s">
        <v>168</v>
      </c>
      <c r="F19" s="35"/>
      <c r="G19" s="35"/>
      <c r="H19" s="35"/>
      <c r="I19" s="35"/>
      <c r="J19" s="43"/>
      <c r="K19" s="38"/>
      <c r="L19" s="39">
        <f>SUM(L11:L18)</f>
        <v>15.5</v>
      </c>
    </row>
    <row r="20" s="134" customFormat="1" ht="15.6" spans="1:12">
      <c r="A20" s="55"/>
      <c r="B20" s="56"/>
      <c r="C20" s="57"/>
      <c r="D20" s="57"/>
      <c r="E20" s="58" t="s">
        <v>169</v>
      </c>
      <c r="F20" s="58"/>
      <c r="G20" s="58"/>
      <c r="H20" s="63"/>
      <c r="I20" s="57"/>
      <c r="J20" s="64"/>
      <c r="K20" s="58"/>
      <c r="L20" s="65"/>
    </row>
    <row r="21" s="134" customFormat="1" ht="15" spans="1:12">
      <c r="A21" s="55"/>
      <c r="B21" s="56"/>
      <c r="C21" s="57"/>
      <c r="D21" s="57"/>
      <c r="E21" s="58"/>
      <c r="F21" s="58"/>
      <c r="G21" s="58"/>
      <c r="H21" s="61"/>
      <c r="I21" s="58"/>
      <c r="J21" s="64"/>
      <c r="K21" s="58"/>
      <c r="L21" s="65"/>
    </row>
    <row r="22" s="134" customFormat="1" ht="60" spans="1:12">
      <c r="A22" s="55" t="s">
        <v>44</v>
      </c>
      <c r="B22" s="56" t="s">
        <v>45</v>
      </c>
      <c r="C22" s="57"/>
      <c r="D22" s="57"/>
      <c r="E22" s="58" t="s">
        <v>153</v>
      </c>
      <c r="F22" s="57" t="s">
        <v>180</v>
      </c>
      <c r="G22" s="57">
        <v>1</v>
      </c>
      <c r="H22" s="201" t="s">
        <v>207</v>
      </c>
      <c r="I22" s="16" t="s">
        <v>208</v>
      </c>
      <c r="J22" s="60">
        <v>1</v>
      </c>
      <c r="K22" s="58"/>
      <c r="L22" s="65">
        <v>5</v>
      </c>
    </row>
    <row r="23" s="134" customFormat="1" ht="105" spans="1:12">
      <c r="A23" s="55"/>
      <c r="B23" s="56"/>
      <c r="C23" s="57"/>
      <c r="D23" s="57"/>
      <c r="E23" s="58"/>
      <c r="F23" s="57"/>
      <c r="G23" s="57">
        <v>2</v>
      </c>
      <c r="H23" s="61" t="s">
        <v>209</v>
      </c>
      <c r="I23" s="16" t="s">
        <v>206</v>
      </c>
      <c r="J23" s="60">
        <v>1</v>
      </c>
      <c r="K23" s="58"/>
      <c r="L23" s="65">
        <v>3.5</v>
      </c>
    </row>
    <row r="24" s="134" customFormat="1" ht="30" spans="1:12">
      <c r="A24" s="55"/>
      <c r="B24" s="56"/>
      <c r="C24" s="57"/>
      <c r="D24" s="57"/>
      <c r="E24" s="58"/>
      <c r="F24" s="57"/>
      <c r="G24" s="57">
        <v>3</v>
      </c>
      <c r="H24" s="61" t="s">
        <v>210</v>
      </c>
      <c r="I24" s="16" t="s">
        <v>45</v>
      </c>
      <c r="J24" s="60">
        <v>1</v>
      </c>
      <c r="K24" s="58"/>
      <c r="L24" s="65">
        <v>1</v>
      </c>
    </row>
    <row r="25" s="134" customFormat="1" ht="15" spans="1:12">
      <c r="A25" s="55"/>
      <c r="B25" s="56"/>
      <c r="C25" s="57"/>
      <c r="D25" s="57"/>
      <c r="E25" s="58"/>
      <c r="F25" s="57"/>
      <c r="G25" s="57">
        <v>4</v>
      </c>
      <c r="H25" s="61"/>
      <c r="I25" s="16"/>
      <c r="J25" s="60"/>
      <c r="K25" s="58"/>
      <c r="L25" s="65"/>
    </row>
    <row r="26" s="134" customFormat="1" ht="15" spans="1:12">
      <c r="A26" s="55"/>
      <c r="B26" s="56"/>
      <c r="C26" s="57"/>
      <c r="D26" s="57"/>
      <c r="E26" s="58"/>
      <c r="F26" s="57"/>
      <c r="G26" s="57">
        <v>5</v>
      </c>
      <c r="H26" s="61"/>
      <c r="I26" s="16"/>
      <c r="J26" s="60"/>
      <c r="K26" s="58"/>
      <c r="L26" s="65"/>
    </row>
    <row r="27" s="134" customFormat="1" ht="15" spans="1:12">
      <c r="A27" s="55"/>
      <c r="B27" s="56"/>
      <c r="C27" s="57"/>
      <c r="D27" s="57"/>
      <c r="E27" s="58"/>
      <c r="F27" s="57"/>
      <c r="G27" s="57">
        <v>6</v>
      </c>
      <c r="H27" s="201"/>
      <c r="I27" s="16"/>
      <c r="J27" s="60"/>
      <c r="K27" s="58"/>
      <c r="L27" s="65"/>
    </row>
    <row r="28" s="134" customFormat="1" ht="15" spans="1:12">
      <c r="A28" s="55"/>
      <c r="B28" s="56"/>
      <c r="C28" s="57"/>
      <c r="D28" s="57"/>
      <c r="E28" s="58"/>
      <c r="F28" s="57"/>
      <c r="G28" s="57">
        <v>7</v>
      </c>
      <c r="H28" s="201"/>
      <c r="I28" s="16"/>
      <c r="J28" s="60"/>
      <c r="K28" s="58"/>
      <c r="L28" s="65"/>
    </row>
    <row r="29" s="134" customFormat="1" ht="15" spans="1:12">
      <c r="A29" s="55"/>
      <c r="B29" s="56"/>
      <c r="C29" s="57"/>
      <c r="D29" s="57"/>
      <c r="E29" s="35" t="s">
        <v>168</v>
      </c>
      <c r="F29" s="35"/>
      <c r="G29" s="35"/>
      <c r="H29" s="35"/>
      <c r="I29" s="35"/>
      <c r="J29" s="43"/>
      <c r="K29" s="38"/>
      <c r="L29" s="39">
        <f>SUM(L22:L28)</f>
        <v>9.5</v>
      </c>
    </row>
    <row r="30" s="134" customFormat="1" ht="15.6" spans="1:12">
      <c r="A30" s="55"/>
      <c r="B30" s="56"/>
      <c r="C30" s="57"/>
      <c r="D30" s="57"/>
      <c r="E30" s="58" t="s">
        <v>169</v>
      </c>
      <c r="F30" s="58"/>
      <c r="G30" s="58"/>
      <c r="H30" s="63"/>
      <c r="I30" s="57"/>
      <c r="J30" s="64"/>
      <c r="K30" s="58"/>
      <c r="L30" s="65"/>
    </row>
    <row r="31" s="134" customFormat="1" ht="15" spans="1:12">
      <c r="A31" s="55"/>
      <c r="B31" s="56"/>
      <c r="C31" s="57"/>
      <c r="D31" s="57"/>
      <c r="E31" s="58"/>
      <c r="F31" s="58"/>
      <c r="G31" s="58"/>
      <c r="H31" s="61"/>
      <c r="I31" s="58"/>
      <c r="J31" s="64"/>
      <c r="K31" s="58"/>
      <c r="L31" s="65"/>
    </row>
    <row r="32" ht="30" spans="1:12">
      <c r="A32" s="55" t="s">
        <v>95</v>
      </c>
      <c r="B32" s="56" t="s">
        <v>56</v>
      </c>
      <c r="C32" s="57"/>
      <c r="D32" s="57"/>
      <c r="E32" s="200" t="s">
        <v>153</v>
      </c>
      <c r="F32" s="159" t="s">
        <v>180</v>
      </c>
      <c r="G32" s="57">
        <v>1</v>
      </c>
      <c r="H32" s="201" t="s">
        <v>211</v>
      </c>
      <c r="I32" s="16" t="s">
        <v>212</v>
      </c>
      <c r="J32" s="60">
        <v>1</v>
      </c>
      <c r="K32" s="58"/>
      <c r="L32" s="65">
        <v>5</v>
      </c>
    </row>
    <row r="33" ht="15" spans="1:12">
      <c r="A33" s="55"/>
      <c r="B33" s="56"/>
      <c r="C33" s="57"/>
      <c r="D33" s="57"/>
      <c r="E33" s="206"/>
      <c r="F33" s="205"/>
      <c r="G33" s="57">
        <v>2</v>
      </c>
      <c r="H33" s="201" t="s">
        <v>213</v>
      </c>
      <c r="I33" s="16" t="s">
        <v>214</v>
      </c>
      <c r="J33" s="60">
        <v>1</v>
      </c>
      <c r="K33" s="58"/>
      <c r="L33" s="65">
        <v>1</v>
      </c>
    </row>
    <row r="34" ht="15" spans="1:12">
      <c r="A34" s="55"/>
      <c r="B34" s="56"/>
      <c r="C34" s="57"/>
      <c r="D34" s="57"/>
      <c r="E34" s="206"/>
      <c r="F34" s="205"/>
      <c r="G34" s="57">
        <v>3</v>
      </c>
      <c r="H34" s="201" t="s">
        <v>215</v>
      </c>
      <c r="I34" s="16" t="s">
        <v>56</v>
      </c>
      <c r="J34" s="60">
        <v>1</v>
      </c>
      <c r="K34" s="58"/>
      <c r="L34" s="65">
        <v>2</v>
      </c>
    </row>
    <row r="35" ht="15" spans="1:12">
      <c r="A35" s="55"/>
      <c r="B35" s="56"/>
      <c r="C35" s="57"/>
      <c r="D35" s="57"/>
      <c r="E35" s="208"/>
      <c r="F35" s="145"/>
      <c r="G35" s="57">
        <v>5</v>
      </c>
      <c r="H35" s="201" t="s">
        <v>216</v>
      </c>
      <c r="I35" s="16" t="s">
        <v>217</v>
      </c>
      <c r="J35" s="60">
        <v>1</v>
      </c>
      <c r="K35" s="58"/>
      <c r="L35" s="65">
        <v>5</v>
      </c>
    </row>
    <row r="36" ht="15" spans="1:12">
      <c r="A36" s="55"/>
      <c r="B36" s="56"/>
      <c r="C36" s="57"/>
      <c r="D36" s="57"/>
      <c r="E36" s="208"/>
      <c r="F36" s="145"/>
      <c r="G36" s="57"/>
      <c r="H36" s="201"/>
      <c r="I36" s="16"/>
      <c r="J36" s="60"/>
      <c r="K36" s="58"/>
      <c r="L36" s="65"/>
    </row>
    <row r="37" ht="15" spans="1:12">
      <c r="A37" s="55"/>
      <c r="B37" s="56"/>
      <c r="C37" s="57"/>
      <c r="D37" s="57"/>
      <c r="E37" s="35" t="s">
        <v>168</v>
      </c>
      <c r="F37" s="35"/>
      <c r="G37" s="35"/>
      <c r="H37" s="35"/>
      <c r="I37" s="35"/>
      <c r="J37" s="43"/>
      <c r="K37" s="38"/>
      <c r="L37" s="39">
        <f>SUM(L32:L35)</f>
        <v>13</v>
      </c>
    </row>
    <row r="38" ht="15.6" spans="1:12">
      <c r="A38" s="55"/>
      <c r="B38" s="56"/>
      <c r="C38" s="57"/>
      <c r="D38" s="57"/>
      <c r="E38" s="58" t="s">
        <v>169</v>
      </c>
      <c r="F38" s="58"/>
      <c r="G38" s="58"/>
      <c r="H38" s="63"/>
      <c r="I38" s="57"/>
      <c r="J38" s="64"/>
      <c r="K38" s="58"/>
      <c r="L38" s="65"/>
    </row>
    <row r="39" ht="15" spans="1:12">
      <c r="A39" s="55"/>
      <c r="B39" s="56"/>
      <c r="C39" s="57"/>
      <c r="D39" s="57"/>
      <c r="E39" s="58"/>
      <c r="F39" s="58"/>
      <c r="G39" s="58"/>
      <c r="H39" s="61"/>
      <c r="I39" s="58"/>
      <c r="J39" s="64"/>
      <c r="K39" s="58"/>
      <c r="L39" s="65"/>
    </row>
    <row r="40" ht="15" spans="1:12">
      <c r="A40" s="55" t="s">
        <v>55</v>
      </c>
      <c r="B40" s="56" t="s">
        <v>56</v>
      </c>
      <c r="C40" s="57"/>
      <c r="D40" s="57"/>
      <c r="E40" s="206" t="s">
        <v>153</v>
      </c>
      <c r="F40" s="205" t="s">
        <v>36</v>
      </c>
      <c r="G40" s="57">
        <v>1</v>
      </c>
      <c r="H40" s="201" t="s">
        <v>218</v>
      </c>
      <c r="I40" s="16" t="s">
        <v>219</v>
      </c>
      <c r="J40" s="60">
        <v>1</v>
      </c>
      <c r="K40" s="58"/>
      <c r="L40" s="65">
        <v>3</v>
      </c>
    </row>
    <row r="41" ht="15" spans="1:12">
      <c r="A41" s="55"/>
      <c r="B41" s="56"/>
      <c r="C41" s="57"/>
      <c r="D41" s="57"/>
      <c r="E41" s="206"/>
      <c r="F41" s="205"/>
      <c r="G41" s="57">
        <v>2</v>
      </c>
      <c r="H41" s="201" t="s">
        <v>220</v>
      </c>
      <c r="I41" s="16" t="s">
        <v>221</v>
      </c>
      <c r="J41" s="207">
        <v>1</v>
      </c>
      <c r="K41" s="58"/>
      <c r="L41" s="65">
        <v>3</v>
      </c>
    </row>
    <row r="42" ht="15" spans="1:12">
      <c r="A42" s="55"/>
      <c r="B42" s="56"/>
      <c r="C42" s="57"/>
      <c r="D42" s="57"/>
      <c r="E42" s="206"/>
      <c r="F42" s="205"/>
      <c r="G42" s="57">
        <v>3</v>
      </c>
      <c r="H42" s="201" t="s">
        <v>222</v>
      </c>
      <c r="I42" s="16" t="s">
        <v>223</v>
      </c>
      <c r="J42" s="207">
        <v>1</v>
      </c>
      <c r="K42" s="58"/>
      <c r="L42" s="65">
        <v>5</v>
      </c>
    </row>
    <row r="43" ht="15" spans="1:12">
      <c r="A43" s="55"/>
      <c r="B43" s="56"/>
      <c r="C43" s="57"/>
      <c r="D43" s="57"/>
      <c r="E43" s="208"/>
      <c r="F43" s="145"/>
      <c r="G43" s="57">
        <v>4</v>
      </c>
      <c r="H43" s="201" t="s">
        <v>224</v>
      </c>
      <c r="I43" s="16" t="s">
        <v>56</v>
      </c>
      <c r="J43" s="60">
        <v>1</v>
      </c>
      <c r="K43" s="58"/>
      <c r="L43" s="65">
        <v>1</v>
      </c>
    </row>
    <row r="44" ht="15" spans="1:12">
      <c r="A44" s="55"/>
      <c r="B44" s="56"/>
      <c r="C44" s="57"/>
      <c r="D44" s="57"/>
      <c r="E44" s="35" t="s">
        <v>168</v>
      </c>
      <c r="F44" s="35"/>
      <c r="G44" s="35"/>
      <c r="H44" s="35"/>
      <c r="I44" s="35"/>
      <c r="J44" s="43"/>
      <c r="K44" s="38"/>
      <c r="L44" s="39">
        <f>SUM(L40:L43)</f>
        <v>12</v>
      </c>
    </row>
    <row r="45" ht="15.6" spans="1:12">
      <c r="A45" s="55"/>
      <c r="B45" s="56"/>
      <c r="C45" s="57"/>
      <c r="D45" s="57"/>
      <c r="E45" s="58"/>
      <c r="F45" s="58"/>
      <c r="G45" s="58"/>
      <c r="H45" s="63"/>
      <c r="I45" s="57"/>
      <c r="J45" s="64"/>
      <c r="K45" s="58"/>
      <c r="L45" s="65"/>
    </row>
    <row r="46" ht="15" spans="1:12">
      <c r="A46" s="55"/>
      <c r="B46" s="56"/>
      <c r="C46" s="57"/>
      <c r="D46" s="57"/>
      <c r="E46" s="58"/>
      <c r="F46" s="58"/>
      <c r="G46" s="58"/>
      <c r="H46" s="61"/>
      <c r="I46" s="58"/>
      <c r="J46" s="64"/>
      <c r="K46" s="58"/>
      <c r="L46" s="65"/>
    </row>
    <row r="47" ht="15" spans="1:12">
      <c r="A47" s="197" t="s">
        <v>225</v>
      </c>
      <c r="B47" s="56"/>
      <c r="C47" s="57"/>
      <c r="D47" s="57"/>
      <c r="E47" s="206"/>
      <c r="F47" s="205"/>
      <c r="G47" s="57">
        <v>1</v>
      </c>
      <c r="H47" s="201" t="s">
        <v>226</v>
      </c>
      <c r="I47" s="16" t="s">
        <v>214</v>
      </c>
      <c r="J47" s="60">
        <v>1</v>
      </c>
      <c r="K47" s="58"/>
      <c r="L47" s="65">
        <v>4</v>
      </c>
    </row>
    <row r="48" ht="15" spans="1:12">
      <c r="A48" s="202"/>
      <c r="B48" s="56"/>
      <c r="C48" s="57"/>
      <c r="D48" s="57"/>
      <c r="E48" s="206"/>
      <c r="F48" s="205"/>
      <c r="G48" s="57">
        <v>2</v>
      </c>
      <c r="H48" s="201" t="s">
        <v>226</v>
      </c>
      <c r="I48" s="16" t="s">
        <v>56</v>
      </c>
      <c r="J48" s="60">
        <v>1</v>
      </c>
      <c r="K48" s="58"/>
      <c r="L48" s="65">
        <v>2</v>
      </c>
    </row>
    <row r="49" ht="30" spans="1:12">
      <c r="A49" s="202"/>
      <c r="B49" s="56"/>
      <c r="C49" s="57"/>
      <c r="D49" s="57"/>
      <c r="E49" s="206"/>
      <c r="F49" s="205"/>
      <c r="G49" s="57">
        <v>3</v>
      </c>
      <c r="H49" s="201" t="s">
        <v>227</v>
      </c>
      <c r="I49" s="16" t="s">
        <v>228</v>
      </c>
      <c r="J49" s="60">
        <v>1</v>
      </c>
      <c r="K49" s="58"/>
      <c r="L49" s="65">
        <v>5</v>
      </c>
    </row>
    <row r="50" ht="15" spans="1:12">
      <c r="A50" s="202"/>
      <c r="B50" s="56"/>
      <c r="C50" s="57"/>
      <c r="D50" s="57"/>
      <c r="E50" s="206"/>
      <c r="F50" s="205"/>
      <c r="G50" s="57">
        <v>4</v>
      </c>
      <c r="H50" s="201" t="s">
        <v>229</v>
      </c>
      <c r="I50" s="16" t="s">
        <v>230</v>
      </c>
      <c r="J50" s="60">
        <v>1</v>
      </c>
      <c r="K50" s="58"/>
      <c r="L50" s="65">
        <v>5</v>
      </c>
    </row>
    <row r="51" ht="15" spans="1:12">
      <c r="A51" s="202"/>
      <c r="B51" s="56"/>
      <c r="C51" s="57"/>
      <c r="D51" s="57"/>
      <c r="E51" s="206"/>
      <c r="F51" s="205"/>
      <c r="G51" s="57">
        <v>5</v>
      </c>
      <c r="H51" s="201" t="s">
        <v>231</v>
      </c>
      <c r="I51" s="16" t="s">
        <v>232</v>
      </c>
      <c r="J51" s="60">
        <v>1</v>
      </c>
      <c r="K51" s="58"/>
      <c r="L51" s="65">
        <v>5</v>
      </c>
    </row>
    <row r="52" ht="15" spans="1:12">
      <c r="A52" s="202"/>
      <c r="B52" s="56"/>
      <c r="C52" s="57"/>
      <c r="D52" s="57"/>
      <c r="E52" s="206"/>
      <c r="F52" s="205"/>
      <c r="G52" s="57">
        <v>6</v>
      </c>
      <c r="H52" s="201" t="s">
        <v>233</v>
      </c>
      <c r="I52" s="16" t="s">
        <v>66</v>
      </c>
      <c r="J52" s="60"/>
      <c r="K52" s="58"/>
      <c r="L52" s="65"/>
    </row>
    <row r="53" ht="15" spans="1:12">
      <c r="A53" s="202"/>
      <c r="B53" s="56"/>
      <c r="C53" s="57"/>
      <c r="D53" s="57"/>
      <c r="E53" s="35" t="s">
        <v>168</v>
      </c>
      <c r="F53" s="35"/>
      <c r="G53" s="35"/>
      <c r="H53" s="35"/>
      <c r="I53" s="35"/>
      <c r="J53" s="43"/>
      <c r="K53" s="38"/>
      <c r="L53" s="39">
        <f>SUM(L47:L52)</f>
        <v>21</v>
      </c>
    </row>
    <row r="54" ht="15.6" spans="1:12">
      <c r="A54" s="202"/>
      <c r="B54" s="56"/>
      <c r="C54" s="57"/>
      <c r="D54" s="57"/>
      <c r="E54" s="58" t="s">
        <v>169</v>
      </c>
      <c r="F54" s="58"/>
      <c r="G54" s="58"/>
      <c r="H54" s="63"/>
      <c r="I54" s="57"/>
      <c r="J54" s="64"/>
      <c r="K54" s="58"/>
      <c r="L54" s="65"/>
    </row>
    <row r="55" ht="15" spans="1:12">
      <c r="A55" s="209"/>
      <c r="B55" s="56"/>
      <c r="C55" s="57"/>
      <c r="D55" s="57"/>
      <c r="E55" s="58"/>
      <c r="F55" s="58"/>
      <c r="G55" s="58"/>
      <c r="H55" s="61"/>
      <c r="I55" s="58"/>
      <c r="J55" s="64"/>
      <c r="K55" s="58"/>
      <c r="L55" s="65"/>
    </row>
  </sheetData>
  <mergeCells count="61">
    <mergeCell ref="E4:H4"/>
    <mergeCell ref="E8:H8"/>
    <mergeCell ref="E19:H19"/>
    <mergeCell ref="E29:H29"/>
    <mergeCell ref="E37:H37"/>
    <mergeCell ref="E44:H44"/>
    <mergeCell ref="E53:H53"/>
    <mergeCell ref="A2:A6"/>
    <mergeCell ref="A7:A10"/>
    <mergeCell ref="A11:A21"/>
    <mergeCell ref="A22:A31"/>
    <mergeCell ref="A32:A39"/>
    <mergeCell ref="A40:A46"/>
    <mergeCell ref="A47:A55"/>
    <mergeCell ref="B2:B6"/>
    <mergeCell ref="B7:B10"/>
    <mergeCell ref="B11:B21"/>
    <mergeCell ref="B22:B31"/>
    <mergeCell ref="B32:B39"/>
    <mergeCell ref="B40:B46"/>
    <mergeCell ref="B47:B55"/>
    <mergeCell ref="C2:C6"/>
    <mergeCell ref="C7:C10"/>
    <mergeCell ref="C11:C21"/>
    <mergeCell ref="C22:C31"/>
    <mergeCell ref="C32:C39"/>
    <mergeCell ref="C40:C46"/>
    <mergeCell ref="C47:C55"/>
    <mergeCell ref="D2:D6"/>
    <mergeCell ref="D7:D10"/>
    <mergeCell ref="D11:D21"/>
    <mergeCell ref="D22:D31"/>
    <mergeCell ref="D32:D39"/>
    <mergeCell ref="D40:D46"/>
    <mergeCell ref="D47:D55"/>
    <mergeCell ref="E2:E3"/>
    <mergeCell ref="E5:E6"/>
    <mergeCell ref="E9:E10"/>
    <mergeCell ref="E11:E18"/>
    <mergeCell ref="E20:E21"/>
    <mergeCell ref="E22:E28"/>
    <mergeCell ref="E30:E31"/>
    <mergeCell ref="E32:E35"/>
    <mergeCell ref="E38:E39"/>
    <mergeCell ref="E40:E43"/>
    <mergeCell ref="E45:E46"/>
    <mergeCell ref="E47:E52"/>
    <mergeCell ref="E54:E55"/>
    <mergeCell ref="F2:F3"/>
    <mergeCell ref="F5:F6"/>
    <mergeCell ref="F9:F10"/>
    <mergeCell ref="F11:F18"/>
    <mergeCell ref="F20:F21"/>
    <mergeCell ref="F22:F28"/>
    <mergeCell ref="F30:F31"/>
    <mergeCell ref="F32:F35"/>
    <mergeCell ref="F38:F39"/>
    <mergeCell ref="F40:F43"/>
    <mergeCell ref="F45:F46"/>
    <mergeCell ref="F47:F52"/>
    <mergeCell ref="F54:F5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8"/>
  <sheetViews>
    <sheetView workbookViewId="0">
      <pane ySplit="1" topLeftCell="A2" activePane="bottomLeft" state="frozen"/>
      <selection/>
      <selection pane="bottomLeft" activeCell="G8" sqref="G8"/>
    </sheetView>
  </sheetViews>
  <sheetFormatPr defaultColWidth="9.13888888888889" defaultRowHeight="13.2"/>
  <cols>
    <col min="1" max="1" width="22.4259259259259" style="134" customWidth="1"/>
    <col min="2" max="2" width="11.712962962963" style="134" customWidth="1"/>
    <col min="3" max="7" width="9.13888888888889" style="134"/>
    <col min="8" max="8" width="59.712962962963" style="134" customWidth="1"/>
    <col min="9" max="11" width="9.13888888888889" style="134"/>
    <col min="12" max="12" width="19.5740740740741" style="135" customWidth="1"/>
    <col min="13" max="16384" width="9.13888888888889" style="134"/>
  </cols>
  <sheetData>
    <row r="1" ht="69.6" spans="1:26">
      <c r="A1" s="55" t="s">
        <v>141</v>
      </c>
      <c r="B1" s="136" t="s">
        <v>6</v>
      </c>
      <c r="C1" s="55" t="s">
        <v>142</v>
      </c>
      <c r="D1" s="55" t="s">
        <v>143</v>
      </c>
      <c r="E1" s="136" t="s">
        <v>144</v>
      </c>
      <c r="F1" s="55" t="s">
        <v>145</v>
      </c>
      <c r="G1" s="55" t="s">
        <v>1</v>
      </c>
      <c r="H1" s="137" t="s">
        <v>146</v>
      </c>
      <c r="I1" s="55" t="s">
        <v>147</v>
      </c>
      <c r="J1" s="138" t="s">
        <v>148</v>
      </c>
      <c r="K1" s="55" t="s">
        <v>149</v>
      </c>
      <c r="L1" s="139" t="s">
        <v>150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30" customHeight="1" spans="1:26">
      <c r="A2" s="55" t="s">
        <v>234</v>
      </c>
      <c r="B2" s="56" t="s">
        <v>62</v>
      </c>
      <c r="C2" s="60">
        <v>1</v>
      </c>
      <c r="D2" s="57"/>
      <c r="E2" s="58" t="s">
        <v>153</v>
      </c>
      <c r="F2" s="57" t="s">
        <v>180</v>
      </c>
      <c r="G2" s="57">
        <v>1</v>
      </c>
      <c r="H2" s="61" t="s">
        <v>235</v>
      </c>
      <c r="I2" s="16" t="s">
        <v>236</v>
      </c>
      <c r="J2" s="60">
        <v>0.95</v>
      </c>
      <c r="K2" s="58"/>
      <c r="L2" s="56">
        <v>9</v>
      </c>
    </row>
    <row r="3" ht="27" customHeight="1" spans="1:26">
      <c r="A3" s="55"/>
      <c r="B3" s="56"/>
      <c r="C3" s="57"/>
      <c r="D3" s="57"/>
      <c r="E3" s="35" t="s">
        <v>168</v>
      </c>
      <c r="F3" s="35"/>
      <c r="G3" s="35"/>
      <c r="H3" s="35"/>
      <c r="I3" s="35"/>
      <c r="J3" s="43"/>
      <c r="K3" s="38"/>
      <c r="L3" s="39">
        <f>SUM(L2)</f>
        <v>9</v>
      </c>
    </row>
    <row r="4" ht="46" customHeight="1" spans="1:26">
      <c r="A4" s="55"/>
      <c r="B4" s="56"/>
      <c r="C4" s="57"/>
      <c r="D4" s="57"/>
      <c r="E4" s="58" t="s">
        <v>169</v>
      </c>
      <c r="F4" s="58" t="s">
        <v>180</v>
      </c>
      <c r="G4" s="58">
        <v>1</v>
      </c>
      <c r="H4" s="63" t="s">
        <v>237</v>
      </c>
      <c r="I4" s="57" t="s">
        <v>236</v>
      </c>
      <c r="J4" s="64"/>
      <c r="K4" s="58"/>
      <c r="L4" s="65"/>
    </row>
    <row r="5" ht="30" spans="1:26">
      <c r="A5" s="197" t="s">
        <v>238</v>
      </c>
      <c r="B5" s="198" t="s">
        <v>66</v>
      </c>
      <c r="C5" s="199">
        <v>0.85</v>
      </c>
      <c r="D5" s="159"/>
      <c r="E5" s="200" t="s">
        <v>153</v>
      </c>
      <c r="F5" s="159" t="s">
        <v>36</v>
      </c>
      <c r="G5" s="57">
        <v>1</v>
      </c>
      <c r="H5" s="201" t="s">
        <v>239</v>
      </c>
      <c r="I5" s="16" t="s">
        <v>240</v>
      </c>
      <c r="J5" s="60">
        <v>0.8</v>
      </c>
      <c r="K5" s="58"/>
      <c r="L5" s="65">
        <v>15</v>
      </c>
    </row>
    <row r="6" ht="15" spans="1:26">
      <c r="A6" s="202"/>
      <c r="B6" s="203"/>
      <c r="C6" s="204"/>
      <c r="D6" s="205"/>
      <c r="E6" s="206"/>
      <c r="F6" s="205"/>
      <c r="G6" s="57">
        <v>2</v>
      </c>
      <c r="H6" s="201" t="s">
        <v>241</v>
      </c>
      <c r="I6" s="16" t="s">
        <v>219</v>
      </c>
      <c r="J6" s="60">
        <v>0.99</v>
      </c>
      <c r="K6" s="58"/>
      <c r="L6" s="65">
        <v>1</v>
      </c>
    </row>
    <row r="7" ht="15" spans="1:26">
      <c r="A7" s="202"/>
      <c r="B7" s="203"/>
      <c r="C7" s="204"/>
      <c r="D7" s="205"/>
      <c r="E7" s="206"/>
      <c r="F7" s="205"/>
      <c r="G7" s="57">
        <v>3</v>
      </c>
      <c r="H7" s="201" t="s">
        <v>242</v>
      </c>
      <c r="I7" s="16" t="s">
        <v>243</v>
      </c>
      <c r="J7" s="60">
        <v>1</v>
      </c>
      <c r="K7" s="58"/>
      <c r="L7" s="65">
        <v>1</v>
      </c>
    </row>
    <row r="8" ht="15" spans="1:26">
      <c r="A8" s="202"/>
      <c r="B8" s="203"/>
      <c r="C8" s="204"/>
      <c r="D8" s="205"/>
      <c r="E8" s="206"/>
      <c r="F8" s="205"/>
      <c r="G8" s="57">
        <v>4</v>
      </c>
      <c r="H8" s="201" t="s">
        <v>244</v>
      </c>
      <c r="I8" s="16" t="s">
        <v>243</v>
      </c>
      <c r="J8" s="60">
        <v>1</v>
      </c>
      <c r="K8" s="58"/>
      <c r="L8" s="65">
        <v>1</v>
      </c>
    </row>
    <row r="9" ht="15" spans="1:26">
      <c r="A9" s="202"/>
      <c r="B9" s="203"/>
      <c r="C9" s="204"/>
      <c r="D9" s="205"/>
      <c r="E9" s="206"/>
      <c r="F9" s="205"/>
      <c r="G9" s="57">
        <v>5</v>
      </c>
      <c r="H9" s="201" t="s">
        <v>245</v>
      </c>
      <c r="I9" s="16" t="s">
        <v>246</v>
      </c>
      <c r="J9" s="60">
        <v>1</v>
      </c>
      <c r="K9" s="58"/>
      <c r="L9" s="65">
        <v>3</v>
      </c>
    </row>
    <row r="10" ht="15" spans="1:26">
      <c r="A10" s="202"/>
      <c r="B10" s="203"/>
      <c r="C10" s="204"/>
      <c r="D10" s="205"/>
      <c r="E10" s="35" t="s">
        <v>168</v>
      </c>
      <c r="F10" s="35"/>
      <c r="G10" s="35"/>
      <c r="H10" s="35"/>
      <c r="I10" s="35"/>
      <c r="J10" s="43"/>
      <c r="K10" s="38"/>
      <c r="L10" s="39">
        <f>SUM(L5:L9)</f>
        <v>21</v>
      </c>
    </row>
    <row r="11" ht="30" spans="1:26">
      <c r="A11" s="202"/>
      <c r="B11" s="203"/>
      <c r="C11" s="204"/>
      <c r="D11" s="205"/>
      <c r="E11" s="200" t="s">
        <v>169</v>
      </c>
      <c r="F11" s="159" t="s">
        <v>36</v>
      </c>
      <c r="G11" s="57">
        <v>1</v>
      </c>
      <c r="H11" s="201" t="s">
        <v>239</v>
      </c>
      <c r="I11" s="16" t="s">
        <v>240</v>
      </c>
      <c r="J11" s="207"/>
      <c r="K11" s="58"/>
      <c r="L11" s="65"/>
    </row>
    <row r="12" ht="18" customHeight="1" spans="1:26">
      <c r="A12" s="202"/>
      <c r="B12" s="203"/>
      <c r="C12" s="204"/>
      <c r="D12" s="205"/>
      <c r="E12" s="206"/>
      <c r="F12" s="205"/>
      <c r="G12" s="57">
        <v>2</v>
      </c>
      <c r="H12" s="201" t="s">
        <v>247</v>
      </c>
      <c r="I12" s="16" t="s">
        <v>219</v>
      </c>
      <c r="J12" s="207"/>
      <c r="K12" s="58"/>
      <c r="L12" s="65"/>
    </row>
    <row r="13" ht="18" customHeight="1" spans="1:26">
      <c r="A13" s="202"/>
      <c r="B13" s="203"/>
      <c r="C13" s="204"/>
      <c r="D13" s="205"/>
      <c r="E13" s="206"/>
      <c r="F13" s="205"/>
      <c r="G13" s="57">
        <v>3</v>
      </c>
      <c r="H13" s="201" t="s">
        <v>248</v>
      </c>
      <c r="I13" s="16" t="s">
        <v>246</v>
      </c>
      <c r="J13" s="207"/>
      <c r="K13" s="58"/>
      <c r="L13" s="65"/>
    </row>
    <row r="14" ht="15" spans="1:26">
      <c r="A14" s="55" t="s">
        <v>249</v>
      </c>
      <c r="B14" s="56" t="s">
        <v>69</v>
      </c>
      <c r="C14" s="57"/>
      <c r="D14" s="57"/>
      <c r="E14" s="58" t="s">
        <v>153</v>
      </c>
      <c r="F14" s="57" t="s">
        <v>58</v>
      </c>
      <c r="G14" s="57">
        <v>1</v>
      </c>
      <c r="H14" s="201" t="s">
        <v>250</v>
      </c>
      <c r="I14" s="16" t="s">
        <v>62</v>
      </c>
      <c r="J14" s="60">
        <v>0.95</v>
      </c>
      <c r="K14" s="58"/>
      <c r="L14" s="65">
        <v>7</v>
      </c>
    </row>
    <row r="15" ht="30" spans="1:26">
      <c r="A15" s="55"/>
      <c r="B15" s="56"/>
      <c r="C15" s="57"/>
      <c r="D15" s="57"/>
      <c r="E15" s="58"/>
      <c r="F15" s="57"/>
      <c r="G15" s="57">
        <v>2</v>
      </c>
      <c r="H15" s="61" t="s">
        <v>251</v>
      </c>
      <c r="I15" s="16" t="s">
        <v>252</v>
      </c>
      <c r="J15" s="60">
        <v>0.95</v>
      </c>
      <c r="K15" s="58"/>
      <c r="L15" s="65">
        <v>4</v>
      </c>
    </row>
    <row r="16" ht="15" spans="1:26">
      <c r="A16" s="55"/>
      <c r="B16" s="56"/>
      <c r="C16" s="57"/>
      <c r="D16" s="57"/>
      <c r="E16" s="35" t="s">
        <v>168</v>
      </c>
      <c r="F16" s="35"/>
      <c r="G16" s="35"/>
      <c r="H16" s="35"/>
      <c r="I16" s="35"/>
      <c r="J16" s="43"/>
      <c r="K16" s="38"/>
      <c r="L16" s="39">
        <f>SUM(L14:L15)</f>
        <v>11</v>
      </c>
    </row>
    <row r="17" ht="15" spans="1:12">
      <c r="A17" s="55"/>
      <c r="B17" s="56"/>
      <c r="C17" s="57"/>
      <c r="D17" s="57"/>
      <c r="E17" s="58" t="s">
        <v>169</v>
      </c>
      <c r="F17" s="58" t="s">
        <v>58</v>
      </c>
      <c r="G17" s="57">
        <v>1</v>
      </c>
      <c r="H17" s="201" t="s">
        <v>253</v>
      </c>
      <c r="I17" s="16" t="s">
        <v>62</v>
      </c>
      <c r="J17" s="64"/>
      <c r="K17" s="58"/>
      <c r="L17" s="65"/>
    </row>
    <row r="18" ht="31" customHeight="1" spans="1:12">
      <c r="A18" s="55"/>
      <c r="B18" s="56"/>
      <c r="C18" s="57"/>
      <c r="D18" s="57"/>
      <c r="E18" s="58"/>
      <c r="F18" s="58"/>
      <c r="G18" s="57">
        <v>2</v>
      </c>
      <c r="H18" s="61" t="s">
        <v>254</v>
      </c>
      <c r="I18" s="16" t="s">
        <v>252</v>
      </c>
      <c r="J18" s="64"/>
      <c r="K18" s="58"/>
      <c r="L18" s="65"/>
    </row>
  </sheetData>
  <mergeCells count="23">
    <mergeCell ref="E3:H3"/>
    <mergeCell ref="E10:H10"/>
    <mergeCell ref="E16:H16"/>
    <mergeCell ref="A2:A4"/>
    <mergeCell ref="A5:A13"/>
    <mergeCell ref="A14:A18"/>
    <mergeCell ref="B2:B4"/>
    <mergeCell ref="B5:B13"/>
    <mergeCell ref="B14:B18"/>
    <mergeCell ref="C2:C4"/>
    <mergeCell ref="C5:C13"/>
    <mergeCell ref="C14:C18"/>
    <mergeCell ref="D2:D4"/>
    <mergeCell ref="D5:D13"/>
    <mergeCell ref="D14:D18"/>
    <mergeCell ref="E5:E9"/>
    <mergeCell ref="E11:E13"/>
    <mergeCell ref="E14:E15"/>
    <mergeCell ref="E17:E18"/>
    <mergeCell ref="F5:F9"/>
    <mergeCell ref="F11:F13"/>
    <mergeCell ref="F14:F15"/>
    <mergeCell ref="F17:F1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8"/>
  <sheetViews>
    <sheetView workbookViewId="0">
      <pane ySplit="1" topLeftCell="A2" activePane="bottomLeft" state="frozen"/>
      <selection/>
      <selection pane="bottomLeft" activeCell="A8" sqref="A8:L15"/>
    </sheetView>
  </sheetViews>
  <sheetFormatPr defaultColWidth="9.13888888888889" defaultRowHeight="13.2"/>
  <cols>
    <col min="1" max="1" width="22.4259259259259" style="134" customWidth="1"/>
    <col min="2" max="2" width="11.712962962963" style="134" customWidth="1"/>
    <col min="3" max="7" width="9.13888888888889" style="134"/>
    <col min="8" max="8" width="59.712962962963" style="134" customWidth="1"/>
    <col min="9" max="11" width="9.13888888888889" style="134"/>
    <col min="12" max="12" width="19.5740740740741" style="135" customWidth="1"/>
    <col min="13" max="16384" width="9.13888888888889" style="134"/>
  </cols>
  <sheetData>
    <row r="1" ht="51.75" customHeight="1" spans="1:26">
      <c r="A1" s="55" t="s">
        <v>141</v>
      </c>
      <c r="B1" s="136" t="s">
        <v>6</v>
      </c>
      <c r="C1" s="55" t="s">
        <v>142</v>
      </c>
      <c r="D1" s="55" t="s">
        <v>143</v>
      </c>
      <c r="E1" s="136" t="s">
        <v>144</v>
      </c>
      <c r="F1" s="55" t="s">
        <v>145</v>
      </c>
      <c r="G1" s="55" t="s">
        <v>1</v>
      </c>
      <c r="H1" s="137" t="s">
        <v>146</v>
      </c>
      <c r="I1" s="55" t="s">
        <v>147</v>
      </c>
      <c r="J1" s="138" t="s">
        <v>148</v>
      </c>
      <c r="K1" s="55" t="s">
        <v>149</v>
      </c>
      <c r="L1" s="139" t="s">
        <v>150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5" spans="1:26">
      <c r="A2" s="141" t="s">
        <v>255</v>
      </c>
      <c r="B2" s="142" t="s">
        <v>73</v>
      </c>
      <c r="C2" s="143"/>
      <c r="D2" s="143"/>
      <c r="E2" s="144" t="s">
        <v>153</v>
      </c>
      <c r="F2" s="143" t="s">
        <v>36</v>
      </c>
      <c r="G2" s="145">
        <v>1</v>
      </c>
      <c r="H2" s="146" t="s">
        <v>256</v>
      </c>
      <c r="I2" s="147" t="s">
        <v>73</v>
      </c>
      <c r="J2" s="148">
        <v>1</v>
      </c>
      <c r="K2" s="143"/>
      <c r="L2" s="149">
        <v>0.5</v>
      </c>
    </row>
    <row r="3" ht="15" spans="1:26">
      <c r="A3" s="150"/>
      <c r="B3" s="151"/>
      <c r="C3" s="152"/>
      <c r="D3" s="152"/>
      <c r="E3" s="153"/>
      <c r="F3" s="152"/>
      <c r="G3" s="57">
        <v>2</v>
      </c>
      <c r="H3" s="154"/>
      <c r="I3" s="155" t="s">
        <v>82</v>
      </c>
      <c r="J3" s="51">
        <v>1</v>
      </c>
      <c r="K3" s="152"/>
      <c r="L3" s="156">
        <v>1.75</v>
      </c>
    </row>
    <row r="4" ht="15" spans="1:26">
      <c r="A4" s="150"/>
      <c r="B4" s="151"/>
      <c r="C4" s="152"/>
      <c r="D4" s="152"/>
      <c r="E4" s="157"/>
      <c r="F4" s="158"/>
      <c r="G4" s="159">
        <v>3</v>
      </c>
      <c r="H4" s="160" t="s">
        <v>257</v>
      </c>
      <c r="I4" s="155" t="s">
        <v>166</v>
      </c>
      <c r="J4" s="51">
        <v>1</v>
      </c>
      <c r="K4" s="155"/>
      <c r="L4" s="156">
        <v>0.5</v>
      </c>
    </row>
    <row r="5" ht="15" spans="1:26">
      <c r="A5" s="150"/>
      <c r="B5" s="151"/>
      <c r="C5" s="152"/>
      <c r="D5" s="152"/>
      <c r="E5" s="161" t="s">
        <v>168</v>
      </c>
      <c r="F5" s="162"/>
      <c r="G5" s="162"/>
      <c r="H5" s="163"/>
      <c r="I5" s="164"/>
      <c r="J5" s="165"/>
      <c r="K5" s="166"/>
      <c r="L5" s="167">
        <f>SUM(L2:L4)</f>
        <v>2.75</v>
      </c>
    </row>
    <row r="6" ht="15.6" spans="1:26">
      <c r="A6" s="150"/>
      <c r="B6" s="151"/>
      <c r="C6" s="152"/>
      <c r="D6" s="152"/>
      <c r="E6" s="144" t="s">
        <v>169</v>
      </c>
      <c r="F6" s="168" t="s">
        <v>36</v>
      </c>
      <c r="G6" s="145">
        <v>1</v>
      </c>
      <c r="H6" s="169"/>
      <c r="I6" s="152"/>
      <c r="J6" s="170"/>
      <c r="K6" s="153"/>
      <c r="L6" s="156"/>
    </row>
    <row r="7" ht="15.6" spans="1:26">
      <c r="A7" s="150"/>
      <c r="B7" s="151"/>
      <c r="C7" s="152"/>
      <c r="D7" s="152"/>
      <c r="E7" s="153"/>
      <c r="F7" s="171"/>
      <c r="G7" s="57">
        <v>2</v>
      </c>
      <c r="H7" s="172"/>
      <c r="I7" s="153"/>
      <c r="J7" s="170"/>
      <c r="K7" s="153"/>
      <c r="L7" s="156"/>
    </row>
    <row r="8" ht="15" spans="1:26">
      <c r="A8" s="141" t="s">
        <v>258</v>
      </c>
      <c r="B8" s="142" t="s">
        <v>73</v>
      </c>
      <c r="C8" s="143"/>
      <c r="D8" s="143"/>
      <c r="E8" s="144" t="s">
        <v>153</v>
      </c>
      <c r="F8" s="143" t="s">
        <v>36</v>
      </c>
      <c r="G8" s="57">
        <v>1</v>
      </c>
      <c r="H8" s="173" t="s">
        <v>259</v>
      </c>
      <c r="I8" s="174" t="s">
        <v>260</v>
      </c>
      <c r="J8" s="51">
        <v>1</v>
      </c>
      <c r="K8" s="152"/>
      <c r="L8" s="156">
        <v>0.5</v>
      </c>
    </row>
    <row r="9" ht="15" spans="1:26">
      <c r="A9" s="141"/>
      <c r="B9" s="142"/>
      <c r="C9" s="143"/>
      <c r="D9" s="143"/>
      <c r="E9" s="144"/>
      <c r="F9" s="143"/>
      <c r="G9" s="57">
        <v>2</v>
      </c>
      <c r="H9" s="175"/>
      <c r="I9" s="174" t="s">
        <v>82</v>
      </c>
      <c r="J9" s="51">
        <v>1</v>
      </c>
      <c r="K9" s="152"/>
      <c r="L9" s="156">
        <v>2.87</v>
      </c>
    </row>
    <row r="10" ht="44" customHeight="1" spans="1:26">
      <c r="A10" s="141"/>
      <c r="B10" s="142"/>
      <c r="C10" s="143"/>
      <c r="D10" s="143"/>
      <c r="E10" s="144"/>
      <c r="F10" s="143"/>
      <c r="G10" s="57">
        <v>3</v>
      </c>
      <c r="H10" s="176"/>
      <c r="I10" s="174" t="s">
        <v>261</v>
      </c>
      <c r="J10" s="51">
        <v>0.5</v>
      </c>
      <c r="K10" s="152"/>
      <c r="L10" s="156">
        <v>0.5</v>
      </c>
    </row>
    <row r="11" ht="15" spans="1:26">
      <c r="A11" s="141"/>
      <c r="B11" s="142"/>
      <c r="C11" s="143"/>
      <c r="D11" s="143"/>
      <c r="E11" s="144"/>
      <c r="F11" s="143"/>
      <c r="G11" s="57">
        <v>4</v>
      </c>
      <c r="H11" s="177"/>
      <c r="I11" s="174"/>
      <c r="J11" s="51"/>
      <c r="K11" s="152"/>
      <c r="L11" s="156"/>
    </row>
    <row r="12" ht="15" spans="1:26">
      <c r="A12" s="141"/>
      <c r="B12" s="142"/>
      <c r="C12" s="143"/>
      <c r="D12" s="143"/>
      <c r="E12" s="144"/>
      <c r="F12" s="143"/>
      <c r="G12" s="57">
        <v>5</v>
      </c>
      <c r="H12" s="178"/>
      <c r="I12" s="174"/>
      <c r="J12" s="51"/>
      <c r="K12" s="152"/>
      <c r="L12" s="156"/>
    </row>
    <row r="13" ht="15" spans="1:26">
      <c r="A13" s="141"/>
      <c r="B13" s="142"/>
      <c r="C13" s="143"/>
      <c r="D13" s="143"/>
      <c r="E13" s="179" t="s">
        <v>168</v>
      </c>
      <c r="F13" s="179"/>
      <c r="G13" s="179"/>
      <c r="H13" s="179"/>
      <c r="I13" s="179"/>
      <c r="J13" s="165"/>
      <c r="K13" s="166"/>
      <c r="L13" s="167">
        <f>SUM(L8:L12)</f>
        <v>3.87</v>
      </c>
    </row>
    <row r="14" ht="15" spans="1:26">
      <c r="A14" s="141"/>
      <c r="B14" s="142"/>
      <c r="C14" s="143"/>
      <c r="D14" s="143"/>
      <c r="E14" s="153" t="s">
        <v>169</v>
      </c>
      <c r="F14" s="153" t="s">
        <v>36</v>
      </c>
      <c r="G14" s="57">
        <v>1</v>
      </c>
      <c r="H14" s="180"/>
      <c r="I14" s="174"/>
      <c r="J14" s="181"/>
      <c r="K14" s="153"/>
      <c r="L14" s="156"/>
    </row>
    <row r="15" ht="15" spans="1:26">
      <c r="A15" s="141"/>
      <c r="B15" s="142"/>
      <c r="C15" s="143"/>
      <c r="D15" s="143"/>
      <c r="E15" s="153"/>
      <c r="F15" s="153"/>
      <c r="G15" s="57">
        <v>2</v>
      </c>
      <c r="H15" s="180"/>
      <c r="I15" s="174"/>
      <c r="J15" s="181"/>
      <c r="K15" s="153"/>
      <c r="L15" s="156"/>
    </row>
    <row r="16" ht="15" spans="1:26">
      <c r="A16" s="150" t="s">
        <v>262</v>
      </c>
      <c r="B16" s="151" t="s">
        <v>73</v>
      </c>
      <c r="C16" s="152"/>
      <c r="D16" s="152"/>
      <c r="E16" s="157" t="s">
        <v>153</v>
      </c>
      <c r="F16" s="158" t="s">
        <v>36</v>
      </c>
      <c r="G16" s="57">
        <v>1</v>
      </c>
      <c r="H16" s="182" t="s">
        <v>263</v>
      </c>
      <c r="I16" s="174" t="s">
        <v>261</v>
      </c>
      <c r="J16" s="51">
        <v>0.6</v>
      </c>
      <c r="K16" s="152"/>
      <c r="L16" s="156">
        <v>4.5</v>
      </c>
    </row>
    <row r="17" ht="37" customHeight="1" spans="1:12">
      <c r="A17" s="150"/>
      <c r="B17" s="151"/>
      <c r="C17" s="152"/>
      <c r="D17" s="152"/>
      <c r="E17" s="157"/>
      <c r="F17" s="158"/>
      <c r="G17" s="57">
        <v>2</v>
      </c>
      <c r="H17" s="15"/>
      <c r="I17" s="174" t="s">
        <v>260</v>
      </c>
      <c r="J17" s="51">
        <v>0.6</v>
      </c>
      <c r="K17" s="152"/>
      <c r="L17" s="156">
        <v>4.5</v>
      </c>
    </row>
    <row r="18" ht="15" spans="1:12">
      <c r="A18" s="150"/>
      <c r="B18" s="151"/>
      <c r="C18" s="152"/>
      <c r="D18" s="152"/>
      <c r="E18" s="157"/>
      <c r="F18" s="158"/>
      <c r="G18" s="57">
        <v>3</v>
      </c>
      <c r="H18" s="49" t="s">
        <v>264</v>
      </c>
      <c r="I18" s="174" t="s">
        <v>73</v>
      </c>
      <c r="J18" s="51">
        <v>1</v>
      </c>
      <c r="K18" s="152"/>
      <c r="L18" s="156">
        <v>3.5</v>
      </c>
    </row>
    <row r="19" ht="36" customHeight="1" spans="1:12">
      <c r="A19" s="150"/>
      <c r="B19" s="151"/>
      <c r="C19" s="152"/>
      <c r="D19" s="152"/>
      <c r="E19" s="157"/>
      <c r="F19" s="158"/>
      <c r="G19" s="57">
        <v>4</v>
      </c>
      <c r="H19" s="183"/>
      <c r="I19" s="174" t="s">
        <v>265</v>
      </c>
      <c r="J19" s="51">
        <v>1</v>
      </c>
      <c r="K19" s="152"/>
      <c r="L19" s="156">
        <v>5</v>
      </c>
    </row>
    <row r="20" ht="15" spans="1:12">
      <c r="A20" s="150"/>
      <c r="B20" s="151"/>
      <c r="C20" s="152"/>
      <c r="D20" s="152"/>
      <c r="E20" s="179" t="s">
        <v>168</v>
      </c>
      <c r="F20" s="179"/>
      <c r="G20" s="179"/>
      <c r="H20" s="179"/>
      <c r="I20" s="179"/>
      <c r="J20" s="165"/>
      <c r="K20" s="166"/>
      <c r="L20" s="167">
        <f>SUM(L16:L19)</f>
        <v>17.5</v>
      </c>
    </row>
    <row r="21" ht="15" spans="1:12">
      <c r="A21" s="150"/>
      <c r="B21" s="151"/>
      <c r="C21" s="152"/>
      <c r="D21" s="152"/>
      <c r="E21" s="153" t="s">
        <v>169</v>
      </c>
      <c r="F21" s="153" t="s">
        <v>36</v>
      </c>
      <c r="G21" s="57">
        <v>1</v>
      </c>
      <c r="H21" s="180"/>
      <c r="I21" s="174"/>
      <c r="J21" s="181"/>
      <c r="K21" s="153"/>
      <c r="L21" s="156"/>
    </row>
    <row r="22" ht="15" spans="1:12">
      <c r="A22" s="150"/>
      <c r="B22" s="151"/>
      <c r="C22" s="152"/>
      <c r="D22" s="152"/>
      <c r="E22" s="153"/>
      <c r="F22" s="153"/>
      <c r="G22" s="57">
        <v>2</v>
      </c>
      <c r="H22" s="184"/>
      <c r="I22" s="174"/>
      <c r="J22" s="181"/>
      <c r="K22" s="153"/>
      <c r="L22" s="156"/>
    </row>
    <row r="23" ht="15" spans="1:12">
      <c r="A23" s="185" t="s">
        <v>266</v>
      </c>
      <c r="B23" s="186" t="s">
        <v>82</v>
      </c>
      <c r="C23" s="187"/>
      <c r="D23" s="187"/>
      <c r="E23" s="188" t="s">
        <v>153</v>
      </c>
      <c r="F23" s="187" t="s">
        <v>36</v>
      </c>
      <c r="G23" s="57">
        <v>1</v>
      </c>
      <c r="H23" s="189"/>
      <c r="I23" s="174"/>
      <c r="J23" s="41"/>
      <c r="K23" s="190"/>
      <c r="L23" s="44"/>
    </row>
    <row r="24" ht="15" spans="1:12">
      <c r="A24" s="185"/>
      <c r="B24" s="186"/>
      <c r="C24" s="187"/>
      <c r="D24" s="187"/>
      <c r="E24" s="188"/>
      <c r="F24" s="187"/>
      <c r="G24" s="57">
        <v>2</v>
      </c>
      <c r="H24" s="175"/>
      <c r="I24" s="174"/>
      <c r="J24" s="41"/>
      <c r="K24" s="190"/>
      <c r="L24" s="44"/>
    </row>
    <row r="25" ht="15" spans="1:12">
      <c r="A25" s="185"/>
      <c r="B25" s="186"/>
      <c r="C25" s="187"/>
      <c r="D25" s="187"/>
      <c r="E25" s="188"/>
      <c r="F25" s="187"/>
      <c r="G25" s="57">
        <v>3</v>
      </c>
      <c r="H25" s="191"/>
      <c r="I25" s="174"/>
      <c r="J25" s="41"/>
      <c r="K25" s="190"/>
      <c r="L25" s="44"/>
    </row>
    <row r="26" ht="15" spans="1:12">
      <c r="A26" s="185"/>
      <c r="B26" s="186"/>
      <c r="C26" s="187"/>
      <c r="D26" s="187"/>
      <c r="E26" s="192" t="s">
        <v>168</v>
      </c>
      <c r="F26" s="162"/>
      <c r="G26" s="162"/>
      <c r="H26" s="193"/>
      <c r="I26" s="43"/>
      <c r="J26" s="43"/>
      <c r="K26" s="194"/>
      <c r="L26" s="39">
        <f>SUM(L23:L25)</f>
        <v>0</v>
      </c>
    </row>
    <row r="27" ht="15" spans="1:12">
      <c r="A27" s="185"/>
      <c r="B27" s="186"/>
      <c r="C27" s="187"/>
      <c r="D27" s="187"/>
      <c r="E27" s="188" t="s">
        <v>169</v>
      </c>
      <c r="F27" s="188" t="s">
        <v>36</v>
      </c>
      <c r="G27" s="57">
        <v>1</v>
      </c>
      <c r="H27" s="195"/>
      <c r="I27" s="174"/>
      <c r="J27" s="41"/>
      <c r="K27" s="188"/>
      <c r="L27" s="44"/>
    </row>
    <row r="28" ht="15" spans="1:12">
      <c r="A28" s="185"/>
      <c r="B28" s="186"/>
      <c r="C28" s="187"/>
      <c r="D28" s="187"/>
      <c r="E28" s="188"/>
      <c r="F28" s="188"/>
      <c r="G28" s="57">
        <v>2</v>
      </c>
      <c r="H28" s="196"/>
      <c r="I28" s="174"/>
      <c r="J28" s="41"/>
      <c r="K28" s="188"/>
      <c r="L28" s="44"/>
    </row>
  </sheetData>
  <mergeCells count="41">
    <mergeCell ref="E5:H5"/>
    <mergeCell ref="E13:H13"/>
    <mergeCell ref="E20:H20"/>
    <mergeCell ref="E26:H26"/>
    <mergeCell ref="A2:A7"/>
    <mergeCell ref="A8:A15"/>
    <mergeCell ref="A16:A22"/>
    <mergeCell ref="A23:A28"/>
    <mergeCell ref="B2:B7"/>
    <mergeCell ref="B8:B15"/>
    <mergeCell ref="B16:B22"/>
    <mergeCell ref="B23:B28"/>
    <mergeCell ref="C2:C7"/>
    <mergeCell ref="C8:C15"/>
    <mergeCell ref="C16:C22"/>
    <mergeCell ref="C23:C28"/>
    <mergeCell ref="D2:D7"/>
    <mergeCell ref="D8:D15"/>
    <mergeCell ref="D16:D22"/>
    <mergeCell ref="D23:D28"/>
    <mergeCell ref="E2:E4"/>
    <mergeCell ref="E6:E7"/>
    <mergeCell ref="E8:E12"/>
    <mergeCell ref="E14:E15"/>
    <mergeCell ref="E16:E19"/>
    <mergeCell ref="E21:E22"/>
    <mergeCell ref="E23:E25"/>
    <mergeCell ref="E27:E28"/>
    <mergeCell ref="F2:F4"/>
    <mergeCell ref="F6:F7"/>
    <mergeCell ref="F8:F12"/>
    <mergeCell ref="F14:F15"/>
    <mergeCell ref="F16:F19"/>
    <mergeCell ref="F21:F22"/>
    <mergeCell ref="F23:F25"/>
    <mergeCell ref="F27:F28"/>
    <mergeCell ref="H2:H3"/>
    <mergeCell ref="H8:H10"/>
    <mergeCell ref="H16:H17"/>
    <mergeCell ref="H18:H19"/>
    <mergeCell ref="H23:H2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9"/>
  <sheetViews>
    <sheetView workbookViewId="0">
      <pane ySplit="1" topLeftCell="A2" activePane="bottomLeft" state="frozen"/>
      <selection/>
      <selection pane="bottomLeft" activeCell="K11" sqref="K11"/>
    </sheetView>
  </sheetViews>
  <sheetFormatPr defaultColWidth="9.16666666666667" defaultRowHeight="13.2"/>
  <cols>
    <col min="1" max="1" width="22.4166666666667" style="111" customWidth="1"/>
    <col min="2" max="2" width="11.75" style="111" customWidth="1"/>
    <col min="3" max="7" width="9.16666666666667" style="111"/>
    <col min="8" max="8" width="59.75" style="111" customWidth="1"/>
    <col min="9" max="11" width="9.16666666666667" style="111"/>
    <col min="12" max="12" width="19.5833333333333" style="112" customWidth="1"/>
    <col min="13" max="16384" width="9.16666666666667" style="111"/>
  </cols>
  <sheetData>
    <row r="1" ht="69.6" spans="1:26">
      <c r="A1" s="113" t="s">
        <v>141</v>
      </c>
      <c r="B1" s="114" t="s">
        <v>6</v>
      </c>
      <c r="C1" s="113" t="s">
        <v>142</v>
      </c>
      <c r="D1" s="113" t="s">
        <v>143</v>
      </c>
      <c r="E1" s="114" t="s">
        <v>144</v>
      </c>
      <c r="F1" s="113" t="s">
        <v>145</v>
      </c>
      <c r="G1" s="113" t="s">
        <v>1</v>
      </c>
      <c r="H1" s="115" t="s">
        <v>146</v>
      </c>
      <c r="I1" s="113" t="s">
        <v>147</v>
      </c>
      <c r="J1" s="116" t="s">
        <v>148</v>
      </c>
      <c r="K1" s="113" t="s">
        <v>149</v>
      </c>
      <c r="L1" s="117" t="s">
        <v>150</v>
      </c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30" customHeight="1" spans="1:26">
      <c r="A2" s="113" t="s">
        <v>89</v>
      </c>
      <c r="B2" s="119" t="s">
        <v>87</v>
      </c>
      <c r="C2" s="120"/>
      <c r="D2" s="121"/>
      <c r="E2" s="122" t="s">
        <v>153</v>
      </c>
      <c r="F2" s="123" t="s">
        <v>180</v>
      </c>
      <c r="G2" s="121">
        <v>1</v>
      </c>
      <c r="H2" s="124" t="s">
        <v>267</v>
      </c>
      <c r="I2" s="125" t="s">
        <v>87</v>
      </c>
      <c r="J2" s="120">
        <v>0.9</v>
      </c>
      <c r="K2" s="126"/>
      <c r="L2" s="119">
        <v>7</v>
      </c>
    </row>
    <row r="3" ht="27" customHeight="1" spans="1:26">
      <c r="A3" s="113"/>
      <c r="B3" s="119"/>
      <c r="C3" s="121"/>
      <c r="D3" s="121"/>
      <c r="E3" s="127" t="s">
        <v>168</v>
      </c>
      <c r="F3" s="127"/>
      <c r="G3" s="127"/>
      <c r="H3" s="127"/>
      <c r="I3" s="127"/>
      <c r="J3" s="128"/>
      <c r="K3" s="129"/>
      <c r="L3" s="130">
        <f>SUM(L2)</f>
        <v>7</v>
      </c>
    </row>
    <row r="4" ht="25.5" customHeight="1" spans="1:26">
      <c r="A4" s="113"/>
      <c r="B4" s="119"/>
      <c r="C4" s="121"/>
      <c r="D4" s="121"/>
      <c r="E4" s="126" t="s">
        <v>169</v>
      </c>
      <c r="F4" s="126" t="s">
        <v>180</v>
      </c>
      <c r="G4" s="126">
        <v>1</v>
      </c>
      <c r="H4" s="124" t="s">
        <v>268</v>
      </c>
      <c r="I4" s="121" t="s">
        <v>87</v>
      </c>
      <c r="J4" s="131">
        <v>1</v>
      </c>
      <c r="K4" s="126"/>
      <c r="L4" s="132"/>
    </row>
    <row r="5" ht="26" customHeight="1" spans="1:26">
      <c r="A5" s="113" t="s">
        <v>269</v>
      </c>
      <c r="B5" s="119" t="s">
        <v>87</v>
      </c>
      <c r="C5" s="121"/>
      <c r="D5" s="121"/>
      <c r="E5" s="126" t="s">
        <v>153</v>
      </c>
      <c r="F5" s="121" t="s">
        <v>180</v>
      </c>
      <c r="G5" s="121">
        <v>1</v>
      </c>
      <c r="H5" s="133" t="s">
        <v>270</v>
      </c>
      <c r="I5" s="125" t="s">
        <v>271</v>
      </c>
      <c r="J5" s="120"/>
      <c r="K5" s="126"/>
      <c r="L5" s="132">
        <v>5</v>
      </c>
    </row>
    <row r="6" ht="26" customHeight="1" spans="1:26">
      <c r="A6" s="113"/>
      <c r="B6" s="119"/>
      <c r="C6" s="121"/>
      <c r="D6" s="121"/>
      <c r="E6" s="126"/>
      <c r="F6" s="121" t="s">
        <v>30</v>
      </c>
      <c r="G6" s="121">
        <v>2</v>
      </c>
      <c r="H6" s="133" t="s">
        <v>272</v>
      </c>
      <c r="I6" s="121" t="s">
        <v>87</v>
      </c>
      <c r="J6" s="120">
        <v>1</v>
      </c>
      <c r="K6" s="126"/>
      <c r="L6" s="132">
        <v>3</v>
      </c>
    </row>
    <row r="7" ht="15" spans="1:26">
      <c r="A7" s="113"/>
      <c r="B7" s="119"/>
      <c r="C7" s="121"/>
      <c r="D7" s="121"/>
      <c r="E7" s="127" t="s">
        <v>168</v>
      </c>
      <c r="F7" s="127"/>
      <c r="G7" s="127"/>
      <c r="H7" s="127"/>
      <c r="I7" s="127"/>
      <c r="J7" s="128"/>
      <c r="K7" s="129"/>
      <c r="L7" s="130">
        <f>SUM(L5:L6)</f>
        <v>8</v>
      </c>
    </row>
    <row r="8" ht="22.5" customHeight="1" spans="1:26">
      <c r="A8" s="113"/>
      <c r="B8" s="119"/>
      <c r="C8" s="121"/>
      <c r="D8" s="121"/>
      <c r="E8" s="126" t="s">
        <v>169</v>
      </c>
      <c r="F8" s="126" t="s">
        <v>58</v>
      </c>
      <c r="G8" s="121">
        <v>1</v>
      </c>
      <c r="H8" s="133" t="s">
        <v>270</v>
      </c>
      <c r="I8" s="125" t="s">
        <v>271</v>
      </c>
      <c r="J8" s="131"/>
      <c r="K8" s="126"/>
      <c r="L8" s="132"/>
    </row>
    <row r="9" ht="22.5" customHeight="1" spans="1:26">
      <c r="A9" s="113"/>
      <c r="B9" s="119"/>
      <c r="C9" s="121"/>
      <c r="D9" s="121"/>
      <c r="E9" s="126"/>
      <c r="F9" s="121" t="s">
        <v>30</v>
      </c>
      <c r="G9" s="121">
        <v>2</v>
      </c>
      <c r="H9" s="133" t="s">
        <v>273</v>
      </c>
      <c r="I9" s="121" t="s">
        <v>87</v>
      </c>
      <c r="J9" s="131"/>
      <c r="K9" s="126"/>
      <c r="L9" s="132"/>
    </row>
  </sheetData>
  <mergeCells count="11">
    <mergeCell ref="E3:H3"/>
    <mergeCell ref="E7:H7"/>
    <mergeCell ref="A2:A4"/>
    <mergeCell ref="A5:A8"/>
    <mergeCell ref="B2:B4"/>
    <mergeCell ref="B5:B8"/>
    <mergeCell ref="C2:C4"/>
    <mergeCell ref="C5:C8"/>
    <mergeCell ref="D2:D4"/>
    <mergeCell ref="D5:D8"/>
    <mergeCell ref="E5:E6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7"/>
  <sheetViews>
    <sheetView workbookViewId="0">
      <pane ySplit="1" topLeftCell="A2" activePane="bottomLeft" state="frozen"/>
      <selection/>
      <selection pane="bottomLeft" activeCell="H22" sqref="H22"/>
    </sheetView>
  </sheetViews>
  <sheetFormatPr defaultColWidth="9.13888888888889" defaultRowHeight="13.2"/>
  <cols>
    <col min="1" max="1" width="22.4259259259259" style="66" customWidth="1"/>
    <col min="2" max="2" width="11.712962962963" style="66" customWidth="1"/>
    <col min="3" max="5" width="9.13888888888889" style="66"/>
    <col min="6" max="6" width="23.287037037037" style="66" customWidth="1"/>
    <col min="7" max="7" width="9.13888888888889" style="66"/>
    <col min="8" max="8" width="59.712962962963" style="66" customWidth="1"/>
    <col min="9" max="11" width="9.13888888888889" style="66"/>
    <col min="12" max="12" width="19.5740740740741" style="67" customWidth="1"/>
    <col min="13" max="16384" width="9.13888888888889" style="66"/>
  </cols>
  <sheetData>
    <row r="1" ht="62.4" spans="1:26">
      <c r="A1" s="68" t="s">
        <v>141</v>
      </c>
      <c r="B1" s="69" t="s">
        <v>6</v>
      </c>
      <c r="C1" s="68" t="s">
        <v>142</v>
      </c>
      <c r="D1" s="68" t="s">
        <v>143</v>
      </c>
      <c r="E1" s="69" t="s">
        <v>144</v>
      </c>
      <c r="F1" s="68" t="s">
        <v>145</v>
      </c>
      <c r="G1" s="68" t="s">
        <v>1</v>
      </c>
      <c r="H1" s="70" t="s">
        <v>146</v>
      </c>
      <c r="I1" s="68" t="s">
        <v>147</v>
      </c>
      <c r="J1" s="71" t="s">
        <v>148</v>
      </c>
      <c r="K1" s="68" t="s">
        <v>149</v>
      </c>
      <c r="L1" s="72" t="s">
        <v>150</v>
      </c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>
      <c r="A2" s="74" t="s">
        <v>274</v>
      </c>
      <c r="B2" s="75" t="s">
        <v>275</v>
      </c>
      <c r="C2" s="76">
        <v>10</v>
      </c>
      <c r="D2" s="76"/>
      <c r="E2" s="77" t="s">
        <v>153</v>
      </c>
      <c r="F2" s="76" t="s">
        <v>36</v>
      </c>
      <c r="G2" s="78">
        <v>1</v>
      </c>
      <c r="H2" s="79" t="s">
        <v>276</v>
      </c>
      <c r="I2" s="78" t="s">
        <v>275</v>
      </c>
      <c r="J2" s="80">
        <v>1</v>
      </c>
      <c r="K2" s="78"/>
      <c r="L2" s="81">
        <v>1.5</v>
      </c>
    </row>
    <row r="3" spans="1:26">
      <c r="A3" s="82"/>
      <c r="B3" s="83"/>
      <c r="C3" s="84"/>
      <c r="D3" s="84"/>
      <c r="E3" s="85"/>
      <c r="F3" s="84"/>
      <c r="G3" s="86">
        <v>2</v>
      </c>
      <c r="H3" s="79" t="s">
        <v>277</v>
      </c>
      <c r="I3" s="78" t="s">
        <v>275</v>
      </c>
      <c r="J3" s="80">
        <v>1</v>
      </c>
      <c r="K3" s="78"/>
      <c r="L3" s="81">
        <v>2</v>
      </c>
    </row>
    <row r="4" spans="1:26">
      <c r="A4" s="82"/>
      <c r="B4" s="83"/>
      <c r="C4" s="84"/>
      <c r="D4" s="84"/>
      <c r="E4" s="87"/>
      <c r="F4" s="88"/>
      <c r="G4" s="78">
        <v>4</v>
      </c>
      <c r="H4" s="79" t="s">
        <v>278</v>
      </c>
      <c r="I4" s="78" t="s">
        <v>275</v>
      </c>
      <c r="J4" s="80">
        <v>1</v>
      </c>
      <c r="K4" s="78"/>
      <c r="L4" s="81">
        <v>1</v>
      </c>
    </row>
    <row r="5" spans="1:26">
      <c r="A5" s="82"/>
      <c r="B5" s="83"/>
      <c r="C5" s="84"/>
      <c r="D5" s="84"/>
      <c r="E5" s="89" t="s">
        <v>168</v>
      </c>
      <c r="F5" s="90"/>
      <c r="G5" s="90"/>
      <c r="H5" s="91"/>
      <c r="I5" s="92"/>
      <c r="J5" s="93"/>
      <c r="K5" s="94"/>
      <c r="L5" s="95">
        <f>SUM(L2:L4)</f>
        <v>4.5</v>
      </c>
    </row>
    <row r="6" ht="13.8" spans="1:26">
      <c r="A6" s="82"/>
      <c r="B6" s="83"/>
      <c r="C6" s="84"/>
      <c r="D6" s="84"/>
      <c r="E6" s="96" t="s">
        <v>169</v>
      </c>
      <c r="F6" s="96" t="s">
        <v>36</v>
      </c>
      <c r="G6" s="86">
        <v>1</v>
      </c>
      <c r="H6" s="97"/>
      <c r="I6" s="78"/>
      <c r="J6" s="98"/>
      <c r="K6" s="86"/>
      <c r="L6" s="81"/>
    </row>
    <row r="7" spans="1:26">
      <c r="A7" s="99"/>
      <c r="B7" s="100"/>
      <c r="C7" s="88"/>
      <c r="D7" s="88"/>
      <c r="E7" s="87"/>
      <c r="F7" s="87"/>
      <c r="G7" s="86">
        <v>2</v>
      </c>
      <c r="H7" s="101"/>
      <c r="I7" s="86"/>
      <c r="J7" s="98"/>
      <c r="K7" s="86"/>
      <c r="L7" s="81"/>
    </row>
    <row r="8" spans="1:26">
      <c r="A8" s="102" t="s">
        <v>279</v>
      </c>
      <c r="B8" s="103"/>
      <c r="C8" s="104"/>
      <c r="D8" s="104"/>
      <c r="E8" s="96" t="s">
        <v>153</v>
      </c>
      <c r="F8" s="104" t="s">
        <v>36</v>
      </c>
      <c r="G8" s="86">
        <v>1</v>
      </c>
      <c r="H8" s="105" t="s">
        <v>280</v>
      </c>
      <c r="I8" s="106" t="s">
        <v>281</v>
      </c>
      <c r="J8" s="80">
        <v>1</v>
      </c>
      <c r="K8" s="78"/>
      <c r="L8" s="81">
        <v>1.5</v>
      </c>
    </row>
    <row r="9" spans="1:26">
      <c r="A9" s="107"/>
      <c r="B9" s="83"/>
      <c r="C9" s="84"/>
      <c r="D9" s="84"/>
      <c r="E9" s="85"/>
      <c r="F9" s="84"/>
      <c r="G9" s="86">
        <v>2</v>
      </c>
      <c r="H9" s="105" t="s">
        <v>282</v>
      </c>
      <c r="I9" s="106" t="s">
        <v>281</v>
      </c>
      <c r="J9" s="80">
        <v>1</v>
      </c>
      <c r="K9" s="78"/>
      <c r="L9" s="81">
        <v>0.5</v>
      </c>
    </row>
    <row r="10" spans="1:26">
      <c r="A10" s="107"/>
      <c r="B10" s="83"/>
      <c r="C10" s="84"/>
      <c r="D10" s="84"/>
      <c r="E10" s="85"/>
      <c r="F10" s="84"/>
      <c r="G10" s="86">
        <v>3</v>
      </c>
      <c r="H10" s="105" t="s">
        <v>283</v>
      </c>
      <c r="I10" s="106" t="s">
        <v>281</v>
      </c>
      <c r="J10" s="80">
        <v>1</v>
      </c>
      <c r="K10" s="78"/>
      <c r="L10" s="81">
        <v>1</v>
      </c>
    </row>
    <row r="11" ht="24" spans="1:26">
      <c r="A11" s="107"/>
      <c r="B11" s="83"/>
      <c r="C11" s="84"/>
      <c r="D11" s="84"/>
      <c r="E11" s="85"/>
      <c r="F11" s="84"/>
      <c r="G11" s="86">
        <v>4</v>
      </c>
      <c r="H11" s="105" t="s">
        <v>284</v>
      </c>
      <c r="I11" s="106" t="s">
        <v>281</v>
      </c>
      <c r="J11" s="80">
        <v>1</v>
      </c>
      <c r="K11" s="78"/>
      <c r="L11" s="81">
        <v>1</v>
      </c>
    </row>
    <row r="12" spans="1:26">
      <c r="A12" s="107"/>
      <c r="B12" s="83"/>
      <c r="C12" s="84"/>
      <c r="D12" s="84"/>
      <c r="E12" s="85"/>
      <c r="F12" s="84"/>
      <c r="G12" s="86">
        <v>5</v>
      </c>
      <c r="H12" s="105" t="s">
        <v>285</v>
      </c>
      <c r="I12" s="106" t="s">
        <v>281</v>
      </c>
      <c r="J12" s="80">
        <v>1</v>
      </c>
      <c r="K12" s="78"/>
      <c r="L12" s="81">
        <v>0.5</v>
      </c>
    </row>
    <row r="13" ht="24" spans="1:26">
      <c r="A13" s="107"/>
      <c r="B13" s="83"/>
      <c r="C13" s="84"/>
      <c r="D13" s="84"/>
      <c r="E13" s="85"/>
      <c r="F13" s="84"/>
      <c r="G13" s="86">
        <v>6</v>
      </c>
      <c r="H13" s="105" t="s">
        <v>286</v>
      </c>
      <c r="I13" s="106" t="s">
        <v>34</v>
      </c>
      <c r="J13" s="80">
        <v>1</v>
      </c>
      <c r="K13" s="78"/>
      <c r="L13" s="81">
        <v>0.5</v>
      </c>
    </row>
    <row r="14" ht="26.4" spans="1:26">
      <c r="A14" s="107"/>
      <c r="B14" s="83"/>
      <c r="C14" s="84"/>
      <c r="D14" s="84"/>
      <c r="E14" s="85"/>
      <c r="F14" s="84"/>
      <c r="G14" s="86">
        <v>7</v>
      </c>
      <c r="H14" s="108" t="s">
        <v>287</v>
      </c>
      <c r="I14" s="106" t="s">
        <v>288</v>
      </c>
      <c r="J14" s="80">
        <v>1</v>
      </c>
      <c r="K14" s="78"/>
      <c r="L14" s="81">
        <v>2</v>
      </c>
    </row>
    <row r="15" ht="24" spans="1:26">
      <c r="A15" s="107"/>
      <c r="B15" s="83"/>
      <c r="C15" s="84"/>
      <c r="D15" s="84"/>
      <c r="E15" s="85"/>
      <c r="F15" s="84"/>
      <c r="G15" s="86">
        <v>8</v>
      </c>
      <c r="H15" s="105" t="s">
        <v>289</v>
      </c>
      <c r="I15" s="106" t="s">
        <v>288</v>
      </c>
      <c r="J15" s="80">
        <v>1</v>
      </c>
      <c r="K15" s="78"/>
      <c r="L15" s="81">
        <v>1</v>
      </c>
    </row>
    <row r="16" spans="1:26">
      <c r="A16" s="107"/>
      <c r="B16" s="83"/>
      <c r="C16" s="84"/>
      <c r="D16" s="84"/>
      <c r="E16" s="85"/>
      <c r="F16" s="84"/>
      <c r="G16" s="86">
        <v>9</v>
      </c>
      <c r="H16" s="105" t="s">
        <v>290</v>
      </c>
      <c r="I16" s="106" t="s">
        <v>288</v>
      </c>
      <c r="J16" s="80">
        <v>1</v>
      </c>
      <c r="K16" s="78"/>
      <c r="L16" s="81">
        <v>1</v>
      </c>
    </row>
    <row r="17" spans="1:12">
      <c r="A17" s="107"/>
      <c r="B17" s="83"/>
      <c r="C17" s="84"/>
      <c r="D17" s="84"/>
      <c r="E17" s="87"/>
      <c r="F17" s="88"/>
      <c r="G17" s="86">
        <v>10</v>
      </c>
      <c r="H17" s="109"/>
      <c r="I17" s="106"/>
      <c r="J17" s="80"/>
      <c r="K17" s="78"/>
      <c r="L17" s="81"/>
    </row>
    <row r="18" spans="1:12">
      <c r="A18" s="107"/>
      <c r="B18" s="83"/>
      <c r="C18" s="84"/>
      <c r="D18" s="84"/>
      <c r="E18" s="89" t="s">
        <v>168</v>
      </c>
      <c r="F18" s="90"/>
      <c r="G18" s="90"/>
      <c r="H18" s="91"/>
      <c r="I18" s="92"/>
      <c r="J18" s="93"/>
      <c r="K18" s="94"/>
      <c r="L18" s="95">
        <v>9</v>
      </c>
    </row>
    <row r="19" spans="1:12">
      <c r="A19" s="110"/>
      <c r="B19" s="100"/>
      <c r="C19" s="88"/>
      <c r="D19" s="88"/>
      <c r="E19" s="86" t="s">
        <v>169</v>
      </c>
      <c r="F19" s="86" t="s">
        <v>36</v>
      </c>
      <c r="G19" s="86">
        <v>1</v>
      </c>
      <c r="H19" s="109"/>
      <c r="I19" s="106"/>
      <c r="J19" s="98"/>
      <c r="K19" s="86"/>
      <c r="L19" s="81"/>
    </row>
    <row r="20" ht="60" spans="1:12">
      <c r="A20" s="102" t="s">
        <v>291</v>
      </c>
      <c r="B20" s="103"/>
      <c r="C20" s="104"/>
      <c r="D20" s="104"/>
      <c r="E20" s="96" t="s">
        <v>153</v>
      </c>
      <c r="F20" s="104" t="s">
        <v>36</v>
      </c>
      <c r="G20" s="86">
        <v>1</v>
      </c>
      <c r="H20" s="105" t="s">
        <v>292</v>
      </c>
      <c r="I20" s="106" t="s">
        <v>293</v>
      </c>
      <c r="J20" s="80">
        <v>1</v>
      </c>
      <c r="K20" s="78"/>
      <c r="L20" s="81">
        <v>3.5</v>
      </c>
    </row>
    <row r="21" spans="1:12">
      <c r="A21" s="107"/>
      <c r="B21" s="83"/>
      <c r="C21" s="84"/>
      <c r="D21" s="84"/>
      <c r="E21" s="85"/>
      <c r="F21" s="84"/>
      <c r="G21" s="86">
        <v>2</v>
      </c>
      <c r="H21" s="109" t="s">
        <v>294</v>
      </c>
      <c r="I21" s="106" t="s">
        <v>295</v>
      </c>
      <c r="J21" s="80">
        <v>0.35</v>
      </c>
      <c r="K21" s="80"/>
      <c r="L21" s="81">
        <v>5</v>
      </c>
    </row>
    <row r="22" ht="60" spans="1:12">
      <c r="A22" s="107"/>
      <c r="B22" s="83"/>
      <c r="C22" s="84"/>
      <c r="D22" s="84"/>
      <c r="E22" s="85"/>
      <c r="F22" s="84"/>
      <c r="G22" s="86">
        <v>3</v>
      </c>
      <c r="H22" s="105" t="s">
        <v>296</v>
      </c>
      <c r="I22" s="106" t="s">
        <v>297</v>
      </c>
      <c r="J22" s="80">
        <v>1</v>
      </c>
      <c r="K22" s="80"/>
      <c r="L22" s="81">
        <v>3</v>
      </c>
    </row>
    <row r="23" spans="1:12">
      <c r="A23" s="107"/>
      <c r="B23" s="83"/>
      <c r="C23" s="84"/>
      <c r="D23" s="84"/>
      <c r="E23" s="85"/>
      <c r="F23" s="84"/>
      <c r="G23" s="86">
        <v>4</v>
      </c>
      <c r="H23" s="109"/>
      <c r="I23" s="106"/>
      <c r="J23" s="80"/>
      <c r="K23" s="78"/>
      <c r="L23" s="81"/>
    </row>
    <row r="24" spans="1:12">
      <c r="A24" s="107"/>
      <c r="B24" s="83"/>
      <c r="C24" s="84"/>
      <c r="D24" s="84"/>
      <c r="E24" s="85"/>
      <c r="F24" s="84"/>
      <c r="G24" s="86">
        <v>5</v>
      </c>
      <c r="H24" s="109"/>
      <c r="I24" s="106"/>
      <c r="J24" s="80"/>
      <c r="K24" s="78"/>
      <c r="L24" s="81"/>
    </row>
    <row r="25" spans="1:12">
      <c r="A25" s="107"/>
      <c r="B25" s="83"/>
      <c r="C25" s="84"/>
      <c r="D25" s="84"/>
      <c r="E25" s="87"/>
      <c r="F25" s="88"/>
      <c r="G25" s="86">
        <v>6</v>
      </c>
      <c r="H25" s="109"/>
      <c r="I25" s="106"/>
      <c r="J25" s="80"/>
      <c r="K25" s="78"/>
      <c r="L25" s="81"/>
    </row>
    <row r="26" spans="1:12">
      <c r="A26" s="107"/>
      <c r="B26" s="83"/>
      <c r="C26" s="84"/>
      <c r="D26" s="84"/>
      <c r="E26" s="89" t="s">
        <v>168</v>
      </c>
      <c r="F26" s="90"/>
      <c r="G26" s="90"/>
      <c r="H26" s="91"/>
      <c r="I26" s="92"/>
      <c r="J26" s="93"/>
      <c r="K26" s="94"/>
      <c r="L26" s="95">
        <f>SUM(L20:L25)</f>
        <v>11.5</v>
      </c>
    </row>
    <row r="27" spans="1:12">
      <c r="A27" s="110"/>
      <c r="B27" s="100"/>
      <c r="C27" s="88"/>
      <c r="D27" s="88"/>
      <c r="E27" s="86" t="s">
        <v>169</v>
      </c>
      <c r="F27" s="86" t="s">
        <v>36</v>
      </c>
      <c r="G27" s="86">
        <v>1</v>
      </c>
      <c r="H27" s="109"/>
      <c r="I27" s="106"/>
      <c r="J27" s="98"/>
      <c r="K27" s="86"/>
      <c r="L27" s="81"/>
    </row>
  </sheetData>
  <mergeCells count="23">
    <mergeCell ref="E5:H5"/>
    <mergeCell ref="E18:H18"/>
    <mergeCell ref="E26:H26"/>
    <mergeCell ref="A2:A7"/>
    <mergeCell ref="A8:A19"/>
    <mergeCell ref="A20:A27"/>
    <mergeCell ref="B2:B7"/>
    <mergeCell ref="B8:B19"/>
    <mergeCell ref="B20:B27"/>
    <mergeCell ref="C2:C7"/>
    <mergeCell ref="C8:C19"/>
    <mergeCell ref="C20:C27"/>
    <mergeCell ref="D2:D7"/>
    <mergeCell ref="D8:D19"/>
    <mergeCell ref="D20:D27"/>
    <mergeCell ref="E2:E4"/>
    <mergeCell ref="E6:E7"/>
    <mergeCell ref="E8:E17"/>
    <mergeCell ref="E20:E25"/>
    <mergeCell ref="F2:F4"/>
    <mergeCell ref="F6:F7"/>
    <mergeCell ref="F8:F17"/>
    <mergeCell ref="F20:F2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100"/>
  <sheetViews>
    <sheetView zoomScale="70" zoomScaleNormal="70" workbookViewId="0">
      <pane ySplit="1" topLeftCell="A61" activePane="bottomLeft" state="frozen"/>
      <selection/>
      <selection pane="bottomLeft" activeCell="A41" sqref="A41:A52"/>
    </sheetView>
  </sheetViews>
  <sheetFormatPr defaultColWidth="9.13888888888889" defaultRowHeight="13.8"/>
  <cols>
    <col min="1" max="1" width="22.4259259259259" style="1" customWidth="1"/>
    <col min="2" max="2" width="11.712962962963" style="1" customWidth="1"/>
    <col min="3" max="7" width="9.13888888888889" style="1"/>
    <col min="8" max="8" width="59.712962962963" style="1" customWidth="1"/>
    <col min="9" max="11" width="9.13888888888889" style="1"/>
    <col min="12" max="12" width="19.5740740740741" style="2" customWidth="1"/>
    <col min="13" max="26" width="9.13888888888889" style="1"/>
    <col min="27" max="16384" width="9.13888888888889" style="3"/>
  </cols>
  <sheetData>
    <row r="1" ht="69.6" spans="1:26">
      <c r="A1" s="4" t="s">
        <v>141</v>
      </c>
      <c r="B1" s="5" t="s">
        <v>6</v>
      </c>
      <c r="C1" s="4" t="s">
        <v>142</v>
      </c>
      <c r="D1" s="4" t="s">
        <v>143</v>
      </c>
      <c r="E1" s="5" t="s">
        <v>144</v>
      </c>
      <c r="F1" s="4" t="s">
        <v>145</v>
      </c>
      <c r="G1" s="4" t="s">
        <v>1</v>
      </c>
      <c r="H1" s="6" t="s">
        <v>146</v>
      </c>
      <c r="I1" s="4" t="s">
        <v>147</v>
      </c>
      <c r="J1" s="7" t="s">
        <v>148</v>
      </c>
      <c r="K1" s="4" t="s">
        <v>149</v>
      </c>
      <c r="L1" s="8" t="s">
        <v>150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30" spans="1:26">
      <c r="A2" s="4" t="s">
        <v>298</v>
      </c>
      <c r="B2" s="10" t="s">
        <v>117</v>
      </c>
      <c r="C2" s="11">
        <v>0.92</v>
      </c>
      <c r="D2" s="12"/>
      <c r="E2" s="13" t="s">
        <v>153</v>
      </c>
      <c r="F2" s="14" t="s">
        <v>36</v>
      </c>
      <c r="G2" s="12">
        <v>1</v>
      </c>
      <c r="H2" s="15" t="s">
        <v>299</v>
      </c>
      <c r="I2" s="16" t="s">
        <v>300</v>
      </c>
      <c r="J2" s="11"/>
      <c r="K2" s="13"/>
      <c r="L2" s="17">
        <v>5</v>
      </c>
    </row>
    <row r="3" ht="409.5" spans="1:26">
      <c r="A3" s="4"/>
      <c r="B3" s="10"/>
      <c r="C3" s="12"/>
      <c r="D3" s="12"/>
      <c r="E3" s="13"/>
      <c r="F3" s="18"/>
      <c r="G3" s="19">
        <v>2</v>
      </c>
      <c r="H3" s="20" t="s">
        <v>301</v>
      </c>
      <c r="I3" s="16" t="s">
        <v>302</v>
      </c>
      <c r="J3" s="21">
        <v>1</v>
      </c>
      <c r="K3" s="22"/>
      <c r="L3" s="17">
        <v>5</v>
      </c>
    </row>
    <row r="4" ht="45" spans="1:26">
      <c r="A4" s="4"/>
      <c r="B4" s="10"/>
      <c r="C4" s="12"/>
      <c r="D4" s="12"/>
      <c r="E4" s="13"/>
      <c r="F4" s="18"/>
      <c r="G4" s="19">
        <v>3</v>
      </c>
      <c r="H4" s="20" t="s">
        <v>303</v>
      </c>
      <c r="I4" s="19" t="s">
        <v>304</v>
      </c>
      <c r="J4" s="21">
        <v>0.6</v>
      </c>
      <c r="K4" s="22"/>
      <c r="L4" s="17">
        <v>5</v>
      </c>
    </row>
    <row r="5" ht="30" spans="1:26">
      <c r="A5" s="4"/>
      <c r="B5" s="10"/>
      <c r="C5" s="12"/>
      <c r="D5" s="12"/>
      <c r="E5" s="13"/>
      <c r="F5" s="18"/>
      <c r="G5" s="19">
        <v>4</v>
      </c>
      <c r="H5" s="20" t="s">
        <v>305</v>
      </c>
      <c r="I5" s="19" t="s">
        <v>306</v>
      </c>
      <c r="J5" s="21">
        <v>1</v>
      </c>
      <c r="K5" s="22"/>
      <c r="L5" s="17">
        <v>5</v>
      </c>
    </row>
    <row r="6" ht="210" spans="1:26">
      <c r="A6" s="4"/>
      <c r="B6" s="10"/>
      <c r="C6" s="12"/>
      <c r="D6" s="12"/>
      <c r="E6" s="13"/>
      <c r="F6" s="18"/>
      <c r="G6" s="19">
        <v>5</v>
      </c>
      <c r="H6" s="20" t="s">
        <v>307</v>
      </c>
      <c r="I6" s="19" t="s">
        <v>308</v>
      </c>
      <c r="J6" s="21">
        <v>1</v>
      </c>
      <c r="K6" s="22"/>
      <c r="L6" s="17">
        <v>3.8</v>
      </c>
    </row>
    <row r="7" ht="15" spans="1:26">
      <c r="A7" s="4"/>
      <c r="B7" s="10"/>
      <c r="C7" s="12"/>
      <c r="D7" s="12"/>
      <c r="E7" s="13"/>
      <c r="F7" s="18"/>
      <c r="G7" s="19">
        <v>6</v>
      </c>
      <c r="H7" s="23" t="s">
        <v>309</v>
      </c>
      <c r="I7" s="19" t="s">
        <v>310</v>
      </c>
      <c r="J7" s="21">
        <v>1</v>
      </c>
      <c r="K7" s="22"/>
      <c r="L7" s="17">
        <v>3</v>
      </c>
    </row>
    <row r="8" ht="45" spans="1:26">
      <c r="A8" s="4"/>
      <c r="B8" s="10"/>
      <c r="C8" s="12"/>
      <c r="D8" s="12"/>
      <c r="E8" s="13"/>
      <c r="F8" s="18"/>
      <c r="G8" s="19">
        <v>7</v>
      </c>
      <c r="H8" s="20" t="s">
        <v>311</v>
      </c>
      <c r="I8" s="16" t="s">
        <v>312</v>
      </c>
      <c r="J8" s="21">
        <v>1</v>
      </c>
      <c r="K8" s="22"/>
      <c r="L8" s="17">
        <v>2.8</v>
      </c>
    </row>
    <row r="9" ht="15" spans="1:26">
      <c r="A9" s="4"/>
      <c r="B9" s="10"/>
      <c r="C9" s="12"/>
      <c r="D9" s="12"/>
      <c r="E9" s="13"/>
      <c r="F9" s="18"/>
      <c r="G9" s="19">
        <v>8</v>
      </c>
      <c r="H9" s="20"/>
      <c r="I9" s="19"/>
      <c r="J9" s="21"/>
      <c r="K9" s="22"/>
      <c r="L9" s="17"/>
    </row>
    <row r="10" ht="15" spans="1:26">
      <c r="A10" s="4"/>
      <c r="B10" s="10"/>
      <c r="C10" s="12"/>
      <c r="D10" s="12"/>
      <c r="E10" s="13"/>
      <c r="F10" s="18"/>
      <c r="G10" s="19">
        <v>9</v>
      </c>
      <c r="H10" s="24"/>
      <c r="I10" s="19"/>
      <c r="J10" s="21"/>
      <c r="K10" s="22"/>
      <c r="L10" s="17"/>
    </row>
    <row r="11" ht="15" spans="1:26">
      <c r="A11" s="4"/>
      <c r="B11" s="10"/>
      <c r="C11" s="12"/>
      <c r="D11" s="12"/>
      <c r="E11" s="13"/>
      <c r="F11" s="18"/>
      <c r="G11" s="25">
        <v>10</v>
      </c>
      <c r="H11" s="26"/>
      <c r="I11" s="27"/>
      <c r="J11" s="28"/>
      <c r="K11" s="22"/>
      <c r="L11" s="17"/>
    </row>
    <row r="12" ht="135" customHeight="1" spans="1:26">
      <c r="A12" s="4"/>
      <c r="B12" s="10"/>
      <c r="C12" s="12"/>
      <c r="D12" s="12"/>
      <c r="E12" s="13"/>
      <c r="F12" s="18"/>
      <c r="G12" s="25">
        <v>11</v>
      </c>
      <c r="H12" s="29" t="s">
        <v>313</v>
      </c>
      <c r="I12" s="30" t="s">
        <v>117</v>
      </c>
      <c r="J12" s="31">
        <v>1</v>
      </c>
      <c r="K12" s="32"/>
      <c r="L12" s="17">
        <v>5</v>
      </c>
    </row>
    <row r="13" ht="15" spans="1:26">
      <c r="A13" s="4"/>
      <c r="B13" s="10"/>
      <c r="C13" s="12"/>
      <c r="D13" s="12"/>
      <c r="E13" s="13"/>
      <c r="F13" s="33"/>
      <c r="G13" s="25">
        <v>12</v>
      </c>
      <c r="H13" s="34"/>
      <c r="I13" s="30" t="s">
        <v>119</v>
      </c>
      <c r="J13" s="31">
        <v>1</v>
      </c>
      <c r="K13" s="32"/>
      <c r="L13" s="17">
        <v>3</v>
      </c>
    </row>
    <row r="14" ht="15" spans="1:26">
      <c r="A14" s="4"/>
      <c r="B14" s="10"/>
      <c r="C14" s="12"/>
      <c r="D14" s="12"/>
      <c r="E14" s="35" t="s">
        <v>168</v>
      </c>
      <c r="F14" s="35"/>
      <c r="G14" s="35"/>
      <c r="H14" s="36"/>
      <c r="I14" s="35"/>
      <c r="J14" s="37"/>
      <c r="K14" s="38"/>
      <c r="L14" s="39">
        <f>SUM(L2:L13)</f>
        <v>37.6</v>
      </c>
    </row>
    <row r="15" ht="15.6" spans="1:26">
      <c r="A15" s="4"/>
      <c r="B15" s="10"/>
      <c r="C15" s="12"/>
      <c r="D15" s="12"/>
      <c r="E15" s="13" t="s">
        <v>169</v>
      </c>
      <c r="F15" s="13" t="s">
        <v>36</v>
      </c>
      <c r="G15" s="13">
        <v>1</v>
      </c>
      <c r="H15" s="40"/>
      <c r="I15" s="12"/>
      <c r="J15" s="41"/>
      <c r="K15" s="13"/>
      <c r="L15" s="17"/>
    </row>
    <row r="16" ht="15" spans="1:26">
      <c r="A16" s="4"/>
      <c r="B16" s="10"/>
      <c r="C16" s="12"/>
      <c r="D16" s="12"/>
      <c r="E16" s="13"/>
      <c r="F16" s="13"/>
      <c r="G16" s="13">
        <v>2</v>
      </c>
      <c r="H16" s="15"/>
      <c r="I16" s="13"/>
      <c r="J16" s="41"/>
      <c r="K16" s="13"/>
      <c r="L16" s="17"/>
    </row>
    <row r="17" ht="15" spans="1:12">
      <c r="A17" s="4" t="s">
        <v>314</v>
      </c>
      <c r="B17" s="10" t="s">
        <v>119</v>
      </c>
      <c r="C17" s="11">
        <v>0.95</v>
      </c>
      <c r="D17" s="12"/>
      <c r="E17" s="13" t="s">
        <v>153</v>
      </c>
      <c r="F17" s="12" t="s">
        <v>36</v>
      </c>
      <c r="G17" s="12">
        <v>1</v>
      </c>
      <c r="H17" s="15"/>
      <c r="I17" s="16"/>
      <c r="J17" s="11"/>
      <c r="K17" s="12"/>
      <c r="L17" s="17"/>
    </row>
    <row r="18" ht="15" spans="1:12">
      <c r="A18" s="4"/>
      <c r="B18" s="10"/>
      <c r="C18" s="12"/>
      <c r="D18" s="12"/>
      <c r="E18" s="13"/>
      <c r="F18" s="12"/>
      <c r="G18" s="12">
        <v>2</v>
      </c>
      <c r="H18" s="15"/>
      <c r="I18" s="16"/>
      <c r="J18" s="11"/>
      <c r="K18" s="12"/>
      <c r="L18" s="17"/>
    </row>
    <row r="19" ht="15" spans="1:12">
      <c r="A19" s="4"/>
      <c r="B19" s="10"/>
      <c r="C19" s="12"/>
      <c r="D19" s="12"/>
      <c r="E19" s="13"/>
      <c r="F19" s="12"/>
      <c r="G19" s="12">
        <v>3</v>
      </c>
      <c r="H19" s="15"/>
      <c r="I19" s="16"/>
      <c r="J19" s="11"/>
      <c r="K19" s="12"/>
      <c r="L19" s="17"/>
    </row>
    <row r="20" ht="15" spans="1:12">
      <c r="A20" s="4"/>
      <c r="B20" s="10"/>
      <c r="C20" s="12"/>
      <c r="D20" s="12"/>
      <c r="E20" s="13"/>
      <c r="F20" s="12"/>
      <c r="G20" s="12"/>
      <c r="H20" s="15"/>
      <c r="I20" s="16"/>
      <c r="J20" s="11"/>
      <c r="K20" s="12"/>
      <c r="L20" s="17"/>
    </row>
    <row r="21" ht="15" spans="1:12">
      <c r="A21" s="4"/>
      <c r="B21" s="10"/>
      <c r="C21" s="12"/>
      <c r="D21" s="12"/>
      <c r="E21" s="13"/>
      <c r="F21" s="12"/>
      <c r="G21" s="12"/>
      <c r="H21" s="15"/>
      <c r="I21" s="16"/>
      <c r="J21" s="11"/>
      <c r="K21" s="12"/>
      <c r="L21" s="17"/>
    </row>
    <row r="22" ht="15" spans="1:12">
      <c r="A22" s="4"/>
      <c r="B22" s="10"/>
      <c r="C22" s="12"/>
      <c r="D22" s="12"/>
      <c r="E22" s="13"/>
      <c r="F22" s="12"/>
      <c r="G22" s="12"/>
      <c r="H22" s="42"/>
      <c r="I22" s="12"/>
      <c r="J22" s="11"/>
      <c r="K22" s="12"/>
      <c r="L22" s="17"/>
    </row>
    <row r="23" ht="15" spans="1:12">
      <c r="A23" s="4"/>
      <c r="B23" s="10"/>
      <c r="C23" s="12"/>
      <c r="D23" s="12"/>
      <c r="E23" s="13"/>
      <c r="F23" s="12"/>
      <c r="G23" s="13"/>
      <c r="H23" s="15"/>
      <c r="I23" s="12"/>
      <c r="J23" s="11"/>
      <c r="K23" s="12"/>
      <c r="L23" s="17"/>
    </row>
    <row r="24" ht="15" spans="1:12">
      <c r="A24" s="4"/>
      <c r="B24" s="10"/>
      <c r="C24" s="12"/>
      <c r="D24" s="12"/>
      <c r="E24" s="13"/>
      <c r="F24" s="12"/>
      <c r="G24" s="12"/>
      <c r="H24" s="15"/>
      <c r="I24" s="12"/>
      <c r="J24" s="11"/>
      <c r="K24" s="12"/>
      <c r="L24" s="17"/>
    </row>
    <row r="25" ht="15" spans="1:12">
      <c r="A25" s="4"/>
      <c r="B25" s="10"/>
      <c r="C25" s="12"/>
      <c r="D25" s="12"/>
      <c r="E25" s="13"/>
      <c r="F25" s="12"/>
      <c r="G25" s="12"/>
      <c r="H25" s="15"/>
      <c r="I25" s="12"/>
      <c r="J25" s="11"/>
      <c r="K25" s="12"/>
      <c r="L25" s="17"/>
    </row>
    <row r="26" ht="15" spans="1:12">
      <c r="A26" s="4"/>
      <c r="B26" s="10"/>
      <c r="C26" s="12"/>
      <c r="D26" s="12"/>
      <c r="E26" s="35" t="s">
        <v>168</v>
      </c>
      <c r="F26" s="35"/>
      <c r="G26" s="35"/>
      <c r="H26" s="35"/>
      <c r="I26" s="35"/>
      <c r="J26" s="43"/>
      <c r="K26" s="38"/>
      <c r="L26" s="39">
        <f>SUM(L17:L25)</f>
        <v>0</v>
      </c>
    </row>
    <row r="27" ht="15.6" spans="1:12">
      <c r="A27" s="4"/>
      <c r="B27" s="10"/>
      <c r="C27" s="12"/>
      <c r="D27" s="12"/>
      <c r="E27" s="13" t="s">
        <v>169</v>
      </c>
      <c r="F27" s="13" t="s">
        <v>36</v>
      </c>
      <c r="G27" s="13">
        <v>1</v>
      </c>
      <c r="H27" s="40"/>
      <c r="I27" s="12"/>
      <c r="J27" s="41"/>
      <c r="K27" s="13"/>
      <c r="L27" s="44"/>
    </row>
    <row r="28" ht="15.6" spans="1:12">
      <c r="A28" s="4"/>
      <c r="B28" s="10"/>
      <c r="C28" s="12"/>
      <c r="D28" s="12"/>
      <c r="E28" s="13"/>
      <c r="F28" s="13"/>
      <c r="G28" s="13">
        <v>2</v>
      </c>
      <c r="H28" s="40"/>
      <c r="I28" s="13"/>
      <c r="J28" s="41"/>
      <c r="K28" s="13"/>
      <c r="L28" s="44"/>
    </row>
    <row r="29" ht="45" spans="1:12">
      <c r="A29" s="4" t="s">
        <v>315</v>
      </c>
      <c r="B29" s="10" t="s">
        <v>119</v>
      </c>
      <c r="C29" s="12" t="s">
        <v>152</v>
      </c>
      <c r="D29" s="12"/>
      <c r="E29" s="13" t="s">
        <v>153</v>
      </c>
      <c r="F29" s="14" t="s">
        <v>36</v>
      </c>
      <c r="G29" s="12">
        <v>1</v>
      </c>
      <c r="H29" s="15" t="s">
        <v>316</v>
      </c>
      <c r="I29" s="16" t="s">
        <v>119</v>
      </c>
      <c r="J29" s="11">
        <v>1</v>
      </c>
      <c r="K29" s="12"/>
      <c r="L29" s="10">
        <v>0.5</v>
      </c>
    </row>
    <row r="30" ht="15.6" spans="1:12">
      <c r="A30" s="4"/>
      <c r="B30" s="10"/>
      <c r="C30" s="12"/>
      <c r="D30" s="12"/>
      <c r="E30" s="13"/>
      <c r="F30" s="45"/>
      <c r="G30" s="12">
        <v>2</v>
      </c>
      <c r="H30" s="42"/>
      <c r="I30" s="16"/>
      <c r="J30" s="11"/>
      <c r="K30" s="12"/>
      <c r="L30" s="10"/>
    </row>
    <row r="31" ht="15.6" spans="1:12">
      <c r="A31" s="4"/>
      <c r="B31" s="10"/>
      <c r="C31" s="12"/>
      <c r="D31" s="12"/>
      <c r="E31" s="13"/>
      <c r="F31" s="45"/>
      <c r="G31" s="12">
        <v>3</v>
      </c>
      <c r="H31" s="15"/>
      <c r="I31" s="16"/>
      <c r="J31" s="11"/>
      <c r="K31" s="12"/>
      <c r="L31" s="10"/>
    </row>
    <row r="32" ht="15.6" spans="1:12">
      <c r="A32" s="4"/>
      <c r="B32" s="10"/>
      <c r="C32" s="12"/>
      <c r="D32" s="12"/>
      <c r="E32" s="13"/>
      <c r="F32" s="45"/>
      <c r="G32" s="12"/>
      <c r="H32" s="15"/>
      <c r="I32" s="16"/>
      <c r="J32" s="11"/>
      <c r="K32" s="12"/>
      <c r="L32" s="10"/>
    </row>
    <row r="33" ht="15.6" spans="1:12">
      <c r="A33" s="4"/>
      <c r="B33" s="10"/>
      <c r="C33" s="12"/>
      <c r="D33" s="12"/>
      <c r="E33" s="13"/>
      <c r="F33" s="45"/>
      <c r="G33" s="12"/>
      <c r="H33" s="15"/>
      <c r="I33" s="16"/>
      <c r="J33" s="11"/>
      <c r="K33" s="12"/>
      <c r="L33" s="10"/>
    </row>
    <row r="34" ht="15.6" spans="1:12">
      <c r="A34" s="4"/>
      <c r="B34" s="10"/>
      <c r="C34" s="12"/>
      <c r="D34" s="12"/>
      <c r="E34" s="13"/>
      <c r="F34" s="46"/>
      <c r="G34" s="12"/>
      <c r="H34" s="42"/>
      <c r="I34" s="12"/>
      <c r="J34" s="11"/>
      <c r="K34" s="12"/>
      <c r="L34" s="10"/>
    </row>
    <row r="35" ht="15.6" spans="1:12">
      <c r="A35" s="4"/>
      <c r="B35" s="10"/>
      <c r="C35" s="12"/>
      <c r="D35" s="12"/>
      <c r="E35" s="13"/>
      <c r="F35" s="14" t="s">
        <v>317</v>
      </c>
      <c r="G35" s="13">
        <v>1</v>
      </c>
      <c r="H35" s="15" t="s">
        <v>318</v>
      </c>
      <c r="I35" s="12" t="s">
        <v>308</v>
      </c>
      <c r="J35" s="11">
        <v>1</v>
      </c>
      <c r="K35" s="12"/>
      <c r="L35" s="10">
        <v>1.2</v>
      </c>
    </row>
    <row r="36" ht="15.6" spans="1:12">
      <c r="A36" s="4"/>
      <c r="B36" s="10"/>
      <c r="C36" s="12"/>
      <c r="D36" s="12"/>
      <c r="E36" s="13"/>
      <c r="F36" s="45"/>
      <c r="G36" s="12">
        <v>2</v>
      </c>
      <c r="H36" s="15"/>
      <c r="I36" s="12"/>
      <c r="J36" s="11"/>
      <c r="K36" s="12"/>
      <c r="L36" s="10"/>
    </row>
    <row r="37" ht="15.6" spans="1:12">
      <c r="A37" s="4"/>
      <c r="B37" s="10"/>
      <c r="C37" s="12"/>
      <c r="D37" s="12"/>
      <c r="E37" s="13"/>
      <c r="F37" s="46"/>
      <c r="G37" s="12">
        <v>3</v>
      </c>
      <c r="H37" s="15"/>
      <c r="I37" s="12"/>
      <c r="J37" s="11"/>
      <c r="K37" s="12"/>
      <c r="L37" s="10"/>
    </row>
    <row r="38" ht="15" spans="1:12">
      <c r="A38" s="4"/>
      <c r="B38" s="10"/>
      <c r="C38" s="12"/>
      <c r="D38" s="12"/>
      <c r="E38" s="35" t="s">
        <v>168</v>
      </c>
      <c r="F38" s="35"/>
      <c r="G38" s="35"/>
      <c r="H38" s="35"/>
      <c r="I38" s="35"/>
      <c r="J38" s="43"/>
      <c r="K38" s="38"/>
      <c r="L38" s="39">
        <f>SUM(L29:L37)</f>
        <v>1.7</v>
      </c>
    </row>
    <row r="39" ht="15.6" spans="1:12">
      <c r="A39" s="4"/>
      <c r="B39" s="10"/>
      <c r="C39" s="12"/>
      <c r="D39" s="12"/>
      <c r="E39" s="13" t="s">
        <v>169</v>
      </c>
      <c r="F39" s="13" t="s">
        <v>36</v>
      </c>
      <c r="G39" s="13">
        <v>1</v>
      </c>
      <c r="H39" s="40"/>
      <c r="I39" s="12"/>
      <c r="J39" s="41"/>
      <c r="K39" s="13"/>
      <c r="L39" s="44"/>
    </row>
    <row r="40" ht="15.6" spans="1:12">
      <c r="A40" s="4"/>
      <c r="B40" s="10"/>
      <c r="C40" s="12"/>
      <c r="D40" s="12"/>
      <c r="E40" s="13"/>
      <c r="F40" s="13"/>
      <c r="G40" s="13">
        <v>2</v>
      </c>
      <c r="H40" s="40"/>
      <c r="I40" s="13"/>
      <c r="J40" s="41"/>
      <c r="K40" s="13"/>
      <c r="L40" s="17"/>
    </row>
    <row r="41" ht="15.6" spans="1:12">
      <c r="A41" s="4" t="s">
        <v>319</v>
      </c>
      <c r="B41" s="10" t="s">
        <v>119</v>
      </c>
      <c r="C41" s="12" t="s">
        <v>152</v>
      </c>
      <c r="D41" s="12"/>
      <c r="E41" s="13" t="s">
        <v>153</v>
      </c>
      <c r="F41" s="14" t="s">
        <v>36</v>
      </c>
      <c r="G41" s="12">
        <v>1</v>
      </c>
      <c r="H41" s="15" t="s">
        <v>320</v>
      </c>
      <c r="I41" s="16" t="s">
        <v>312</v>
      </c>
      <c r="J41" s="11">
        <v>1</v>
      </c>
      <c r="K41" s="12"/>
      <c r="L41" s="10">
        <v>2.2</v>
      </c>
    </row>
    <row r="42" ht="15.6" spans="1:12">
      <c r="A42" s="4"/>
      <c r="B42" s="10"/>
      <c r="C42" s="12"/>
      <c r="D42" s="12"/>
      <c r="E42" s="13"/>
      <c r="F42" s="45"/>
      <c r="G42" s="12">
        <v>2</v>
      </c>
      <c r="H42" s="42" t="s">
        <v>321</v>
      </c>
      <c r="I42" s="16" t="s">
        <v>310</v>
      </c>
      <c r="J42" s="11">
        <v>1</v>
      </c>
      <c r="K42" s="12"/>
      <c r="L42" s="10">
        <v>2</v>
      </c>
    </row>
    <row r="43" ht="15.6" spans="1:12">
      <c r="A43" s="4"/>
      <c r="B43" s="10"/>
      <c r="C43" s="12"/>
      <c r="D43" s="12"/>
      <c r="E43" s="13"/>
      <c r="F43" s="45"/>
      <c r="G43" s="12">
        <v>3</v>
      </c>
      <c r="H43" s="15" t="s">
        <v>322</v>
      </c>
      <c r="I43" s="16" t="s">
        <v>119</v>
      </c>
      <c r="J43" s="11">
        <v>1</v>
      </c>
      <c r="K43" s="12"/>
      <c r="L43" s="10">
        <v>0.5</v>
      </c>
    </row>
    <row r="44" ht="15.6" spans="1:12">
      <c r="A44" s="4"/>
      <c r="B44" s="10"/>
      <c r="C44" s="12"/>
      <c r="D44" s="12"/>
      <c r="E44" s="13"/>
      <c r="F44" s="45"/>
      <c r="G44" s="12">
        <v>4</v>
      </c>
      <c r="H44" s="15"/>
      <c r="I44" s="16"/>
      <c r="J44" s="11"/>
      <c r="K44" s="12"/>
      <c r="L44" s="10"/>
    </row>
    <row r="45" ht="15.6" spans="1:12">
      <c r="A45" s="4"/>
      <c r="B45" s="10"/>
      <c r="C45" s="12"/>
      <c r="D45" s="12"/>
      <c r="E45" s="13"/>
      <c r="F45" s="45"/>
      <c r="G45" s="12">
        <v>5</v>
      </c>
      <c r="H45" s="15"/>
      <c r="I45" s="16"/>
      <c r="J45" s="11"/>
      <c r="K45" s="12"/>
      <c r="L45" s="10"/>
    </row>
    <row r="46" ht="15.6" spans="1:12">
      <c r="A46" s="4"/>
      <c r="B46" s="10"/>
      <c r="C46" s="12"/>
      <c r="D46" s="12"/>
      <c r="E46" s="13"/>
      <c r="F46" s="46"/>
      <c r="G46" s="12">
        <v>6</v>
      </c>
      <c r="H46" s="42"/>
      <c r="I46" s="12"/>
      <c r="J46" s="11"/>
      <c r="K46" s="12"/>
      <c r="L46" s="10"/>
    </row>
    <row r="47" ht="15.6" spans="1:12">
      <c r="A47" s="4"/>
      <c r="B47" s="10"/>
      <c r="C47" s="12"/>
      <c r="D47" s="12"/>
      <c r="E47" s="13"/>
      <c r="F47" s="14" t="s">
        <v>317</v>
      </c>
      <c r="G47" s="13">
        <v>1</v>
      </c>
      <c r="H47" s="15"/>
      <c r="I47" s="12"/>
      <c r="J47" s="11"/>
      <c r="K47" s="12"/>
      <c r="L47" s="10"/>
    </row>
    <row r="48" ht="15.6" spans="1:12">
      <c r="A48" s="4"/>
      <c r="B48" s="10"/>
      <c r="C48" s="12"/>
      <c r="D48" s="12"/>
      <c r="E48" s="13"/>
      <c r="F48" s="45"/>
      <c r="G48" s="12">
        <v>2</v>
      </c>
      <c r="H48" s="15"/>
      <c r="I48" s="12"/>
      <c r="J48" s="11"/>
      <c r="K48" s="12"/>
      <c r="L48" s="10"/>
    </row>
    <row r="49" ht="15.6" spans="1:12">
      <c r="A49" s="4"/>
      <c r="B49" s="10"/>
      <c r="C49" s="12"/>
      <c r="D49" s="12"/>
      <c r="E49" s="13"/>
      <c r="F49" s="46"/>
      <c r="G49" s="12">
        <v>3</v>
      </c>
      <c r="H49" s="15"/>
      <c r="I49" s="12"/>
      <c r="J49" s="11"/>
      <c r="K49" s="12"/>
      <c r="L49" s="10"/>
    </row>
    <row r="50" ht="15" spans="1:12">
      <c r="A50" s="4"/>
      <c r="B50" s="10"/>
      <c r="C50" s="12"/>
      <c r="D50" s="12"/>
      <c r="E50" s="35" t="s">
        <v>168</v>
      </c>
      <c r="F50" s="35"/>
      <c r="G50" s="35"/>
      <c r="H50" s="35"/>
      <c r="I50" s="35"/>
      <c r="J50" s="43"/>
      <c r="K50" s="38"/>
      <c r="L50" s="39">
        <f>SUM(L41:L49)</f>
        <v>4.7</v>
      </c>
    </row>
    <row r="51" ht="15.6" spans="1:12">
      <c r="A51" s="4"/>
      <c r="B51" s="10"/>
      <c r="C51" s="12"/>
      <c r="D51" s="12"/>
      <c r="E51" s="13" t="s">
        <v>169</v>
      </c>
      <c r="F51" s="13" t="s">
        <v>36</v>
      </c>
      <c r="G51" s="13">
        <v>1</v>
      </c>
      <c r="H51" s="40"/>
      <c r="I51" s="12"/>
      <c r="J51" s="41"/>
      <c r="K51" s="13"/>
      <c r="L51" s="44"/>
    </row>
    <row r="52" ht="15.6" spans="1:12">
      <c r="A52" s="4"/>
      <c r="B52" s="10"/>
      <c r="C52" s="12"/>
      <c r="D52" s="12"/>
      <c r="E52" s="13"/>
      <c r="F52" s="13"/>
      <c r="G52" s="13">
        <v>2</v>
      </c>
      <c r="H52" s="40"/>
      <c r="I52" s="13"/>
      <c r="J52" s="41"/>
      <c r="K52" s="13"/>
      <c r="L52" s="17"/>
    </row>
    <row r="53" ht="30" spans="1:12">
      <c r="A53" s="4" t="s">
        <v>323</v>
      </c>
      <c r="B53" s="10" t="s">
        <v>119</v>
      </c>
      <c r="C53" s="11">
        <v>0.95</v>
      </c>
      <c r="D53" s="12"/>
      <c r="E53" s="13" t="s">
        <v>153</v>
      </c>
      <c r="F53" s="14" t="s">
        <v>36</v>
      </c>
      <c r="G53" s="12">
        <v>1</v>
      </c>
      <c r="H53" s="15" t="s">
        <v>324</v>
      </c>
      <c r="I53" s="15" t="s">
        <v>325</v>
      </c>
      <c r="J53" s="11">
        <v>0.9</v>
      </c>
      <c r="K53" s="12"/>
      <c r="L53" s="17">
        <v>5</v>
      </c>
    </row>
    <row r="54" ht="15" spans="1:12">
      <c r="A54" s="4"/>
      <c r="B54" s="10"/>
      <c r="C54" s="12"/>
      <c r="D54" s="12"/>
      <c r="E54" s="13"/>
      <c r="F54" s="18"/>
      <c r="G54" s="12">
        <v>2</v>
      </c>
      <c r="H54" s="15" t="s">
        <v>326</v>
      </c>
      <c r="I54" s="42" t="s">
        <v>327</v>
      </c>
      <c r="J54" s="11">
        <v>0.9</v>
      </c>
      <c r="K54" s="12"/>
      <c r="L54" s="17">
        <v>5</v>
      </c>
    </row>
    <row r="55" ht="45" spans="1:12">
      <c r="A55" s="4"/>
      <c r="B55" s="10"/>
      <c r="C55" s="12"/>
      <c r="D55" s="12"/>
      <c r="E55" s="13"/>
      <c r="F55" s="18"/>
      <c r="G55" s="12">
        <v>3</v>
      </c>
      <c r="H55" s="47" t="s">
        <v>328</v>
      </c>
      <c r="I55" s="15" t="s">
        <v>119</v>
      </c>
      <c r="J55" s="11">
        <v>1</v>
      </c>
      <c r="K55" s="12"/>
      <c r="L55" s="17">
        <v>1</v>
      </c>
    </row>
    <row r="56" ht="15" spans="1:12">
      <c r="A56" s="4"/>
      <c r="B56" s="10"/>
      <c r="C56" s="12"/>
      <c r="D56" s="12"/>
      <c r="E56" s="13"/>
      <c r="F56" s="18"/>
      <c r="G56" s="12">
        <v>4</v>
      </c>
      <c r="H56" s="15"/>
      <c r="I56" s="15"/>
      <c r="J56" s="11"/>
      <c r="K56" s="12"/>
      <c r="L56" s="17"/>
    </row>
    <row r="57" ht="15" spans="1:12">
      <c r="A57" s="4"/>
      <c r="B57" s="10"/>
      <c r="C57" s="12"/>
      <c r="D57" s="12"/>
      <c r="E57" s="13"/>
      <c r="F57" s="18"/>
      <c r="G57" s="12">
        <v>5</v>
      </c>
      <c r="H57" s="15"/>
      <c r="I57" s="15"/>
      <c r="J57" s="11"/>
      <c r="K57" s="12"/>
      <c r="L57" s="17"/>
    </row>
    <row r="58" ht="15" spans="1:12">
      <c r="A58" s="4"/>
      <c r="B58" s="10"/>
      <c r="C58" s="12"/>
      <c r="D58" s="12"/>
      <c r="E58" s="13"/>
      <c r="F58" s="33"/>
      <c r="G58" s="12">
        <v>6</v>
      </c>
      <c r="H58" s="42"/>
      <c r="I58" s="42"/>
      <c r="J58" s="48"/>
      <c r="K58" s="12"/>
      <c r="L58" s="17"/>
    </row>
    <row r="59" ht="15" spans="1:12">
      <c r="A59" s="4"/>
      <c r="B59" s="10"/>
      <c r="C59" s="12"/>
      <c r="D59" s="12"/>
      <c r="E59" s="13"/>
      <c r="F59" s="14" t="s">
        <v>329</v>
      </c>
      <c r="G59" s="13">
        <v>1</v>
      </c>
      <c r="H59" s="49"/>
      <c r="I59" s="50"/>
      <c r="J59" s="51"/>
      <c r="K59" s="52"/>
      <c r="L59" s="17"/>
    </row>
    <row r="60" ht="15" spans="1:12">
      <c r="A60" s="4"/>
      <c r="B60" s="10"/>
      <c r="C60" s="12"/>
      <c r="D60" s="12"/>
      <c r="E60" s="13"/>
      <c r="F60" s="18"/>
      <c r="G60" s="12">
        <v>2</v>
      </c>
      <c r="H60" s="53"/>
      <c r="I60" s="50"/>
      <c r="J60" s="51"/>
      <c r="K60" s="52"/>
      <c r="L60" s="17"/>
    </row>
    <row r="61" ht="15" spans="1:12">
      <c r="A61" s="4"/>
      <c r="B61" s="10"/>
      <c r="C61" s="12"/>
      <c r="D61" s="12"/>
      <c r="E61" s="13"/>
      <c r="F61" s="33"/>
      <c r="G61" s="12">
        <v>3</v>
      </c>
      <c r="H61" s="15"/>
      <c r="I61" s="12"/>
      <c r="J61" s="54"/>
      <c r="K61" s="12"/>
      <c r="L61" s="17"/>
    </row>
    <row r="62" ht="15" spans="1:12">
      <c r="A62" s="4"/>
      <c r="B62" s="10"/>
      <c r="C62" s="12"/>
      <c r="D62" s="12"/>
      <c r="E62" s="35" t="s">
        <v>168</v>
      </c>
      <c r="F62" s="35"/>
      <c r="G62" s="35"/>
      <c r="H62" s="35"/>
      <c r="I62" s="35"/>
      <c r="J62" s="43"/>
      <c r="K62" s="38"/>
      <c r="L62" s="39">
        <f>SUM(L53:L61)</f>
        <v>11</v>
      </c>
    </row>
    <row r="63" ht="15.6" spans="1:12">
      <c r="A63" s="4"/>
      <c r="B63" s="10"/>
      <c r="C63" s="12"/>
      <c r="D63" s="12"/>
      <c r="E63" s="13" t="s">
        <v>169</v>
      </c>
      <c r="F63" s="13" t="s">
        <v>36</v>
      </c>
      <c r="G63" s="13">
        <v>1</v>
      </c>
      <c r="H63" s="40"/>
      <c r="I63" s="12"/>
      <c r="J63" s="41"/>
      <c r="K63" s="13"/>
      <c r="L63" s="44"/>
    </row>
    <row r="64" ht="15.6" spans="1:12">
      <c r="A64" s="4"/>
      <c r="B64" s="10"/>
      <c r="C64" s="12"/>
      <c r="D64" s="12"/>
      <c r="E64" s="13"/>
      <c r="F64" s="13"/>
      <c r="G64" s="13">
        <v>2</v>
      </c>
      <c r="H64" s="40"/>
      <c r="I64" s="13"/>
      <c r="J64" s="41"/>
      <c r="K64" s="13"/>
      <c r="L64" s="44"/>
    </row>
    <row r="65" ht="15" spans="1:12">
      <c r="A65" s="4" t="s">
        <v>330</v>
      </c>
      <c r="B65" s="10" t="s">
        <v>119</v>
      </c>
      <c r="C65" s="12" t="s">
        <v>152</v>
      </c>
      <c r="D65" s="12"/>
      <c r="E65" s="13" t="s">
        <v>153</v>
      </c>
      <c r="F65" s="12" t="s">
        <v>36</v>
      </c>
      <c r="G65" s="12">
        <v>1</v>
      </c>
      <c r="H65" s="15"/>
      <c r="I65" s="16"/>
      <c r="J65" s="11"/>
      <c r="K65" s="12"/>
      <c r="L65" s="17"/>
    </row>
    <row r="66" ht="15" spans="1:12">
      <c r="A66" s="4"/>
      <c r="B66" s="10"/>
      <c r="C66" s="12"/>
      <c r="D66" s="12"/>
      <c r="E66" s="13"/>
      <c r="F66" s="12"/>
      <c r="G66" s="12">
        <v>2</v>
      </c>
      <c r="H66" s="42"/>
      <c r="I66" s="16"/>
      <c r="J66" s="11"/>
      <c r="K66" s="12"/>
      <c r="L66" s="17"/>
    </row>
    <row r="67" ht="15" spans="1:12">
      <c r="A67" s="4"/>
      <c r="B67" s="10"/>
      <c r="C67" s="12"/>
      <c r="D67" s="12"/>
      <c r="E67" s="13"/>
      <c r="F67" s="12"/>
      <c r="G67" s="12">
        <v>3</v>
      </c>
      <c r="H67" s="15"/>
      <c r="I67" s="16"/>
      <c r="J67" s="11"/>
      <c r="K67" s="12"/>
      <c r="L67" s="17"/>
    </row>
    <row r="68" ht="15" spans="1:12">
      <c r="A68" s="4"/>
      <c r="B68" s="10"/>
      <c r="C68" s="12"/>
      <c r="D68" s="12"/>
      <c r="E68" s="13"/>
      <c r="F68" s="12"/>
      <c r="G68" s="12"/>
      <c r="H68" s="15"/>
      <c r="I68" s="16"/>
      <c r="J68" s="11"/>
      <c r="K68" s="12"/>
      <c r="L68" s="17"/>
    </row>
    <row r="69" ht="15" spans="1:12">
      <c r="A69" s="4"/>
      <c r="B69" s="10"/>
      <c r="C69" s="12"/>
      <c r="D69" s="12"/>
      <c r="E69" s="13"/>
      <c r="F69" s="12"/>
      <c r="G69" s="12"/>
      <c r="H69" s="15"/>
      <c r="I69" s="16"/>
      <c r="J69" s="11"/>
      <c r="K69" s="12"/>
      <c r="L69" s="17"/>
    </row>
    <row r="70" ht="15" spans="1:12">
      <c r="A70" s="4"/>
      <c r="B70" s="10"/>
      <c r="C70" s="12"/>
      <c r="D70" s="12"/>
      <c r="E70" s="13"/>
      <c r="F70" s="12"/>
      <c r="G70" s="12"/>
      <c r="H70" s="42"/>
      <c r="I70" s="12"/>
      <c r="J70" s="11"/>
      <c r="K70" s="12"/>
      <c r="L70" s="17"/>
    </row>
    <row r="71" ht="15" spans="1:12">
      <c r="A71" s="4"/>
      <c r="B71" s="10"/>
      <c r="C71" s="12"/>
      <c r="D71" s="12"/>
      <c r="E71" s="13"/>
      <c r="F71" s="12"/>
      <c r="G71" s="13"/>
      <c r="H71" s="15"/>
      <c r="I71" s="12"/>
      <c r="J71" s="11"/>
      <c r="K71" s="12"/>
      <c r="L71" s="17"/>
    </row>
    <row r="72" ht="15" spans="1:12">
      <c r="A72" s="4"/>
      <c r="B72" s="10"/>
      <c r="C72" s="12"/>
      <c r="D72" s="12"/>
      <c r="E72" s="13"/>
      <c r="F72" s="12"/>
      <c r="G72" s="12"/>
      <c r="H72" s="15"/>
      <c r="I72" s="12"/>
      <c r="J72" s="11"/>
      <c r="K72" s="12"/>
      <c r="L72" s="17"/>
    </row>
    <row r="73" ht="15" spans="1:12">
      <c r="A73" s="4"/>
      <c r="B73" s="10"/>
      <c r="C73" s="12"/>
      <c r="D73" s="12"/>
      <c r="E73" s="13"/>
      <c r="F73" s="12"/>
      <c r="G73" s="12"/>
      <c r="H73" s="15"/>
      <c r="I73" s="12"/>
      <c r="J73" s="11"/>
      <c r="K73" s="12"/>
      <c r="L73" s="17"/>
    </row>
    <row r="74" ht="15" spans="1:12">
      <c r="A74" s="4"/>
      <c r="B74" s="10"/>
      <c r="C74" s="12"/>
      <c r="D74" s="12"/>
      <c r="E74" s="35" t="s">
        <v>168</v>
      </c>
      <c r="F74" s="35"/>
      <c r="G74" s="35"/>
      <c r="H74" s="35"/>
      <c r="I74" s="35"/>
      <c r="J74" s="43"/>
      <c r="K74" s="38"/>
      <c r="L74" s="39">
        <f>SUM(L65:L73)</f>
        <v>0</v>
      </c>
    </row>
    <row r="75" ht="15.6" spans="1:12">
      <c r="A75" s="4"/>
      <c r="B75" s="10"/>
      <c r="C75" s="12"/>
      <c r="D75" s="12"/>
      <c r="E75" s="13" t="s">
        <v>169</v>
      </c>
      <c r="F75" s="13" t="s">
        <v>36</v>
      </c>
      <c r="G75" s="13">
        <v>1</v>
      </c>
      <c r="H75" s="40"/>
      <c r="I75" s="12"/>
      <c r="J75" s="41"/>
      <c r="K75" s="13"/>
      <c r="L75" s="17"/>
    </row>
    <row r="76" ht="15.6" spans="1:12">
      <c r="A76" s="4"/>
      <c r="B76" s="10"/>
      <c r="C76" s="12"/>
      <c r="D76" s="12"/>
      <c r="E76" s="13"/>
      <c r="F76" s="13"/>
      <c r="G76" s="13">
        <v>2</v>
      </c>
      <c r="H76" s="40"/>
      <c r="I76" s="13"/>
      <c r="J76" s="41"/>
      <c r="K76" s="13"/>
      <c r="L76" s="17"/>
    </row>
    <row r="77" ht="15" spans="1:12">
      <c r="A77" s="4" t="s">
        <v>331</v>
      </c>
      <c r="B77" s="10" t="s">
        <v>325</v>
      </c>
      <c r="C77" s="12" t="s">
        <v>152</v>
      </c>
      <c r="D77" s="12"/>
      <c r="E77" s="13" t="s">
        <v>153</v>
      </c>
      <c r="F77" s="12" t="s">
        <v>36</v>
      </c>
      <c r="G77" s="12">
        <v>1</v>
      </c>
      <c r="H77" s="15"/>
      <c r="I77" s="16"/>
      <c r="J77" s="11"/>
      <c r="K77" s="12"/>
      <c r="L77" s="17"/>
    </row>
    <row r="78" ht="15" spans="1:12">
      <c r="A78" s="4"/>
      <c r="B78" s="10"/>
      <c r="C78" s="12"/>
      <c r="D78" s="12"/>
      <c r="E78" s="13"/>
      <c r="F78" s="12"/>
      <c r="G78" s="12">
        <v>2</v>
      </c>
      <c r="H78" s="42"/>
      <c r="I78" s="16"/>
      <c r="J78" s="11"/>
      <c r="K78" s="12"/>
      <c r="L78" s="17"/>
    </row>
    <row r="79" ht="15" spans="1:12">
      <c r="A79" s="4"/>
      <c r="B79" s="10"/>
      <c r="C79" s="12"/>
      <c r="D79" s="12"/>
      <c r="E79" s="13"/>
      <c r="F79" s="12"/>
      <c r="G79" s="12">
        <v>3</v>
      </c>
      <c r="H79" s="15"/>
      <c r="I79" s="16"/>
      <c r="J79" s="11"/>
      <c r="K79" s="12"/>
      <c r="L79" s="17"/>
    </row>
    <row r="80" ht="15" spans="1:12">
      <c r="A80" s="4"/>
      <c r="B80" s="10"/>
      <c r="C80" s="12"/>
      <c r="D80" s="12"/>
      <c r="E80" s="13"/>
      <c r="F80" s="12"/>
      <c r="G80" s="12"/>
      <c r="H80" s="15"/>
      <c r="I80" s="16"/>
      <c r="J80" s="11"/>
      <c r="K80" s="12"/>
      <c r="L80" s="17"/>
    </row>
    <row r="81" ht="15" spans="1:12">
      <c r="A81" s="4"/>
      <c r="B81" s="10"/>
      <c r="C81" s="12"/>
      <c r="D81" s="12"/>
      <c r="E81" s="13"/>
      <c r="F81" s="12"/>
      <c r="G81" s="12"/>
      <c r="H81" s="15"/>
      <c r="I81" s="16"/>
      <c r="J81" s="11"/>
      <c r="K81" s="12"/>
      <c r="L81" s="17"/>
    </row>
    <row r="82" ht="15" spans="1:12">
      <c r="A82" s="4"/>
      <c r="B82" s="10"/>
      <c r="C82" s="12"/>
      <c r="D82" s="12"/>
      <c r="E82" s="13"/>
      <c r="F82" s="12"/>
      <c r="G82" s="12"/>
      <c r="H82" s="42"/>
      <c r="I82" s="12"/>
      <c r="J82" s="11"/>
      <c r="K82" s="12"/>
      <c r="L82" s="17"/>
    </row>
    <row r="83" ht="15" spans="1:12">
      <c r="A83" s="4"/>
      <c r="B83" s="10"/>
      <c r="C83" s="12"/>
      <c r="D83" s="12"/>
      <c r="E83" s="13"/>
      <c r="F83" s="12"/>
      <c r="G83" s="13"/>
      <c r="H83" s="15"/>
      <c r="I83" s="12"/>
      <c r="J83" s="11"/>
      <c r="K83" s="12"/>
      <c r="L83" s="17"/>
    </row>
    <row r="84" ht="15" spans="1:12">
      <c r="A84" s="4"/>
      <c r="B84" s="10"/>
      <c r="C84" s="12"/>
      <c r="D84" s="12"/>
      <c r="E84" s="13"/>
      <c r="F84" s="12"/>
      <c r="G84" s="12"/>
      <c r="H84" s="15"/>
      <c r="I84" s="12"/>
      <c r="J84" s="11"/>
      <c r="K84" s="12"/>
      <c r="L84" s="17"/>
    </row>
    <row r="85" ht="15" spans="1:12">
      <c r="A85" s="4"/>
      <c r="B85" s="10"/>
      <c r="C85" s="12"/>
      <c r="D85" s="12"/>
      <c r="E85" s="13"/>
      <c r="F85" s="12"/>
      <c r="G85" s="12"/>
      <c r="H85" s="15"/>
      <c r="I85" s="12"/>
      <c r="J85" s="11"/>
      <c r="K85" s="12"/>
      <c r="L85" s="17"/>
    </row>
    <row r="86" ht="15" spans="1:12">
      <c r="A86" s="4"/>
      <c r="B86" s="10"/>
      <c r="C86" s="12"/>
      <c r="D86" s="12"/>
      <c r="E86" s="35" t="s">
        <v>168</v>
      </c>
      <c r="F86" s="35"/>
      <c r="G86" s="35"/>
      <c r="H86" s="35"/>
      <c r="I86" s="35"/>
      <c r="J86" s="43"/>
      <c r="K86" s="38"/>
      <c r="L86" s="39">
        <f>SUM(L77:L85)</f>
        <v>0</v>
      </c>
    </row>
    <row r="87" ht="15.6" spans="1:12">
      <c r="A87" s="4"/>
      <c r="B87" s="10"/>
      <c r="C87" s="12"/>
      <c r="D87" s="12"/>
      <c r="E87" s="13" t="s">
        <v>169</v>
      </c>
      <c r="F87" s="13" t="s">
        <v>36</v>
      </c>
      <c r="G87" s="13">
        <v>1</v>
      </c>
      <c r="H87" s="40"/>
      <c r="I87" s="12"/>
      <c r="J87" s="41"/>
      <c r="K87" s="13"/>
      <c r="L87" s="44"/>
    </row>
    <row r="88" ht="15.6" spans="1:12">
      <c r="A88" s="4"/>
      <c r="B88" s="10"/>
      <c r="C88" s="12"/>
      <c r="D88" s="12"/>
      <c r="E88" s="13"/>
      <c r="F88" s="13"/>
      <c r="G88" s="13">
        <v>2</v>
      </c>
      <c r="H88" s="40"/>
      <c r="I88" s="13"/>
      <c r="J88" s="41"/>
      <c r="K88" s="13"/>
      <c r="L88" s="44"/>
    </row>
    <row r="89" ht="15" spans="1:12">
      <c r="A89" s="55" t="s">
        <v>332</v>
      </c>
      <c r="B89" s="56"/>
      <c r="C89" s="57" t="s">
        <v>152</v>
      </c>
      <c r="D89" s="57"/>
      <c r="E89" s="58" t="s">
        <v>153</v>
      </c>
      <c r="F89" s="57" t="s">
        <v>36</v>
      </c>
      <c r="G89" s="57">
        <v>1</v>
      </c>
      <c r="H89" s="59"/>
      <c r="I89" s="16"/>
      <c r="J89" s="60"/>
      <c r="K89" s="57"/>
      <c r="L89" s="17"/>
    </row>
    <row r="90" ht="15" spans="1:12">
      <c r="A90" s="55"/>
      <c r="B90" s="56"/>
      <c r="C90" s="57"/>
      <c r="D90" s="57"/>
      <c r="E90" s="58"/>
      <c r="F90" s="57"/>
      <c r="G90" s="57">
        <v>2</v>
      </c>
      <c r="H90" s="47"/>
      <c r="I90" s="16"/>
      <c r="J90" s="60"/>
      <c r="K90" s="57"/>
      <c r="L90" s="17"/>
    </row>
    <row r="91" ht="15" spans="1:12">
      <c r="A91" s="55"/>
      <c r="B91" s="56"/>
      <c r="C91" s="57"/>
      <c r="D91" s="57"/>
      <c r="E91" s="58"/>
      <c r="F91" s="57"/>
      <c r="G91" s="57">
        <v>3</v>
      </c>
      <c r="H91" s="61"/>
      <c r="I91" s="16"/>
      <c r="J91" s="60"/>
      <c r="K91" s="57"/>
      <c r="L91" s="17"/>
    </row>
    <row r="92" ht="15" spans="1:12">
      <c r="A92" s="55"/>
      <c r="B92" s="56"/>
      <c r="C92" s="57"/>
      <c r="D92" s="57"/>
      <c r="E92" s="58"/>
      <c r="F92" s="57"/>
      <c r="G92" s="57"/>
      <c r="H92" s="61"/>
      <c r="I92" s="16"/>
      <c r="J92" s="60"/>
      <c r="K92" s="57"/>
      <c r="L92" s="17"/>
    </row>
    <row r="93" ht="15" spans="1:12">
      <c r="A93" s="55"/>
      <c r="B93" s="56"/>
      <c r="C93" s="57"/>
      <c r="D93" s="57"/>
      <c r="E93" s="58"/>
      <c r="F93" s="57"/>
      <c r="G93" s="57"/>
      <c r="H93" s="61"/>
      <c r="I93" s="16"/>
      <c r="J93" s="60"/>
      <c r="K93" s="57"/>
      <c r="L93" s="17"/>
    </row>
    <row r="94" ht="15" spans="1:12">
      <c r="A94" s="55"/>
      <c r="B94" s="56"/>
      <c r="C94" s="57"/>
      <c r="D94" s="57"/>
      <c r="E94" s="58"/>
      <c r="F94" s="57"/>
      <c r="G94" s="57"/>
      <c r="H94" s="62"/>
      <c r="I94" s="57"/>
      <c r="J94" s="60"/>
      <c r="K94" s="57"/>
      <c r="L94" s="17"/>
    </row>
    <row r="95" ht="15" spans="1:12">
      <c r="A95" s="55"/>
      <c r="B95" s="56"/>
      <c r="C95" s="57"/>
      <c r="D95" s="57"/>
      <c r="E95" s="58"/>
      <c r="F95" s="57"/>
      <c r="G95" s="58"/>
      <c r="H95" s="61"/>
      <c r="I95" s="57"/>
      <c r="J95" s="60"/>
      <c r="K95" s="57"/>
      <c r="L95" s="17"/>
    </row>
    <row r="96" ht="15" spans="1:12">
      <c r="A96" s="55"/>
      <c r="B96" s="56"/>
      <c r="C96" s="57"/>
      <c r="D96" s="57"/>
      <c r="E96" s="58"/>
      <c r="F96" s="57"/>
      <c r="G96" s="57"/>
      <c r="H96" s="61"/>
      <c r="I96" s="57"/>
      <c r="J96" s="60"/>
      <c r="K96" s="57"/>
      <c r="L96" s="17"/>
    </row>
    <row r="97" ht="15" spans="1:12">
      <c r="A97" s="55"/>
      <c r="B97" s="56"/>
      <c r="C97" s="57"/>
      <c r="D97" s="57"/>
      <c r="E97" s="58"/>
      <c r="F97" s="57"/>
      <c r="G97" s="57"/>
      <c r="H97" s="61"/>
      <c r="I97" s="57"/>
      <c r="J97" s="60"/>
      <c r="K97" s="57"/>
      <c r="L97" s="17"/>
    </row>
    <row r="98" ht="15" spans="1:12">
      <c r="A98" s="55"/>
      <c r="B98" s="56"/>
      <c r="C98" s="57"/>
      <c r="D98" s="57"/>
      <c r="E98" s="35" t="s">
        <v>168</v>
      </c>
      <c r="F98" s="35"/>
      <c r="G98" s="35"/>
      <c r="H98" s="35"/>
      <c r="I98" s="35"/>
      <c r="J98" s="43"/>
      <c r="K98" s="38"/>
      <c r="L98" s="39">
        <f>SUM(L89:L97)</f>
        <v>0</v>
      </c>
    </row>
    <row r="99" ht="15.6" spans="1:12">
      <c r="A99" s="55"/>
      <c r="B99" s="56"/>
      <c r="C99" s="57"/>
      <c r="D99" s="57"/>
      <c r="E99" s="58" t="s">
        <v>169</v>
      </c>
      <c r="F99" s="58" t="s">
        <v>36</v>
      </c>
      <c r="G99" s="58">
        <v>1</v>
      </c>
      <c r="H99" s="63"/>
      <c r="I99" s="57"/>
      <c r="J99" s="64"/>
      <c r="K99" s="58"/>
      <c r="L99" s="65"/>
    </row>
    <row r="100" ht="15.6" spans="1:12">
      <c r="A100" s="55"/>
      <c r="B100" s="56"/>
      <c r="C100" s="57"/>
      <c r="D100" s="57"/>
      <c r="E100" s="58"/>
      <c r="F100" s="58"/>
      <c r="G100" s="58">
        <v>2</v>
      </c>
      <c r="H100" s="63"/>
      <c r="I100" s="58"/>
      <c r="J100" s="64"/>
      <c r="K100" s="58"/>
      <c r="L100" s="65"/>
    </row>
  </sheetData>
  <mergeCells count="77">
    <mergeCell ref="E14:H14"/>
    <mergeCell ref="E26:H26"/>
    <mergeCell ref="E38:H38"/>
    <mergeCell ref="E50:H50"/>
    <mergeCell ref="E62:H62"/>
    <mergeCell ref="E74:H74"/>
    <mergeCell ref="E86:H86"/>
    <mergeCell ref="E98:H98"/>
    <mergeCell ref="A2:A16"/>
    <mergeCell ref="A17:A28"/>
    <mergeCell ref="A29:A40"/>
    <mergeCell ref="A41:A52"/>
    <mergeCell ref="A53:A64"/>
    <mergeCell ref="A65:A76"/>
    <mergeCell ref="A77:A88"/>
    <mergeCell ref="A89:A100"/>
    <mergeCell ref="B2:B16"/>
    <mergeCell ref="B17:B28"/>
    <mergeCell ref="B29:B40"/>
    <mergeCell ref="B41:B52"/>
    <mergeCell ref="B53:B64"/>
    <mergeCell ref="B65:B76"/>
    <mergeCell ref="B77:B88"/>
    <mergeCell ref="B89:B100"/>
    <mergeCell ref="C2:C16"/>
    <mergeCell ref="C17:C28"/>
    <mergeCell ref="C29:C40"/>
    <mergeCell ref="C41:C52"/>
    <mergeCell ref="C53:C64"/>
    <mergeCell ref="C65:C76"/>
    <mergeCell ref="C77:C88"/>
    <mergeCell ref="C89:C100"/>
    <mergeCell ref="D2:D16"/>
    <mergeCell ref="D17:D28"/>
    <mergeCell ref="D29:D40"/>
    <mergeCell ref="D41:D52"/>
    <mergeCell ref="D53:D64"/>
    <mergeCell ref="D65:D76"/>
    <mergeCell ref="D77:D88"/>
    <mergeCell ref="D89:D100"/>
    <mergeCell ref="E2:E13"/>
    <mergeCell ref="E15:E16"/>
    <mergeCell ref="E17:E25"/>
    <mergeCell ref="E27:E28"/>
    <mergeCell ref="E29:E37"/>
    <mergeCell ref="E39:E40"/>
    <mergeCell ref="E41:E49"/>
    <mergeCell ref="E51:E52"/>
    <mergeCell ref="E53:E61"/>
    <mergeCell ref="E63:E64"/>
    <mergeCell ref="E65:E73"/>
    <mergeCell ref="E75:E76"/>
    <mergeCell ref="E77:E85"/>
    <mergeCell ref="E87:E88"/>
    <mergeCell ref="E89:E97"/>
    <mergeCell ref="E99:E100"/>
    <mergeCell ref="F2:F13"/>
    <mergeCell ref="F15:F16"/>
    <mergeCell ref="F17:F25"/>
    <mergeCell ref="F27:F28"/>
    <mergeCell ref="F29:F34"/>
    <mergeCell ref="F35:F37"/>
    <mergeCell ref="F39:F40"/>
    <mergeCell ref="F41:F46"/>
    <mergeCell ref="F47:F49"/>
    <mergeCell ref="F51:F52"/>
    <mergeCell ref="F53:F58"/>
    <mergeCell ref="F59:F61"/>
    <mergeCell ref="F63:F64"/>
    <mergeCell ref="F65:F73"/>
    <mergeCell ref="F75:F76"/>
    <mergeCell ref="F77:F85"/>
    <mergeCell ref="F87:F88"/>
    <mergeCell ref="F89:F97"/>
    <mergeCell ref="F99:F100"/>
    <mergeCell ref="H12:H13"/>
    <mergeCell ref="H59:H6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项目汇总</vt:lpstr>
      <vt:lpstr>交付-不动产组</vt:lpstr>
      <vt:lpstr>交付-房产组</vt:lpstr>
      <vt:lpstr>交付-物业组</vt:lpstr>
      <vt:lpstr>交付-AI大数据组</vt:lpstr>
      <vt:lpstr>交付-JD组</vt:lpstr>
      <vt:lpstr>产品研发部</vt:lpstr>
      <vt:lpstr>汇房智选部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王壮-leo</dc:creator>
  <cp:lastModifiedBy>阐述者 ~</cp:lastModifiedBy>
  <dcterms:created xsi:type="dcterms:W3CDTF">2015-06-05T18:19:00Z</dcterms:created>
  <dcterms:modified xsi:type="dcterms:W3CDTF">2026-03-13T13:51:35Z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8CE315F449C943B0A03441FAB45BFA52_13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