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644" tabRatio="905"/>
  </bookViews>
  <sheets>
    <sheet name="项目汇总" sheetId="1" r:id="rId1"/>
    <sheet name="交付-不动产组" sheetId="2" r:id="rId2"/>
    <sheet name="交付-房产组" sheetId="3" r:id="rId3"/>
    <sheet name="交付-物业组" sheetId="4" r:id="rId4"/>
    <sheet name="交付-AI大数据组" sheetId="5" r:id="rId5"/>
    <sheet name="交付-JD组" sheetId="6" r:id="rId6"/>
    <sheet name="产品研发部" sheetId="7" r:id="rId7"/>
    <sheet name="汇房智选部" sheetId="8" r:id="rId8"/>
    <sheet name="软件项目部" sheetId="9" r:id="rId9"/>
  </sheets>
  <externalReferences>
    <externalReference r:id="rId10"/>
    <externalReference r:id="rId11"/>
    <externalReference r:id="rId12"/>
    <externalReference r:id="rId13"/>
  </externalReferences>
  <definedNames>
    <definedName name="_xlnm._FilterDatabase" localSheetId="1" hidden="1">'交付-不动产组'!$A$1:$L$36</definedName>
    <definedName name="_xlnm._FilterDatabase" localSheetId="7" hidden="1">汇房智选部!$I$1:$I$56</definedName>
    <definedName name="_xlnm._FilterDatabase" localSheetId="8" hidden="1">软件项目部!$A$1:$Z$40</definedName>
    <definedName name="_xlnm._FilterDatabase" localSheetId="2" hidden="1">#REF!</definedName>
    <definedName name="_xlnm._FilterDatabase" localSheetId="3" hidden="1">#REF!</definedName>
    <definedName name="_xlnm._FilterDatabase" localSheetId="4" hidden="1">#REF!</definedName>
    <definedName name="_xlnm._FilterDatabase" localSheetId="5" hidden="1">#REF!</definedName>
    <definedName name="_xlnm._FilterDatabase" localSheetId="6" hidden="1">产品研发部!#REF!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王壮-leo</author>
  </authors>
  <commentList>
    <comment ref="M2" authorId="0">
      <text>
        <r>
          <rPr>
            <b/>
            <sz val="9"/>
            <rFont val="宋体"/>
            <charset val="134"/>
          </rPr>
          <t>王壮-leo:</t>
        </r>
        <r>
          <rPr>
            <sz val="9"/>
            <rFont val="宋体"/>
            <charset val="134"/>
          </rPr>
          <t xml:space="preserve">
按照每周各项目成员填报工时累计之和除以8计算</t>
        </r>
      </text>
    </comment>
  </commentList>
</comments>
</file>

<file path=xl/sharedStrings.xml><?xml version="1.0" encoding="utf-8"?>
<sst xmlns="http://schemas.openxmlformats.org/spreadsheetml/2006/main" count="958" uniqueCount="399">
  <si>
    <t>项目周报汇总（2026.4.27-2025.4.30）</t>
  </si>
  <si>
    <t>序号</t>
  </si>
  <si>
    <t>隶属部门</t>
  </si>
  <si>
    <t>项目类型</t>
  </si>
  <si>
    <t>项目编号</t>
  </si>
  <si>
    <t>项目名称</t>
  </si>
  <si>
    <t>项目经理</t>
  </si>
  <si>
    <t>立项情况</t>
  </si>
  <si>
    <t>当前阶段</t>
  </si>
  <si>
    <t>进度情况</t>
  </si>
  <si>
    <t>总体完成进度</t>
  </si>
  <si>
    <t>合同状态</t>
  </si>
  <si>
    <t>回款情况</t>
  </si>
  <si>
    <t>上周人力投入(人天)</t>
  </si>
  <si>
    <t>本周人力投入(人天)</t>
  </si>
  <si>
    <t>人力较上周</t>
  </si>
  <si>
    <t>重大问题和风险</t>
  </si>
  <si>
    <t>待协调资源</t>
  </si>
  <si>
    <t>备注</t>
  </si>
  <si>
    <t>交付中心
（王壮）</t>
  </si>
  <si>
    <t>不动产组
（宋义振）</t>
  </si>
  <si>
    <t>济南市不动产登记系统功能拓展</t>
  </si>
  <si>
    <t>宋义振</t>
  </si>
  <si>
    <t>长期项目</t>
  </si>
  <si>
    <t>上线运行</t>
  </si>
  <si>
    <t>正常</t>
  </si>
  <si>
    <t>——</t>
  </si>
  <si>
    <t>已申报预算，未签订</t>
  </si>
  <si>
    <t>不动产登记信息平台信创升级改造项目</t>
  </si>
  <si>
    <t>已立项</t>
  </si>
  <si>
    <t>验收</t>
  </si>
  <si>
    <t>已签订</t>
  </si>
  <si>
    <t>完成初验，目前处于各子系统陆续切换过程中，分好多系统需要信创上线  最后一个系统上线是今年10月份；4.17那周电子监督和电子证照本周上线，4.24周云柜台、智能审核、律师查询系统上线，本周4.30没有上线系统，保持原进度</t>
  </si>
  <si>
    <t>济南市不动产登记云柜台（线上移动)系统</t>
  </si>
  <si>
    <t>陈一明</t>
  </si>
  <si>
    <t>未立项</t>
  </si>
  <si>
    <t>云柜台上线好几年了，之前不断增加新功能，今年基本没有新增需求，目前处于运维过程中，本月云柜台信创上线</t>
  </si>
  <si>
    <t>济南市不动产预受理系统</t>
  </si>
  <si>
    <t>2025年4月上线，一直保持运维过程中，项目运行文档，本周没有工作输出</t>
  </si>
  <si>
    <t>房产组
（刘存山）</t>
  </si>
  <si>
    <t>济南市房产交易管理平台拓展</t>
  </si>
  <si>
    <t>张大伟</t>
  </si>
  <si>
    <t>未签订</t>
  </si>
  <si>
    <t>济南房产交易与租赁服务平台</t>
  </si>
  <si>
    <t>李宪鹏</t>
  </si>
  <si>
    <t>严重延迟</t>
  </si>
  <si>
    <t>已签合同</t>
  </si>
  <si>
    <t>进度延迟严重</t>
  </si>
  <si>
    <t>2025年12月完成初验，目前调整及测试中，甲方暂定5月份上线，服务器资源预计5月中旬能够到位</t>
  </si>
  <si>
    <t>21250606J</t>
  </si>
  <si>
    <t>山东省机关事务局职工房改管理系统适配改造项目</t>
  </si>
  <si>
    <t>付艳芳</t>
  </si>
  <si>
    <t>维护</t>
  </si>
  <si>
    <t>2025年12月完成终验，现在处于3年免费运维中</t>
  </si>
  <si>
    <t>宿松房产一体化平台</t>
  </si>
  <si>
    <t>刘存山</t>
  </si>
  <si>
    <t>实施</t>
  </si>
  <si>
    <t>立项工作准备中，计划下周立项</t>
  </si>
  <si>
    <t>物业组
（袁畅）</t>
  </si>
  <si>
    <t>日照市三平台融合、智慧物业、住宅专项维修资金系统信创改造项目</t>
  </si>
  <si>
    <t>王成</t>
  </si>
  <si>
    <t>还没组织验收，现在是上线配合推广阶段</t>
  </si>
  <si>
    <t>滨州智慧物业</t>
  </si>
  <si>
    <t>王壮</t>
  </si>
  <si>
    <t>有合同</t>
  </si>
  <si>
    <t>AI大数据组
（李朔刚）</t>
  </si>
  <si>
    <t>济南市不动产登记全量数据汇交及比对系统</t>
  </si>
  <si>
    <t>李朔刚</t>
  </si>
  <si>
    <t>0(0%)</t>
  </si>
  <si>
    <t>一直有新需求，持续开发</t>
  </si>
  <si>
    <t>济南市不动产登记电子监督系统功能拓展</t>
  </si>
  <si>
    <t>一直有新需求，交房即办证也有合同，还在执行中</t>
  </si>
  <si>
    <t>不动产登记人工智能数字人(一期)项目</t>
  </si>
  <si>
    <t>开发</t>
  </si>
  <si>
    <t>延迟</t>
  </si>
  <si>
    <t>无合同</t>
  </si>
  <si>
    <t>大汉平台对接不动产接口有问题，大汉一直在解决，24号这周主要工作是算力接口测试</t>
  </si>
  <si>
    <t>21250313J</t>
  </si>
  <si>
    <t>电子监督系统标准化产品改造</t>
  </si>
  <si>
    <t>佟丽</t>
  </si>
  <si>
    <t>发布</t>
  </si>
  <si>
    <t>开发完成，有订单可上线运行，目前已申请专利过程中</t>
  </si>
  <si>
    <t>JD组
（王庆嵋）</t>
  </si>
  <si>
    <t>210123ZHJJ02</t>
  </si>
  <si>
    <t>基层经费监管系统升级研发（二期）</t>
  </si>
  <si>
    <t>王庆嵋</t>
  </si>
  <si>
    <t>2025年10月完成初验进行上线，客户一直未组织终验</t>
  </si>
  <si>
    <t>JD维护</t>
  </si>
  <si>
    <t>技术支持部
（王壮）</t>
  </si>
  <si>
    <t>运维项目</t>
  </si>
  <si>
    <t>不动产登记应用软件维护</t>
  </si>
  <si>
    <t>付蕾</t>
  </si>
  <si>
    <t>济南市房产交易部门运维</t>
  </si>
  <si>
    <t>本周完成实际工作量核实</t>
  </si>
  <si>
    <t>房产项目运维</t>
  </si>
  <si>
    <t>维修资金项目运维</t>
  </si>
  <si>
    <t>智慧物业运维</t>
  </si>
  <si>
    <t>人力小计：</t>
  </si>
  <si>
    <t>人力饱和度</t>
  </si>
  <si>
    <t>袁畅借调软件项目部</t>
  </si>
  <si>
    <t>产品研发部
（曹倩）</t>
  </si>
  <si>
    <t>研发项目</t>
  </si>
  <si>
    <t>21250925HF</t>
  </si>
  <si>
    <t>汇房智慧住房租赁综合管理与服务平台</t>
  </si>
  <si>
    <t>魏山明</t>
  </si>
  <si>
    <t>立项</t>
  </si>
  <si>
    <t>技术支撑平台</t>
  </si>
  <si>
    <t>石伟佳</t>
  </si>
  <si>
    <t>原基础平台更名为技术支撑平台</t>
  </si>
  <si>
    <t>智慧房产产品线项目</t>
  </si>
  <si>
    <t>曹倩</t>
  </si>
  <si>
    <t>数据治理平台</t>
  </si>
  <si>
    <t>4.30本周因二期功能有所增加，由原先20%进度调整为15%</t>
  </si>
  <si>
    <t>济南市不动产登记系统功能拓展(研发支持)</t>
  </si>
  <si>
    <t>不动产电子监督系统功能拓展(研发支持)</t>
  </si>
  <si>
    <t>汇房智选部
（任建伟）</t>
  </si>
  <si>
    <t>22250903HF</t>
  </si>
  <si>
    <t>济南市联合资产交易公示平台</t>
  </si>
  <si>
    <t>王帅</t>
  </si>
  <si>
    <t>汇房云经纪人</t>
  </si>
  <si>
    <t>任建伟</t>
  </si>
  <si>
    <t>22250829HF</t>
  </si>
  <si>
    <t>车位使用权公证备案平台</t>
  </si>
  <si>
    <t>22251028HFJ</t>
  </si>
  <si>
    <t>卓识网安业务平台系统</t>
  </si>
  <si>
    <t>3月底左右验收</t>
  </si>
  <si>
    <t>21250516HF</t>
  </si>
  <si>
    <t>汇房云培训考试（汇房考试培训系统）</t>
  </si>
  <si>
    <t>21250801J</t>
  </si>
  <si>
    <t>公司内部系统维护升级项目</t>
  </si>
  <si>
    <t>房源超市SaaS产品化改造(新房超市SaaS)</t>
  </si>
  <si>
    <t>李昱江</t>
  </si>
  <si>
    <t>卓识网安业务平台系统-知识库</t>
  </si>
  <si>
    <t>售前</t>
  </si>
  <si>
    <t>价格未谈拢</t>
  </si>
  <si>
    <t>房屋租赁管理系统(汇房云租)</t>
  </si>
  <si>
    <t>待立项</t>
  </si>
  <si>
    <t>挂起</t>
  </si>
  <si>
    <t>阳信房产超市运维&amp;乐居乳山</t>
  </si>
  <si>
    <t>安震、王帅</t>
  </si>
  <si>
    <t>软件项目部
(王成)</t>
  </si>
  <si>
    <t>日照银行智慧社区维护与升级</t>
  </si>
  <si>
    <t>泉农通二期销售售前支持</t>
  </si>
  <si>
    <t>刘传祥</t>
  </si>
  <si>
    <t>销售立项</t>
  </si>
  <si>
    <t>项目信息</t>
  </si>
  <si>
    <t>当前进度</t>
  </si>
  <si>
    <t>合同回款情况</t>
  </si>
  <si>
    <t>工作/计划</t>
  </si>
  <si>
    <t>模块名称</t>
  </si>
  <si>
    <t>任务简述（多人完成可以合并单元格）</t>
  </si>
  <si>
    <t>责任人（只能填一个人）</t>
  </si>
  <si>
    <t>完成度</t>
  </si>
  <si>
    <t>未完成情况说明</t>
  </si>
  <si>
    <t>工作量（人日）</t>
  </si>
  <si>
    <t xml:space="preserve">济南市不动产登记系统功能拓展
项目编号：22220901
</t>
  </si>
  <si>
    <t>--</t>
  </si>
  <si>
    <t>本周工作</t>
  </si>
  <si>
    <t>不动产登记系统：添加合同列表页面，增加网签业务业务状态字段显示。</t>
  </si>
  <si>
    <t>不动产登记系统：不动产信托登记申请表知晓事项增加。</t>
  </si>
  <si>
    <t>不动产登记系统：配合云勘察、评估系统信创上线，涉及系统调用接口地址切换、发版、测试联调工作。（涉及rerip、reiss、reissClient项目）</t>
  </si>
  <si>
    <t>数据统计任务：13条。</t>
  </si>
  <si>
    <t>李国强</t>
  </si>
  <si>
    <t xml:space="preserve"> 不动产智能审核系统：流程日志时间偏差问题定位。新增抵押设立：被担保主债权数额和最高债权数额校验。</t>
  </si>
  <si>
    <t>张志鹏</t>
  </si>
  <si>
    <t>云柜台业务：人员列表（申请人以及其他相关人员）后方增加人脸识别按钮，调用国家级公安接口。</t>
  </si>
  <si>
    <t>网上抵押系统合同查询功能修改发布。</t>
  </si>
  <si>
    <t>李中正</t>
  </si>
  <si>
    <t>网上抵押系统贷后预警功能修改发布。</t>
  </si>
  <si>
    <t>网上抵押系统，农房系统日常维护。</t>
  </si>
  <si>
    <t>合计</t>
  </si>
  <si>
    <t>下周计划</t>
  </si>
  <si>
    <t xml:space="preserve">济南市不动产登记中心不动产登记信息平台信创升级改造项目
项目编号：22250226
</t>
  </si>
  <si>
    <t>信创-登记系统</t>
  </si>
  <si>
    <t>梳理登记系统受理业务过程调用外部接口情况。并形成文档</t>
  </si>
  <si>
    <t>登记系统相关接口及定时任务项目服务器资源分配梳理。</t>
  </si>
  <si>
    <t>部署信创wiztek项目，支持IE环境https://59.206.138.72:8077   
nginx代理集群机器  172.16.12.62:8077  
       集群暂时先放开一个机器  172.16.12.57:8170 
      nginx 配置为 https   tomcat 也配置为https 
 部署 rerip ,elandArc项目</t>
  </si>
  <si>
    <t>信创-云柜台</t>
  </si>
  <si>
    <t>协助排查律师查询系统前端提交报错问题；
沟通、协助排查111.34.80.133:8161端口存在远程代码执行漏洞问题；
阿里云域名解析问题沟通，历史解析记录清除；
排查房信通查询不到问题，并反馈；</t>
  </si>
  <si>
    <t>信创-电子监督系统、数据汇聚分平台</t>
  </si>
  <si>
    <t>数据汇聚分平台数据同步程序测试，数据导入</t>
  </si>
  <si>
    <t>其他</t>
  </si>
  <si>
    <t>律师查询添加跳转页面，移动端配合调试。</t>
  </si>
  <si>
    <t>董文超</t>
  </si>
  <si>
    <t>律师查询：信创环境定位手机端查询申请提交报错，并解决问题。律师查询增加引导页。跳转信创环境用。</t>
  </si>
  <si>
    <t>网上抵押接口信创适配测试</t>
  </si>
  <si>
    <t>济南市不动产登记云柜台（线上移动)系统
项目编号：22220202</t>
  </si>
  <si>
    <t>运维</t>
  </si>
  <si>
    <t>济南市不动产预受理系统
项目编号：22220701</t>
  </si>
  <si>
    <t>济南不动产登记平台运行维护
项目编号：41221101</t>
  </si>
  <si>
    <t>不动产软件运维</t>
  </si>
  <si>
    <t>处理登记系统、抵押系统等业务问题，共计 293 件，详情见附件1。
增量数据汇交每日巡检。</t>
  </si>
  <si>
    <t>李猛</t>
  </si>
  <si>
    <t>杨森</t>
  </si>
  <si>
    <t>不动产系统运维</t>
  </si>
  <si>
    <t>每日数据巡检问题数据汇交。 
每日不动产增量数据汇交系统查看。
数据共享四台信创机器的java密钥库添加93.130的https证书的信任；数据共享信创机器添加加密机的代理。
数据共享信创机器上安装jdk8，防火墙配置开放端口策略。
智能审核在139和8台was机器上添加ntpdate时间同步的定时任务。
电子监督信创申请访问大数据局城市大脑地址；
数据共享信创机器申请访问济南政务服务网信创地址。
二手房预受理信创访问大数据局电子签章的申请卡住了，找大数据相关部门咨询。
信创数据共享机器部署5个tomcat给电子证照、税务、图纸、水电气、图纸、法院查封等定时任务用。
10.10.10.5排队机tomcat添加定时关闭和启动任务。
信创：不动产登记tomcat节点服务器jdk8添加nginx使用的118的证书的信任，将tomcat7生成自签名https证书，62nginx代理也换成https的tomcat。
重置218-bdcxt1的vpn密码。
信创：生成tomcat节点服务器的127.0.0.1地址的https证书，测试nfs磁盘共享war包同步tomcat节点。
联系浪潮刘玉龙，重启93.137机器。
将网上抵押信创应用机器的一个端口对服务器防火墙开放。</t>
  </si>
  <si>
    <t>杨真真</t>
  </si>
  <si>
    <t>祝席成</t>
  </si>
  <si>
    <t xml:space="preserve">济南市房产交易管理平台拓展项目编号:22221201
</t>
  </si>
  <si>
    <t xml:space="preserve">梳理数据汇聚程序，编写逻辑文档 </t>
  </si>
  <si>
    <t>交易系统处理测绘相关业务以及土地证数据</t>
  </si>
  <si>
    <t>学习使用CodeBuddy搭环境测试AI编写功能</t>
  </si>
  <si>
    <t xml:space="preserve">山东省机关事务局职工房改管理系统适配改造项目：21250606J
</t>
  </si>
  <si>
    <t>文档编写等运维工作</t>
  </si>
  <si>
    <t>1 测试并修改公有住房系统标改成功能及计算公式；
2 配合主管部门提交各种统计数据；
3 日常维护，解决莱芜专班、市中赵红艳等日常操作中遇到的问题；</t>
  </si>
  <si>
    <t>宋雯雯</t>
  </si>
  <si>
    <t>1. 省市上市交易根据最新确认表编写初审，初审详情页面以及查询功能开发</t>
  </si>
  <si>
    <t>济南房产交易运维</t>
  </si>
  <si>
    <t>1.住建部前置机情况梳理及相关文档输出
2.网上服务大厅检测结果处理
3.旧系统电子证照新接口对接开发调整</t>
  </si>
  <si>
    <t>1、配合建设银行进行资金监管业务接口逻辑测试
2、老系统修改网签合同pdf模板样式
2、存量房网签及资金监管日常运维问题处理</t>
  </si>
  <si>
    <t>张杨</t>
  </si>
  <si>
    <t>处理测绘挂接、网签备案等业务问题，共计 39 件，详情件附件2。
检测平台每日巡检。
交易接口日志每日巡检。</t>
  </si>
  <si>
    <t>每日数据迁移的查看日志并删除多余备份。
填写政务云资源使用情况确认表。
整理交易这边五一假期值班表。
2楼窗口在系统使用打印的存量房合同的时候内容字体变小问题处理。
新平台网签业务系统上所有按钮整理。</t>
  </si>
  <si>
    <t>修改委托授权管理页面；整理网签业务所有按钮；</t>
  </si>
  <si>
    <t>1、给信息科工作人员讲解受理业务相关代码逻辑，涉及相关问题点逻辑进行修改完善（完成95%）
2、新增中介经纪服务合同相关接口功能并与前端完成联调测试（完成80%）
3、资金监管北京银行接口对接（完成20%）
4、新平台跟业务人员对接确定存量房网签模块的系统功能问题（完成100%）</t>
  </si>
  <si>
    <t>核对资金监管数据迁移情况
查找数据迁移异常中断原因，修复并继续迁移剩余数据
梳理对接委托、挂牌、经纪服务需求
新平台菜单功能适用范围，按钮等文档信息整理</t>
  </si>
  <si>
    <t>维修资金分析，准备</t>
  </si>
  <si>
    <t>景旭</t>
  </si>
  <si>
    <t>存量房资金监管系统开发</t>
  </si>
  <si>
    <t>郇正基</t>
  </si>
  <si>
    <t>时守杰</t>
  </si>
  <si>
    <t>档案库导入本地，协调远程资源，文档整理</t>
  </si>
  <si>
    <t>房产一体化项目：阳信、滨州、无棣、沾化、乳山维护；</t>
  </si>
  <si>
    <t>万德跃</t>
  </si>
  <si>
    <t>房产一体化：安徽地区、五莲、诸城维护</t>
  </si>
  <si>
    <t>滨州维护</t>
  </si>
  <si>
    <t>租赁网签&amp;&amp;商品房网签爱山东优化</t>
  </si>
  <si>
    <t>段佑轩</t>
  </si>
  <si>
    <t>滨州房产一体化驻场维护</t>
  </si>
  <si>
    <t>吴胜傲</t>
  </si>
  <si>
    <t>维修资金系统维护：东营地区区、滨州地区维护</t>
  </si>
  <si>
    <t>牛丽君</t>
  </si>
  <si>
    <t>1维修资金系统维护：高唐、滨州、东营、兖州、莱芜、潍坊滨海等地区维护
2惠民历史数据处理工作-现场支持</t>
  </si>
  <si>
    <t>赵衍峰</t>
  </si>
  <si>
    <t>日照维系资金驻场维护</t>
  </si>
  <si>
    <t>马睿</t>
  </si>
  <si>
    <t>维修资金对账</t>
  </si>
  <si>
    <t>王德智</t>
  </si>
  <si>
    <t>路红林</t>
  </si>
  <si>
    <t>沾化：提取商品房系统楼幢房屋信息
兖州：维修项目无法快捷记账
惠民：维修资金系统上线</t>
  </si>
  <si>
    <t>孙达</t>
  </si>
  <si>
    <t>爱山东以及微信小程序需求优化更新</t>
  </si>
  <si>
    <t>各地维修资金维护</t>
  </si>
  <si>
    <t>智慧物业维护</t>
  </si>
  <si>
    <t>日照市三平台融合、智慧物业、住宅专项维修资金系统信创改造项目
项目编号：22240822</t>
  </si>
  <si>
    <t>日照维修资金问题处理及测试</t>
  </si>
  <si>
    <t>潘春蕾</t>
  </si>
  <si>
    <t>随手拍、公共收益、数据看板等功能生产环境测试，问题处理</t>
  </si>
  <si>
    <t>许建飞</t>
  </si>
  <si>
    <t>随手拍、公共收益、数据看板等功能测试跟进，协助客户推进公共收益情况</t>
  </si>
  <si>
    <t>袁畅</t>
  </si>
  <si>
    <t>随手拍物业企业移动端页面优化</t>
  </si>
  <si>
    <t>王延磊</t>
  </si>
  <si>
    <t>随手拍物业企业移动端后端接口开发完成及测试</t>
  </si>
  <si>
    <t>纪立宁</t>
  </si>
  <si>
    <t>功能测试，问题处理</t>
  </si>
  <si>
    <t>李淑英</t>
  </si>
  <si>
    <t>日照维修资金运维</t>
  </si>
  <si>
    <t>随手拍、公共收益、数据看板等功能问题跟进</t>
  </si>
  <si>
    <t>滨州智慧物业
项目编号：23251211</t>
  </si>
  <si>
    <t>业主房屋维修资金查询接口和物业区域数据同步开发</t>
  </si>
  <si>
    <t>业主房屋维修资金查询接口和物业区域数据同步开发、测试</t>
  </si>
  <si>
    <t>公共收益测试和问题处理</t>
  </si>
  <si>
    <t>泉农通二期销售售前支持
项目编号：
121018</t>
  </si>
  <si>
    <t>网信办-系统设计、前端开发</t>
  </si>
  <si>
    <t>韩华斌</t>
  </si>
  <si>
    <t>王恒通</t>
  </si>
  <si>
    <t>网信办-招标内容推进</t>
  </si>
  <si>
    <t>农业局-泉农通小程序集成开发及测试，现场汇报沟通</t>
  </si>
  <si>
    <t>张金枝</t>
  </si>
  <si>
    <t>网信办-系统设计、前端大屏开发</t>
  </si>
  <si>
    <t>农业局项目立项</t>
  </si>
  <si>
    <t>农业局-泉农通小程序集成优化</t>
  </si>
  <si>
    <t>济南市不动产登记全量数据汇交及比对系统
项目编号：222201001</t>
  </si>
  <si>
    <t>99%</t>
  </si>
  <si>
    <t>济南市不动产登记电子监督系统功能拓展
项目编号：22220905</t>
  </si>
  <si>
    <t>90%</t>
  </si>
  <si>
    <t>1）新增功能：统计昨日窗口出具济南市不动产登记信息查询结果数据.
2）统计不动产系统内，平阴县集体建设用地土地使用权首次登记数据。属性字段包括：业务号、坐落、面积、用途、证号、不动产单元号、是否有效。
3）王建电子监督工作交接。</t>
  </si>
  <si>
    <t>王建电子监督工作交接：
1）修复本地电子监督系统document.py里把临时文件写死在/tmp/xxx.pdf无法上传文件的问题。
2）测试本地电子监督系统各个功能能否正常使用。
3）本地电子监督系统知识库构建并上传。
4）测试电子监督系统检索部分代码、知识库上传和下载部分代码、gitlab。
5）本地搭建minio，es，kibana。</t>
  </si>
  <si>
    <t>毕彦信</t>
  </si>
  <si>
    <t>闫元泉</t>
  </si>
  <si>
    <t>王建</t>
  </si>
  <si>
    <t>不动产登记人工智能数字人(一期)项目
项目编号：21250326</t>
  </si>
  <si>
    <t>85%</t>
  </si>
  <si>
    <t>1）大数据局AI算力接口API申请、网络打通、接口测试、84服务器部署dify、安装模型服务商openai插件失败。
2）编写AI检索设计文档，测试关键字检索、语义检索、向量化入库、知识库问答代码。</t>
  </si>
  <si>
    <t>电子监督系统标准化产品改造
项目编号：21250313J</t>
  </si>
  <si>
    <t>住房贷款项目验收材料-需规编写</t>
  </si>
  <si>
    <t>住房贷款项目麒麟打包调试</t>
  </si>
  <si>
    <t>许兴欣</t>
  </si>
  <si>
    <t>维修大队视频制作</t>
  </si>
  <si>
    <t>住房贷款项目验收材料编写</t>
  </si>
  <si>
    <t>基层经费监管系统升级研发（二期）
项目编号：
210123ZHJJ02</t>
  </si>
  <si>
    <t>系统运维管理</t>
  </si>
  <si>
    <t>王晓阳</t>
  </si>
  <si>
    <t>系统预警生成流程优化</t>
  </si>
  <si>
    <t>去掉登录页面默认密码、关闭站内信拉取功能、关闭注册功能、去掉多余用户、去掉页面全局设置按钮、首页展示精简、处理logo拉伸问题</t>
  </si>
  <si>
    <t>开发工作调度、协调等工作</t>
  </si>
  <si>
    <t>智慧房产产品线项目
项目编号：21260422</t>
  </si>
  <si>
    <t>档案系统
一、数据源定位与验证
    1、问题回顾：前期客户提供的数据库（192.168.17.41）经分析不包含目标页面数据，导致“蒋光明”等关键数据无法查询。
    2、源码分析：获得客户ASP系统源码，从中解析出实际SQL查询逻辑，确认真正的数据源为 172.16.1.129 数据库。
    3、数据表确认：
         经分析源码 页面支持两种场景（默认为单用户场景AFSIN.descarte+AFSIN.descartes_online），另一个场景是多用户场景（AFSIN.descarte+TT.descarte) 
        目前页面主要数据来源于默认的单用户场景 AFSIN.descartes_online 表和 AFSIN.descartes，包含全部展示字段（活动序号、卷号、宗号、人员信息、房屋信息等）。
        固定过滤条件：de_category = '参照录入'。
        验证结果：连接正确的数据库后，执行单用户场景的SQL语句，返回数据与页面完全一致，彻底解决了数据定位问题。
     4、界面分析：源代码table展示的列不是固定不变的，是通过查询AFSIN.bitsgroupcols表来展示列名
二、后端开发启动
    基于 Spring Boot 3.2 + MyBatis + Oracle 驱动，搭建项目框架。
    已完成：
        支持动态列名查询方便前端动态展示列名
        Mapper 接口及 XML 查询配置（支持单用户和双用户两种模式，支持动态列名，动态条件、分页）。
        Service/Controller 层编码，提供 RESTful API
三、新功能调研（从列表页面点击详情的档案资料展示界面，因一些关键业务封装到dll文件中了 需要反编译出来分析，目前还在调查中）
四、山哥在协助将129数据备份出来一些导入到咱们环境</t>
  </si>
  <si>
    <t>郭培培</t>
  </si>
  <si>
    <t>档案系统
一、数据源定位与验证
    1、问题回顾：前期客户提供的数据库（192.168.17.41）经分析不包含目标页面数据，导致“蒋光明”等关键数据无法查询。
    2、源码分析：获得客户ASP系统源码，从中解析出实际SQL查询逻辑，确认真正的数据源为 172.16.1.129 数据库。
    3、数据表确认：
       经分析源码 页面支持两种场景（默认为单用户场景），另一个场景是多用户场景 
多用户：AFSIN.descartes +TT.descartes
单用户：AFSIN.descartes + AFSIN.descartes_online
      目前页面主要数据来源于 AFSIN.descartes_online 表和 AFSIN.descartes（单用户场景），包含全部展示字段（活动序号、卷号、宗号、人员信息、房屋信息等）。
    固定过滤条件：de_category = '参照录入'。
    验证结果：连接正确的数据库后，执行源码中的SQL语句，返回数据与页面完全一致，彻底解决了数据定位问题。
二、前端开发启动
    项目框架搭建完成，支持动态表头配置，动态类型适配。
三、新功能调研（列表页面点击详情的档案资料展示界面，因一些关键业务封装到dll文件中了 需要反编译出来分析，目前还在解析中）
四、山哥在协助将129数据备份出来一些导入到咱们环境</t>
  </si>
  <si>
    <t>卢波</t>
  </si>
  <si>
    <t>商品房网签备案：
1.完成项目全生命周期管理原型设计
2.需求文档补充</t>
  </si>
  <si>
    <t>张燕</t>
  </si>
  <si>
    <t>1.房产验证相关接口定义，查询项目接口开发
2.销售许可功能开发</t>
  </si>
  <si>
    <t>彭步坤</t>
  </si>
  <si>
    <t>王光辉</t>
  </si>
  <si>
    <t>档案查询等系统需求梳理</t>
  </si>
  <si>
    <t>数据治理平台
项目编号：21260423</t>
  </si>
  <si>
    <t>执行引擎模块研发</t>
  </si>
  <si>
    <t>任务调度及监控模块研发</t>
  </si>
  <si>
    <t>回滚策略及迁移历史模块研发</t>
  </si>
  <si>
    <t>济南市不动产登记系统功能拓展
项目编号：22220901</t>
  </si>
  <si>
    <t>1、土地量化需求细节讨论以澄清（较之前版本又有新的需求变更）
2、土地预量化接收功能功能开发
3、新增土预量化校验接口功能开发
4、协助处理云网签线上生产问题
5、搭建原不动产接口项目，并熟悉代码。准备开发土地量化与业务客体之间的关联业务逻辑</t>
  </si>
  <si>
    <t>1. 土地量化需求细节讨论完善
2. 土地预量化接口入参，出参，以及逻辑实现同超图商量
3. 使用GPT对登记系统rerip受理页面改造增加量化不动产列表和选择页面
4. 使用GPT对新登记后端进行接口开发，包括选择量化不动产列表接口，删出量化不动产列表接口，查询量化不动产列表接口等
5. 协助处理律师查询上线后问题</t>
  </si>
  <si>
    <t>窦延群</t>
  </si>
  <si>
    <t>172.20.93.137测试环境搭建：
1、解决pip离线包安装问题；
2、minio、es、kibana环境安装；
3、reress_xc centos7环境配置；
4、补充缺失的libffi-devel、openssl1.1.1库，重新编译python、45、创建venv,安装pip包；
6、nginx部署配置；
7、安装mysql8;
8、完成电子监督系统测试环境部署；
9、运维脚本封装、readme文档编写、部署手册更新；</t>
  </si>
  <si>
    <t xml:space="preserve">济南市联合资产交易公示平台
项目编号：22250903HF
</t>
  </si>
  <si>
    <t>房源展厅pc端与小程序：优化并修改企业一件事板块简介内容保证两端内容表述统一、信息展示规范一致。</t>
  </si>
  <si>
    <t>梁超</t>
  </si>
  <si>
    <t>带押过户、带封过户生产数据迁移</t>
  </si>
  <si>
    <t>设计联合资产房源展厅小程序端-企业一件事页面设计与切图</t>
  </si>
  <si>
    <t>冯庆召</t>
  </si>
  <si>
    <t>1. 客户现场沟通联合资产运营方案与平台优化需求；
2. 车位备案测试与bug修复推进；
4. 现场演示车位备案平台流程，并沟通记录客户优化建议；
5. 推进法信车位备案协议签订流程改进进度；
6. 不动产政务云服务器资源申请材料编写；
7. 与公证处、法信沟通车位备案协议签署优化方案；
8. 车位备案流程优化任务分配与优化进度推进；
9. 带押过户，带封过户功能测试与进度推进；</t>
  </si>
  <si>
    <t>沟通联合资产运营方案与平台优化需求；梳理运营思路，整理大纲</t>
  </si>
  <si>
    <t xml:space="preserve">车位使用权公证备案平台
项目编号：22250829HF
</t>
  </si>
  <si>
    <t>车位备案用户操作日志SDK优化封装；</t>
  </si>
  <si>
    <t>车位备案跳转法信协议签署小程序过渡页设计；</t>
  </si>
  <si>
    <t>修改工作流回调失败问题 协助解决问题</t>
  </si>
  <si>
    <t>蔡高情</t>
  </si>
  <si>
    <t>1.车位备案生产字典，环境参数配置，尽调增加支付状态；
2.备案受理溯源新增逻辑调整，尽调查询增加法信证书状态查询，车位批量导入失败问题排查，测试问题解决；
3.车位备案操作流程增加操作记录，证据材料下载增加下载协议内容；
4.新增小区备件，车位区位图生成逻辑流程梳理，测试问题解决；</t>
  </si>
  <si>
    <t>赵敬</t>
  </si>
  <si>
    <t>1.梳理并优化系统内所有车位详情页面，将详情页统一组件，实现多场景页面复用；
2.全程跟进小程序端审核流程，顺利完成版本发版上线；
3.小程序展示字段进行整改优化，将必填项靠前展示；
4.针对开始备案及列表跳转堆栈异常进行定位修复，同时优化意向登记输入校验规则；
5.新增小区备件，车位区位图生成逻辑流程梳理，新增车位审批详情页面，增加小区备件与车位区位图对比模块；
6.后台及小程序全平台全面测试；</t>
  </si>
  <si>
    <t>车位备案流程测试</t>
  </si>
  <si>
    <t>亓俣辰</t>
  </si>
  <si>
    <t>现场演示车位备案平台流程，并沟通记录客户优化建议；</t>
  </si>
  <si>
    <t xml:space="preserve">汇房云经纪人
项目编号：21250418
</t>
  </si>
  <si>
    <t>汇房云app 房源发布流程优化调整
app+pc经纪人选择控件调整优化
app打包调整 ios证书更新等</t>
  </si>
  <si>
    <t>赵旺</t>
  </si>
  <si>
    <t>合同问题处理以及发布新版本，租赁合同模板配置</t>
  </si>
  <si>
    <t>汇房云app离线打包进度跟进，安卓IOS打包方式沟通，APP测试
汇房云运营数据查询，签约转换率统计
财务需求对接三方支付平台，交易主体独立等需求设计</t>
  </si>
  <si>
    <t>汇房云执业证等UI设计</t>
  </si>
  <si>
    <t>设计</t>
  </si>
  <si>
    <t xml:space="preserve">汇房云培训考试
项目编号：
</t>
  </si>
  <si>
    <t>滨州考试，枣庄考试运维，处理历史发证问题</t>
  </si>
  <si>
    <t>卓识网安业务平台系统
项目编号：22251028HFJ</t>
  </si>
  <si>
    <t>1. 工作台图表优化：修复验收图表标签重叠、空值显示异常、数字可读性等问题
2. 项目分级管理措施：新增导出/全量导出功能，修复业务场景字典不展示
3. 月度实施跟踪：处理后端 null 值展示、部门科室列自动换行
4. 文件预览重构：支持多文件预览，统一使用后端预览 URL
5. 性能优化：修复项目闭环工时表格接口重复调用 3 次问题
6. 导出功能完善：VxeGrid 导出增加展开列排除处理</t>
  </si>
  <si>
    <t>月度实施跟踪功能修改：处理当前或未来月份未锁定计划时，计划进场/离场相关数据返回null的逻辑；实施工作台未锁定月份返回0，完善了数据展示的边界条件处理。
测试问题支持，需求细节沟通</t>
  </si>
  <si>
    <t>导出功能优化：修复内部/外部合规要求导出异常；报告编制任务导出、技术档案导出在字段为空时不展示（备案/上报、预审测评、授权能力、产品类型、报告质量等）
项目状态逻辑调整：修改项目状态工单判断条件及现场实施→报告编制的判断条件
其他修复：修改外部/内部sheet名称、异常代码修复、项目分级管理技术措施列表SQL优化</t>
  </si>
  <si>
    <t>安震</t>
  </si>
  <si>
    <t>测试</t>
  </si>
  <si>
    <t>公司内部系统维护升级项目
项目编号：21250801J</t>
  </si>
  <si>
    <t>阳信房产超市运维</t>
  </si>
  <si>
    <t>维护五一、五四活动信息。无网签备案证明功能上线；</t>
  </si>
  <si>
    <t>五一活动相关UI设计</t>
  </si>
  <si>
    <t xml:space="preserve">日照银行智慧社区维护与升级
项目编号：22210906
</t>
  </si>
  <si>
    <t>橙e伴PC端对接智惠e家对客管理端</t>
  </si>
  <si>
    <t>菜品优选支持餐补</t>
  </si>
  <si>
    <t>王玉莹</t>
  </si>
  <si>
    <t>优化</t>
  </si>
  <si>
    <t>宜当生活白鹭湾专区对接智惠e家部分功能</t>
  </si>
  <si>
    <t>王德贤</t>
  </si>
  <si>
    <t>优化调整</t>
  </si>
  <si>
    <t>孙丁华</t>
  </si>
  <si>
    <t>行内闲置资产共享平台前端配合改造项目</t>
  </si>
  <si>
    <t>智惠e家”智慧餐厅、智慧社区系统功能优化（智惠e家增加寻车功能及对接碳惠日照）</t>
  </si>
  <si>
    <t>菜品优选二期</t>
  </si>
  <si>
    <t>“智惠e家”智慧餐厅、智慧社区系统功能优化（即墨区机关事务服务中心智慧餐厅项目系统功能优化-第三批次）</t>
  </si>
  <si>
    <t>识别性能优化</t>
  </si>
  <si>
    <t>智慧场景优化项目群（日照市人民医院本部餐厅、莒县人民法院智慧餐厅功能优化）</t>
  </si>
  <si>
    <t>智惠e家社区对接大华ICC社区通行设备</t>
  </si>
  <si>
    <t>正常开发推进</t>
  </si>
  <si>
    <t>韩化斌</t>
  </si>
  <si>
    <t>智惠e家移动端备案漏洞修复整改</t>
  </si>
  <si>
    <t>配合银行扫码测试</t>
  </si>
  <si>
    <t>潘春雷</t>
  </si>
  <si>
    <t>智惠e家漏洞修复、测试、发版、数据运维</t>
  </si>
  <si>
    <t>三方复测</t>
  </si>
  <si>
    <t>智慧餐厅离线支付项目（先享后付）
“一家人大食堂”等智慧餐厅相关系统功能优化需求
智惠e家宜当生活物业缴费功能改造
社区访客通行以及押金缴费退款需求</t>
  </si>
  <si>
    <t>正常开发</t>
  </si>
  <si>
    <t>银行运营</t>
  </si>
  <si>
    <t>银行网络金融部驻场银行业务运营</t>
  </si>
  <si>
    <t>穆德坤</t>
  </si>
  <si>
    <t>银行场景金融中心驻场银行业务运营</t>
  </si>
  <si>
    <t>赵文斌</t>
  </si>
  <si>
    <t>郑家洋</t>
  </si>
  <si>
    <t>需求</t>
  </si>
  <si>
    <t>安全保卫部智慧园区功能优化、2026年行政管理部“行政后勤管理平台”（推进）</t>
  </si>
  <si>
    <t>需求推进</t>
  </si>
  <si>
    <t>智慧餐厅移动端全量接入宜当生活、智慧物业公共收益项目推进</t>
  </si>
  <si>
    <t>需求推进，部分功能集成</t>
  </si>
  <si>
    <t>智惠e家对接对接五莲智能电表需求</t>
  </si>
  <si>
    <t>推进提报</t>
  </si>
  <si>
    <t>运营中心沉淀需求对接</t>
  </si>
  <si>
    <t>宜当生活白鹭湾专区对接智惠e家部分功能（配合业务验收）</t>
  </si>
  <si>
    <t>智惠e家社区对接大华ICC社区通行设备（完成对接）</t>
  </si>
  <si>
    <t>智慧餐厅移动端全量接入宜当生活（推进）</t>
  </si>
  <si>
    <t>安全保卫部智慧园区功能优化（推进需求提报）</t>
  </si>
  <si>
    <t>2026年行政管理部“行政后勤管理平台”（推进）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</si>
</sst>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0_);[Red]\(0.00\)"/>
  </numFmts>
  <fonts count="49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rgb="FF000000"/>
      <name val="微软雅黑"/>
      <charset val="134"/>
    </font>
    <font>
      <sz val="10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5" tint="0.4"/>
      <name val="微软雅黑"/>
      <charset val="134"/>
    </font>
    <font>
      <sz val="10"/>
      <color theme="1"/>
      <name val="等线"/>
      <charset val="134"/>
    </font>
    <font>
      <sz val="11"/>
      <color rgb="FF060A26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0"/>
      <color rgb="FF000000"/>
      <name val="宋体"/>
      <charset val="134"/>
    </font>
    <font>
      <sz val="10"/>
      <color rgb="FF000000"/>
      <name val="SimSun"/>
      <charset val="134"/>
    </font>
    <font>
      <sz val="10"/>
      <color theme="1"/>
      <name val="等线"/>
      <charset val="134"/>
      <scheme val="minor"/>
    </font>
    <font>
      <sz val="12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6" borderId="31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34" applyNumberFormat="0" applyAlignment="0" applyProtection="0">
      <alignment vertical="center"/>
    </xf>
    <xf numFmtId="0" fontId="35" fillId="8" borderId="35" applyNumberFormat="0" applyAlignment="0" applyProtection="0">
      <alignment vertical="center"/>
    </xf>
    <xf numFmtId="0" fontId="36" fillId="8" borderId="34" applyNumberFormat="0" applyAlignment="0" applyProtection="0">
      <alignment vertical="center"/>
    </xf>
    <xf numFmtId="0" fontId="37" fillId="9" borderId="36" applyNumberFormat="0" applyAlignment="0" applyProtection="0">
      <alignment vertical="center"/>
    </xf>
    <xf numFmtId="0" fontId="38" fillId="0" borderId="37" applyNumberFormat="0" applyFill="0" applyAlignment="0" applyProtection="0">
      <alignment vertical="center"/>
    </xf>
    <xf numFmtId="0" fontId="39" fillId="0" borderId="38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45" fillId="0" borderId="0">
      <alignment vertical="center"/>
    </xf>
    <xf numFmtId="176" fontId="45" fillId="0" borderId="0">
      <alignment vertical="center"/>
    </xf>
    <xf numFmtId="176" fontId="1" fillId="0" borderId="0">
      <alignment vertical="center"/>
    </xf>
    <xf numFmtId="0" fontId="1" fillId="0" borderId="0">
      <alignment vertical="center"/>
    </xf>
    <xf numFmtId="0" fontId="45" fillId="0" borderId="0">
      <alignment vertical="center"/>
    </xf>
    <xf numFmtId="176" fontId="45" fillId="0" borderId="0">
      <alignment vertical="center"/>
    </xf>
    <xf numFmtId="176" fontId="45" fillId="0" borderId="0">
      <alignment vertical="center"/>
    </xf>
    <xf numFmtId="176" fontId="45" fillId="0" borderId="0">
      <alignment vertical="center"/>
    </xf>
    <xf numFmtId="176" fontId="46" fillId="0" borderId="0">
      <alignment vertical="center"/>
    </xf>
    <xf numFmtId="176" fontId="45" fillId="0" borderId="0">
      <alignment vertical="center"/>
    </xf>
    <xf numFmtId="176" fontId="45" fillId="0" borderId="0">
      <alignment vertical="center"/>
    </xf>
    <xf numFmtId="176" fontId="45" fillId="0" borderId="0">
      <alignment vertical="center"/>
    </xf>
    <xf numFmtId="176" fontId="45" fillId="0" borderId="0" applyBorder="0">
      <alignment vertical="center"/>
    </xf>
  </cellStyleXfs>
  <cellXfs count="436">
    <xf numFmtId="176" fontId="0" fillId="0" borderId="0" xfId="0"/>
    <xf numFmtId="0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left" vertical="center"/>
    </xf>
    <xf numFmtId="0" fontId="5" fillId="0" borderId="2" xfId="0" applyNumberFormat="1" applyFont="1" applyFill="1" applyBorder="1" applyAlignment="1">
      <alignment horizontal="left" vertical="center" wrapText="1"/>
    </xf>
    <xf numFmtId="9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left" vertical="center" wrapText="1"/>
    </xf>
    <xf numFmtId="9" fontId="5" fillId="0" borderId="3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left" vertical="center" wrapText="1"/>
    </xf>
    <xf numFmtId="9" fontId="5" fillId="0" borderId="4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9" fontId="6" fillId="0" borderId="3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vertical="center"/>
    </xf>
    <xf numFmtId="0" fontId="5" fillId="3" borderId="1" xfId="0" applyNumberFormat="1" applyFont="1" applyFill="1" applyBorder="1" applyAlignment="1">
      <alignment vertical="center"/>
    </xf>
    <xf numFmtId="177" fontId="5" fillId="3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9" fontId="5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vertical="center"/>
    </xf>
    <xf numFmtId="0" fontId="4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177" fontId="5" fillId="2" borderId="1" xfId="0" applyNumberFormat="1" applyFont="1" applyFill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left" vertical="center" wrapText="1"/>
    </xf>
    <xf numFmtId="9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vertical="center"/>
    </xf>
    <xf numFmtId="0" fontId="5" fillId="2" borderId="2" xfId="0" applyNumberFormat="1" applyFont="1" applyFill="1" applyBorder="1" applyAlignment="1">
      <alignment horizontal="left" vertical="center" wrapText="1"/>
    </xf>
    <xf numFmtId="0" fontId="5" fillId="2" borderId="2" xfId="0" applyNumberFormat="1" applyFont="1" applyFill="1" applyBorder="1" applyAlignment="1">
      <alignment horizontal="center" vertical="center"/>
    </xf>
    <xf numFmtId="0" fontId="5" fillId="2" borderId="5" xfId="0" applyNumberFormat="1" applyFont="1" applyFill="1" applyBorder="1" applyAlignment="1">
      <alignment horizontal="left" vertical="center" wrapText="1"/>
    </xf>
    <xf numFmtId="0" fontId="5" fillId="2" borderId="6" xfId="0" applyNumberFormat="1" applyFont="1" applyFill="1" applyBorder="1" applyAlignment="1">
      <alignment horizontal="center" vertical="center"/>
    </xf>
    <xf numFmtId="9" fontId="5" fillId="2" borderId="2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vertical="center"/>
    </xf>
    <xf numFmtId="177" fontId="5" fillId="2" borderId="2" xfId="0" applyNumberFormat="1" applyFont="1" applyFill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 applyAlignment="1">
      <alignment horizontal="left" vertical="center" wrapText="1"/>
    </xf>
    <xf numFmtId="9" fontId="5" fillId="2" borderId="8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 applyAlignment="1">
      <alignment vertical="center"/>
    </xf>
    <xf numFmtId="177" fontId="5" fillId="2" borderId="8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/>
    <xf numFmtId="0" fontId="5" fillId="2" borderId="8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5" fillId="2" borderId="9" xfId="0" applyNumberFormat="1" applyFont="1" applyFill="1" applyBorder="1" applyAlignment="1">
      <alignment horizontal="left" vertical="center" wrapText="1"/>
    </xf>
    <xf numFmtId="0" fontId="5" fillId="2" borderId="10" xfId="0" applyNumberFormat="1" applyFont="1" applyFill="1" applyBorder="1" applyAlignment="1">
      <alignment horizontal="center" vertical="center"/>
    </xf>
    <xf numFmtId="9" fontId="7" fillId="0" borderId="8" xfId="0" applyNumberFormat="1" applyFont="1" applyFill="1" applyBorder="1" applyAlignment="1">
      <alignment horizontal="center" vertical="center" wrapText="1"/>
    </xf>
    <xf numFmtId="177" fontId="5" fillId="2" borderId="4" xfId="0" applyNumberFormat="1" applyFont="1" applyFill="1" applyBorder="1" applyAlignment="1">
      <alignment horizontal="center" vertical="center"/>
    </xf>
    <xf numFmtId="9" fontId="5" fillId="2" borderId="9" xfId="0" applyNumberFormat="1" applyFont="1" applyFill="1" applyBorder="1" applyAlignment="1">
      <alignment horizontal="center" vertical="center"/>
    </xf>
    <xf numFmtId="0" fontId="5" fillId="2" borderId="11" xfId="0" applyNumberFormat="1" applyFont="1" applyFill="1" applyBorder="1" applyAlignment="1">
      <alignment horizontal="center" vertical="center"/>
    </xf>
    <xf numFmtId="0" fontId="5" fillId="2" borderId="12" xfId="0" applyNumberFormat="1" applyFont="1" applyFill="1" applyBorder="1" applyAlignment="1">
      <alignment vertical="center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13" xfId="0" applyNumberFormat="1" applyFont="1" applyFill="1" applyBorder="1" applyAlignment="1">
      <alignment horizontal="center" vertical="center"/>
    </xf>
    <xf numFmtId="0" fontId="5" fillId="2" borderId="14" xfId="0" applyNumberFormat="1" applyFont="1" applyFill="1" applyBorder="1" applyAlignment="1">
      <alignment horizontal="center" vertical="center"/>
    </xf>
    <xf numFmtId="0" fontId="5" fillId="2" borderId="15" xfId="0" applyNumberFormat="1" applyFont="1" applyFill="1" applyBorder="1" applyAlignment="1">
      <alignment vertical="center"/>
    </xf>
    <xf numFmtId="0" fontId="5" fillId="3" borderId="4" xfId="0" applyNumberFormat="1" applyFont="1" applyFill="1" applyBorder="1" applyAlignment="1">
      <alignment horizontal="center" vertical="center"/>
    </xf>
    <xf numFmtId="9" fontId="5" fillId="3" borderId="4" xfId="0" applyNumberFormat="1" applyFont="1" applyFill="1" applyBorder="1" applyAlignment="1">
      <alignment vertical="center"/>
    </xf>
    <xf numFmtId="0" fontId="4" fillId="0" borderId="1" xfId="0" applyNumberFormat="1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177" fontId="5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0" fontId="5" fillId="0" borderId="13" xfId="0" applyNumberFormat="1" applyFont="1" applyBorder="1" applyAlignment="1">
      <alignment horizontal="center" vertical="center" wrapText="1"/>
    </xf>
    <xf numFmtId="0" fontId="0" fillId="0" borderId="3" xfId="0" applyNumberFormat="1" applyBorder="1"/>
    <xf numFmtId="0" fontId="0" fillId="0" borderId="4" xfId="0" applyNumberFormat="1" applyBorder="1"/>
    <xf numFmtId="0" fontId="5" fillId="0" borderId="4" xfId="0" applyNumberFormat="1" applyFont="1" applyBorder="1" applyAlignment="1">
      <alignment wrapText="1"/>
    </xf>
    <xf numFmtId="0" fontId="5" fillId="0" borderId="2" xfId="0" applyNumberFormat="1" applyFont="1" applyBorder="1" applyAlignment="1">
      <alignment horizontal="left" vertical="center"/>
    </xf>
    <xf numFmtId="9" fontId="5" fillId="0" borderId="2" xfId="0" applyNumberFormat="1" applyFont="1" applyBorder="1" applyAlignment="1">
      <alignment horizontal="center" vertical="center" wrapText="1"/>
    </xf>
    <xf numFmtId="0" fontId="5" fillId="0" borderId="13" xfId="0" applyNumberFormat="1" applyFont="1" applyBorder="1" applyAlignment="1">
      <alignment horizontal="center" vertical="center"/>
    </xf>
    <xf numFmtId="0" fontId="5" fillId="0" borderId="8" xfId="0" applyNumberFormat="1" applyFont="1" applyBorder="1" applyAlignment="1">
      <alignment horizontal="left" vertical="center" wrapText="1"/>
    </xf>
    <xf numFmtId="0" fontId="5" fillId="2" borderId="15" xfId="0" applyNumberFormat="1" applyFont="1" applyFill="1" applyBorder="1" applyAlignment="1">
      <alignment horizontal="center" vertical="center" wrapText="1"/>
    </xf>
    <xf numFmtId="9" fontId="5" fillId="0" borderId="8" xfId="0" applyNumberFormat="1" applyFont="1" applyBorder="1" applyAlignment="1">
      <alignment horizontal="center" vertical="center" wrapText="1"/>
    </xf>
    <xf numFmtId="0" fontId="5" fillId="0" borderId="15" xfId="0" applyNumberFormat="1" applyFont="1" applyBorder="1" applyAlignment="1">
      <alignment horizontal="center" vertical="center" wrapText="1"/>
    </xf>
    <xf numFmtId="0" fontId="5" fillId="0" borderId="14" xfId="0" applyNumberFormat="1" applyFont="1" applyBorder="1" applyAlignment="1">
      <alignment horizontal="left" vertical="center" wrapText="1"/>
    </xf>
    <xf numFmtId="0" fontId="5" fillId="0" borderId="4" xfId="0" applyNumberFormat="1" applyFont="1" applyBorder="1" applyAlignment="1">
      <alignment horizontal="left" vertical="center" wrapText="1"/>
    </xf>
    <xf numFmtId="9" fontId="5" fillId="0" borderId="4" xfId="0" applyNumberFormat="1" applyFont="1" applyBorder="1" applyAlignment="1">
      <alignment horizontal="center" vertical="center" wrapText="1"/>
    </xf>
    <xf numFmtId="0" fontId="8" fillId="0" borderId="0" xfId="0" applyNumberFormat="1" applyFont="1"/>
    <xf numFmtId="0" fontId="9" fillId="0" borderId="0" xfId="0" applyNumberFormat="1" applyFont="1" applyFill="1" applyAlignment="1">
      <alignment vertical="center" wrapText="1"/>
    </xf>
    <xf numFmtId="0" fontId="9" fillId="0" borderId="0" xfId="0" applyNumberFormat="1" applyFont="1" applyFill="1" applyAlignment="1">
      <alignment horizontal="center" vertical="center" wrapText="1"/>
    </xf>
    <xf numFmtId="0" fontId="10" fillId="0" borderId="8" xfId="0" applyNumberFormat="1" applyFont="1" applyFill="1" applyBorder="1" applyAlignment="1">
      <alignment horizontal="center" vertical="center" wrapText="1"/>
    </xf>
    <xf numFmtId="0" fontId="11" fillId="0" borderId="8" xfId="0" applyNumberFormat="1" applyFont="1" applyFill="1" applyBorder="1" applyAlignment="1">
      <alignment horizontal="center" vertical="center"/>
    </xf>
    <xf numFmtId="0" fontId="11" fillId="0" borderId="8" xfId="0" applyNumberFormat="1" applyFont="1" applyFill="1" applyBorder="1" applyAlignment="1">
      <alignment horizontal="center" vertical="center" wrapText="1"/>
    </xf>
    <xf numFmtId="0" fontId="11" fillId="0" borderId="8" xfId="0" applyNumberFormat="1" applyFont="1" applyFill="1" applyBorder="1" applyAlignment="1">
      <alignment horizontal="left" vertical="center" wrapText="1"/>
    </xf>
    <xf numFmtId="9" fontId="11" fillId="0" borderId="8" xfId="0" applyNumberFormat="1" applyFont="1" applyFill="1" applyBorder="1" applyAlignment="1">
      <alignment horizontal="center" vertical="center" wrapText="1"/>
    </xf>
    <xf numFmtId="177" fontId="11" fillId="0" borderId="8" xfId="0" applyNumberFormat="1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 wrapText="1"/>
    </xf>
    <xf numFmtId="0" fontId="12" fillId="0" borderId="5" xfId="0" applyNumberFormat="1" applyFont="1" applyFill="1" applyBorder="1" applyAlignment="1">
      <alignment horizontal="center" vertical="center"/>
    </xf>
    <xf numFmtId="0" fontId="11" fillId="0" borderId="5" xfId="0" applyNumberFormat="1" applyFont="1" applyFill="1" applyBorder="1" applyAlignment="1">
      <alignment horizontal="center" vertical="center" wrapText="1"/>
    </xf>
    <xf numFmtId="0" fontId="11" fillId="0" borderId="5" xfId="0" applyNumberFormat="1" applyFont="1" applyFill="1" applyBorder="1" applyAlignment="1">
      <alignment horizontal="center" vertical="center"/>
    </xf>
    <xf numFmtId="0" fontId="13" fillId="0" borderId="8" xfId="0" applyNumberFormat="1" applyFont="1" applyFill="1" applyBorder="1" applyAlignment="1">
      <alignment horizontal="left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0" fillId="0" borderId="16" xfId="0" applyNumberFormat="1" applyFont="1" applyFill="1" applyBorder="1" applyAlignment="1">
      <alignment horizontal="center" vertical="center" wrapText="1"/>
    </xf>
    <xf numFmtId="0" fontId="12" fillId="0" borderId="16" xfId="0" applyNumberFormat="1" applyFont="1" applyFill="1" applyBorder="1" applyAlignment="1">
      <alignment horizontal="center" vertical="center"/>
    </xf>
    <xf numFmtId="0" fontId="11" fillId="0" borderId="16" xfId="0" applyNumberFormat="1" applyFont="1" applyFill="1" applyBorder="1" applyAlignment="1">
      <alignment horizontal="center" vertical="center" wrapText="1"/>
    </xf>
    <xf numFmtId="0" fontId="11" fillId="0" borderId="16" xfId="0" applyNumberFormat="1" applyFont="1" applyFill="1" applyBorder="1" applyAlignment="1">
      <alignment horizontal="center" vertical="center"/>
    </xf>
    <xf numFmtId="0" fontId="11" fillId="0" borderId="9" xfId="0" applyNumberFormat="1" applyFont="1" applyFill="1" applyBorder="1" applyAlignment="1">
      <alignment horizontal="center" vertical="center" wrapText="1"/>
    </xf>
    <xf numFmtId="0" fontId="13" fillId="0" borderId="5" xfId="0" applyNumberFormat="1" applyFont="1" applyFill="1" applyBorder="1" applyAlignment="1">
      <alignment vertical="center" wrapText="1"/>
    </xf>
    <xf numFmtId="0" fontId="13" fillId="0" borderId="5" xfId="0" applyNumberFormat="1" applyFont="1" applyFill="1" applyBorder="1" applyAlignment="1">
      <alignment horizontal="center" vertical="center" wrapText="1"/>
    </xf>
    <xf numFmtId="9" fontId="11" fillId="0" borderId="5" xfId="0" applyNumberFormat="1" applyFont="1" applyFill="1" applyBorder="1" applyAlignment="1">
      <alignment horizontal="center" vertical="center" wrapText="1"/>
    </xf>
    <xf numFmtId="177" fontId="11" fillId="0" borderId="5" xfId="0" applyNumberFormat="1" applyFont="1" applyFill="1" applyBorder="1" applyAlignment="1">
      <alignment horizontal="center" vertical="center"/>
    </xf>
    <xf numFmtId="0" fontId="11" fillId="0" borderId="17" xfId="0" applyNumberFormat="1" applyFont="1" applyFill="1" applyBorder="1" applyAlignment="1">
      <alignment horizontal="center" vertical="center"/>
    </xf>
    <xf numFmtId="0" fontId="13" fillId="0" borderId="8" xfId="0" applyNumberFormat="1" applyFont="1" applyFill="1" applyBorder="1" applyAlignment="1">
      <alignment vertical="center" wrapText="1"/>
    </xf>
    <xf numFmtId="0" fontId="11" fillId="0" borderId="9" xfId="0" applyNumberFormat="1" applyFont="1" applyFill="1" applyBorder="1" applyAlignment="1">
      <alignment horizontal="center" vertical="center"/>
    </xf>
    <xf numFmtId="0" fontId="13" fillId="0" borderId="8" xfId="0" applyNumberFormat="1" applyFont="1" applyFill="1" applyBorder="1" applyAlignment="1">
      <alignment vertical="center"/>
    </xf>
    <xf numFmtId="0" fontId="11" fillId="3" borderId="17" xfId="0" applyNumberFormat="1" applyFont="1" applyFill="1" applyBorder="1" applyAlignment="1">
      <alignment horizontal="center" vertical="center"/>
    </xf>
    <xf numFmtId="0" fontId="11" fillId="3" borderId="18" xfId="0" applyNumberFormat="1" applyFont="1" applyFill="1" applyBorder="1" applyAlignment="1">
      <alignment horizontal="center" vertical="center"/>
    </xf>
    <xf numFmtId="0" fontId="11" fillId="3" borderId="19" xfId="0" applyNumberFormat="1" applyFont="1" applyFill="1" applyBorder="1" applyAlignment="1">
      <alignment horizontal="center" vertical="center"/>
    </xf>
    <xf numFmtId="0" fontId="11" fillId="3" borderId="9" xfId="0" applyNumberFormat="1" applyFont="1" applyFill="1" applyBorder="1" applyAlignment="1">
      <alignment horizontal="center" vertical="center"/>
    </xf>
    <xf numFmtId="9" fontId="11" fillId="3" borderId="9" xfId="0" applyNumberFormat="1" applyFont="1" applyFill="1" applyBorder="1" applyAlignment="1">
      <alignment vertical="center"/>
    </xf>
    <xf numFmtId="0" fontId="11" fillId="3" borderId="9" xfId="0" applyNumberFormat="1" applyFont="1" applyFill="1" applyBorder="1" applyAlignment="1">
      <alignment vertical="center"/>
    </xf>
    <xf numFmtId="177" fontId="11" fillId="3" borderId="9" xfId="0" applyNumberFormat="1" applyFont="1" applyFill="1" applyBorder="1" applyAlignment="1">
      <alignment horizontal="center" vertical="center"/>
    </xf>
    <xf numFmtId="0" fontId="10" fillId="0" borderId="9" xfId="0" applyNumberFormat="1" applyFont="1" applyFill="1" applyBorder="1" applyAlignment="1">
      <alignment horizontal="center" vertical="center" wrapText="1"/>
    </xf>
    <xf numFmtId="0" fontId="12" fillId="0" borderId="9" xfId="0" applyNumberFormat="1" applyFont="1" applyFill="1" applyBorder="1" applyAlignment="1">
      <alignment horizontal="center" vertical="center"/>
    </xf>
    <xf numFmtId="9" fontId="11" fillId="0" borderId="8" xfId="0" applyNumberFormat="1" applyFont="1" applyFill="1" applyBorder="1" applyAlignment="1">
      <alignment horizontal="center" vertical="center"/>
    </xf>
    <xf numFmtId="0" fontId="14" fillId="0" borderId="8" xfId="0" applyNumberFormat="1" applyFont="1" applyFill="1" applyBorder="1" applyAlignment="1">
      <alignment horizontal="left" vertical="center" wrapText="1"/>
    </xf>
    <xf numFmtId="0" fontId="13" fillId="0" borderId="5" xfId="0" applyNumberFormat="1" applyFont="1" applyFill="1" applyBorder="1" applyAlignment="1">
      <alignment horizontal="left" vertical="center" wrapText="1"/>
    </xf>
    <xf numFmtId="0" fontId="13" fillId="0" borderId="9" xfId="0" applyNumberFormat="1" applyFont="1" applyFill="1" applyBorder="1" applyAlignment="1">
      <alignment horizontal="left" vertical="center" wrapText="1"/>
    </xf>
    <xf numFmtId="9" fontId="11" fillId="0" borderId="19" xfId="0" applyNumberFormat="1" applyFont="1" applyFill="1" applyBorder="1" applyAlignment="1">
      <alignment horizontal="center" vertical="center" wrapText="1"/>
    </xf>
    <xf numFmtId="0" fontId="11" fillId="0" borderId="17" xfId="0" applyNumberFormat="1" applyFont="1" applyFill="1" applyBorder="1" applyAlignment="1">
      <alignment vertical="center"/>
    </xf>
    <xf numFmtId="177" fontId="11" fillId="0" borderId="1" xfId="0" applyNumberFormat="1" applyFont="1" applyFill="1" applyBorder="1" applyAlignment="1">
      <alignment horizontal="center" vertical="center"/>
    </xf>
    <xf numFmtId="0" fontId="11" fillId="0" borderId="8" xfId="0" applyNumberFormat="1" applyFont="1" applyFill="1" applyBorder="1" applyAlignment="1">
      <alignment vertical="center" wrapText="1"/>
    </xf>
    <xf numFmtId="0" fontId="13" fillId="0" borderId="20" xfId="0" applyNumberFormat="1" applyFont="1" applyFill="1" applyBorder="1" applyAlignment="1">
      <alignment horizontal="center" vertical="center" wrapText="1"/>
    </xf>
    <xf numFmtId="9" fontId="11" fillId="0" borderId="9" xfId="0" applyNumberFormat="1" applyFont="1" applyFill="1" applyBorder="1" applyAlignment="1">
      <alignment horizontal="center" vertical="center" wrapText="1"/>
    </xf>
    <xf numFmtId="0" fontId="11" fillId="0" borderId="21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vertical="center" wrapText="1"/>
    </xf>
    <xf numFmtId="177" fontId="11" fillId="0" borderId="9" xfId="0" applyNumberFormat="1" applyFont="1" applyFill="1" applyBorder="1" applyAlignment="1">
      <alignment horizontal="center" vertical="center"/>
    </xf>
    <xf numFmtId="9" fontId="11" fillId="0" borderId="8" xfId="0" applyNumberFormat="1" applyFont="1" applyFill="1" applyBorder="1" applyAlignment="1">
      <alignment vertical="center"/>
    </xf>
    <xf numFmtId="0" fontId="11" fillId="0" borderId="8" xfId="0" applyNumberFormat="1" applyFont="1" applyFill="1" applyBorder="1" applyAlignment="1">
      <alignment vertical="center"/>
    </xf>
    <xf numFmtId="0" fontId="11" fillId="0" borderId="8" xfId="0" applyNumberFormat="1" applyFont="1" applyFill="1" applyBorder="1" applyAlignment="1">
      <alignment horizontal="left" vertical="center"/>
    </xf>
    <xf numFmtId="0" fontId="11" fillId="3" borderId="8" xfId="0" applyNumberFormat="1" applyFont="1" applyFill="1" applyBorder="1" applyAlignment="1">
      <alignment horizontal="center" vertical="center"/>
    </xf>
    <xf numFmtId="9" fontId="11" fillId="3" borderId="8" xfId="0" applyNumberFormat="1" applyFont="1" applyFill="1" applyBorder="1" applyAlignment="1">
      <alignment vertical="center"/>
    </xf>
    <xf numFmtId="0" fontId="11" fillId="3" borderId="8" xfId="0" applyNumberFormat="1" applyFont="1" applyFill="1" applyBorder="1" applyAlignment="1">
      <alignment vertical="center"/>
    </xf>
    <xf numFmtId="177" fontId="11" fillId="3" borderId="8" xfId="0" applyNumberFormat="1" applyFont="1" applyFill="1" applyBorder="1" applyAlignment="1">
      <alignment horizontal="center" vertical="center"/>
    </xf>
    <xf numFmtId="0" fontId="14" fillId="0" borderId="8" xfId="0" applyNumberFormat="1" applyFont="1" applyFill="1" applyBorder="1" applyAlignment="1">
      <alignment vertical="center" wrapText="1"/>
    </xf>
    <xf numFmtId="0" fontId="15" fillId="0" borderId="0" xfId="0" applyNumberFormat="1" applyFont="1" applyAlignment="1">
      <alignment vertical="center" wrapText="1"/>
    </xf>
    <xf numFmtId="0" fontId="15" fillId="0" borderId="0" xfId="0" applyNumberFormat="1" applyFont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/>
    </xf>
    <xf numFmtId="0" fontId="16" fillId="0" borderId="1" xfId="0" applyNumberFormat="1" applyFont="1" applyBorder="1" applyAlignment="1">
      <alignment horizontal="left" vertical="center" wrapText="1"/>
    </xf>
    <xf numFmtId="9" fontId="16" fillId="0" borderId="1" xfId="0" applyNumberFormat="1" applyFont="1" applyBorder="1" applyAlignment="1">
      <alignment horizontal="center" vertical="center" wrapText="1"/>
    </xf>
    <xf numFmtId="177" fontId="16" fillId="0" borderId="1" xfId="0" applyNumberFormat="1" applyFont="1" applyBorder="1" applyAlignment="1">
      <alignment horizontal="center" vertical="center"/>
    </xf>
    <xf numFmtId="0" fontId="11" fillId="0" borderId="0" xfId="0" applyNumberFormat="1" applyFont="1" applyAlignment="1">
      <alignment vertical="center"/>
    </xf>
    <xf numFmtId="0" fontId="16" fillId="0" borderId="2" xfId="0" applyNumberFormat="1" applyFont="1" applyBorder="1" applyAlignment="1">
      <alignment horizontal="center" vertical="center" wrapText="1"/>
    </xf>
    <xf numFmtId="0" fontId="17" fillId="0" borderId="2" xfId="0" applyNumberFormat="1" applyFont="1" applyBorder="1" applyAlignment="1">
      <alignment horizontal="center" vertical="center"/>
    </xf>
    <xf numFmtId="9" fontId="18" fillId="0" borderId="2" xfId="0" applyNumberFormat="1" applyFont="1" applyBorder="1" applyAlignment="1">
      <alignment horizontal="center" vertical="center" wrapText="1"/>
    </xf>
    <xf numFmtId="0" fontId="18" fillId="0" borderId="2" xfId="0" applyNumberFormat="1" applyFont="1" applyBorder="1" applyAlignment="1">
      <alignment horizontal="center" vertical="center" wrapText="1"/>
    </xf>
    <xf numFmtId="0" fontId="18" fillId="0" borderId="2" xfId="0" applyNumberFormat="1" applyFont="1" applyBorder="1" applyAlignment="1">
      <alignment horizontal="center" vertical="center"/>
    </xf>
    <xf numFmtId="0" fontId="18" fillId="0" borderId="1" xfId="0" applyNumberFormat="1" applyFont="1" applyBorder="1" applyAlignment="1">
      <alignment horizontal="center" vertical="center" wrapText="1"/>
    </xf>
    <xf numFmtId="0" fontId="18" fillId="0" borderId="1" xfId="0" applyNumberFormat="1" applyFont="1" applyBorder="1" applyAlignment="1">
      <alignment horizontal="left" vertical="center" wrapText="1"/>
    </xf>
    <xf numFmtId="0" fontId="18" fillId="2" borderId="1" xfId="0" applyNumberFormat="1" applyFont="1" applyFill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0" fontId="18" fillId="0" borderId="1" xfId="0" applyNumberFormat="1" applyFont="1" applyBorder="1" applyAlignment="1">
      <alignment horizontal="center" vertical="center"/>
    </xf>
    <xf numFmtId="0" fontId="17" fillId="0" borderId="1" xfId="0" applyNumberFormat="1" applyFont="1" applyBorder="1" applyAlignment="1">
      <alignment horizontal="center" vertical="center"/>
    </xf>
    <xf numFmtId="0" fontId="16" fillId="0" borderId="3" xfId="0" applyNumberFormat="1" applyFont="1" applyBorder="1" applyAlignment="1">
      <alignment horizontal="center" vertical="center" wrapText="1"/>
    </xf>
    <xf numFmtId="0" fontId="17" fillId="0" borderId="3" xfId="0" applyNumberFormat="1" applyFont="1" applyBorder="1" applyAlignment="1">
      <alignment horizontal="center" vertical="center"/>
    </xf>
    <xf numFmtId="9" fontId="18" fillId="0" borderId="3" xfId="0" applyNumberFormat="1" applyFont="1" applyBorder="1" applyAlignment="1">
      <alignment horizontal="center" vertical="center" wrapText="1"/>
    </xf>
    <xf numFmtId="0" fontId="18" fillId="0" borderId="3" xfId="0" applyNumberFormat="1" applyFont="1" applyBorder="1" applyAlignment="1">
      <alignment horizontal="center" vertical="center" wrapText="1"/>
    </xf>
    <xf numFmtId="0" fontId="18" fillId="0" borderId="3" xfId="0" applyNumberFormat="1" applyFont="1" applyBorder="1" applyAlignment="1">
      <alignment horizontal="center" vertical="center"/>
    </xf>
    <xf numFmtId="0" fontId="18" fillId="0" borderId="4" xfId="0" applyNumberFormat="1" applyFont="1" applyBorder="1" applyAlignment="1">
      <alignment horizontal="center" vertical="center" wrapText="1"/>
    </xf>
    <xf numFmtId="0" fontId="18" fillId="3" borderId="1" xfId="0" applyNumberFormat="1" applyFont="1" applyFill="1" applyBorder="1" applyAlignment="1">
      <alignment horizontal="center" vertical="center"/>
    </xf>
    <xf numFmtId="9" fontId="18" fillId="3" borderId="1" xfId="0" applyNumberFormat="1" applyFont="1" applyFill="1" applyBorder="1" applyAlignment="1">
      <alignment vertical="center"/>
    </xf>
    <xf numFmtId="0" fontId="18" fillId="3" borderId="1" xfId="0" applyNumberFormat="1" applyFont="1" applyFill="1" applyBorder="1" applyAlignment="1">
      <alignment vertical="center"/>
    </xf>
    <xf numFmtId="177" fontId="18" fillId="3" borderId="1" xfId="0" applyNumberFormat="1" applyFont="1" applyFill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0" fontId="18" fillId="0" borderId="1" xfId="0" applyNumberFormat="1" applyFont="1" applyBorder="1" applyAlignment="1">
      <alignment vertical="center" wrapText="1"/>
    </xf>
    <xf numFmtId="176" fontId="2" fillId="0" borderId="9" xfId="0" applyFont="1" applyBorder="1" applyAlignment="1">
      <alignment horizontal="center" vertical="center" wrapText="1"/>
    </xf>
    <xf numFmtId="176" fontId="4" fillId="0" borderId="9" xfId="0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center" vertical="center" wrapText="1"/>
    </xf>
    <xf numFmtId="176" fontId="5" fillId="0" borderId="9" xfId="0" applyFont="1" applyBorder="1" applyAlignment="1">
      <alignment horizontal="center" vertical="center" wrapText="1"/>
    </xf>
    <xf numFmtId="176" fontId="5" fillId="0" borderId="9" xfId="0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left" vertical="center" wrapText="1"/>
    </xf>
    <xf numFmtId="0" fontId="5" fillId="0" borderId="22" xfId="0" applyNumberFormat="1" applyFont="1" applyBorder="1" applyAlignment="1">
      <alignment horizontal="center" vertical="center" wrapText="1"/>
    </xf>
    <xf numFmtId="176" fontId="5" fillId="0" borderId="8" xfId="0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/>
    </xf>
    <xf numFmtId="176" fontId="2" fillId="0" borderId="8" xfId="0" applyFont="1" applyBorder="1" applyAlignment="1">
      <alignment horizontal="center" vertical="center" wrapText="1"/>
    </xf>
    <xf numFmtId="176" fontId="4" fillId="0" borderId="8" xfId="0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center" vertical="center" wrapText="1"/>
    </xf>
    <xf numFmtId="176" fontId="5" fillId="0" borderId="8" xfId="0" applyFont="1" applyBorder="1" applyAlignment="1">
      <alignment horizontal="center" vertical="center"/>
    </xf>
    <xf numFmtId="176" fontId="5" fillId="0" borderId="5" xfId="0" applyFont="1" applyBorder="1" applyAlignment="1">
      <alignment horizontal="center" vertical="center"/>
    </xf>
    <xf numFmtId="176" fontId="5" fillId="0" borderId="5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vertical="center" wrapText="1"/>
    </xf>
    <xf numFmtId="176" fontId="5" fillId="3" borderId="23" xfId="0" applyFont="1" applyFill="1" applyBorder="1" applyAlignment="1">
      <alignment horizontal="center" vertical="center"/>
    </xf>
    <xf numFmtId="176" fontId="5" fillId="3" borderId="14" xfId="0" applyFont="1" applyFill="1" applyBorder="1" applyAlignment="1">
      <alignment horizontal="center" vertical="center"/>
    </xf>
    <xf numFmtId="176" fontId="5" fillId="3" borderId="24" xfId="0" applyFont="1" applyFill="1" applyBorder="1" applyAlignment="1">
      <alignment horizontal="center" vertical="center"/>
    </xf>
    <xf numFmtId="176" fontId="5" fillId="3" borderId="5" xfId="0" applyFont="1" applyFill="1" applyBorder="1" applyAlignment="1">
      <alignment horizontal="center" vertical="center"/>
    </xf>
    <xf numFmtId="9" fontId="5" fillId="3" borderId="8" xfId="0" applyNumberFormat="1" applyFont="1" applyFill="1" applyBorder="1" applyAlignment="1">
      <alignment vertical="center"/>
    </xf>
    <xf numFmtId="176" fontId="5" fillId="3" borderId="8" xfId="0" applyFont="1" applyFill="1" applyBorder="1" applyAlignment="1">
      <alignment vertical="center"/>
    </xf>
    <xf numFmtId="177" fontId="5" fillId="3" borderId="8" xfId="0" applyNumberFormat="1" applyFont="1" applyFill="1" applyBorder="1" applyAlignment="1">
      <alignment horizontal="center" vertical="center"/>
    </xf>
    <xf numFmtId="176" fontId="5" fillId="0" borderId="21" xfId="0" applyFont="1" applyBorder="1" applyAlignment="1">
      <alignment horizontal="center" vertical="center"/>
    </xf>
    <xf numFmtId="176" fontId="4" fillId="0" borderId="9" xfId="0" applyFont="1" applyBorder="1" applyAlignment="1">
      <alignment horizontal="left" vertical="center" wrapText="1"/>
    </xf>
    <xf numFmtId="9" fontId="5" fillId="0" borderId="19" xfId="0" applyNumberFormat="1" applyFont="1" applyBorder="1" applyAlignment="1">
      <alignment horizontal="center" vertical="center"/>
    </xf>
    <xf numFmtId="176" fontId="5" fillId="0" borderId="17" xfId="0" applyFont="1" applyBorder="1" applyAlignment="1">
      <alignment horizontal="center" vertical="center"/>
    </xf>
    <xf numFmtId="176" fontId="4" fillId="0" borderId="8" xfId="0" applyFont="1" applyBorder="1" applyAlignment="1">
      <alignment vertical="center"/>
    </xf>
    <xf numFmtId="176" fontId="5" fillId="0" borderId="25" xfId="0" applyFont="1" applyBorder="1" applyAlignment="1">
      <alignment vertical="center" wrapText="1"/>
    </xf>
    <xf numFmtId="176" fontId="5" fillId="0" borderId="19" xfId="0" applyFont="1" applyBorder="1" applyAlignment="1">
      <alignment horizontal="center" vertical="center" wrapText="1"/>
    </xf>
    <xf numFmtId="176" fontId="5" fillId="0" borderId="2" xfId="0" applyFont="1" applyBorder="1" applyAlignment="1">
      <alignment horizontal="left" vertical="center" wrapText="1"/>
    </xf>
    <xf numFmtId="176" fontId="5" fillId="0" borderId="3" xfId="0" applyFont="1" applyBorder="1" applyAlignment="1">
      <alignment horizontal="left" vertical="center" wrapText="1"/>
    </xf>
    <xf numFmtId="176" fontId="5" fillId="0" borderId="26" xfId="0" applyFont="1" applyBorder="1" applyAlignment="1">
      <alignment horizontal="left" vertical="center" wrapText="1"/>
    </xf>
    <xf numFmtId="176" fontId="5" fillId="3" borderId="8" xfId="0" applyFont="1" applyFill="1" applyBorder="1" applyAlignment="1">
      <alignment horizontal="center" vertical="center"/>
    </xf>
    <xf numFmtId="0" fontId="5" fillId="0" borderId="8" xfId="0" applyNumberFormat="1" applyFont="1" applyBorder="1" applyAlignment="1">
      <alignment vertical="center" wrapText="1"/>
    </xf>
    <xf numFmtId="9" fontId="5" fillId="0" borderId="8" xfId="0" applyNumberFormat="1" applyFont="1" applyBorder="1" applyAlignment="1">
      <alignment horizontal="center" vertical="center"/>
    </xf>
    <xf numFmtId="0" fontId="5" fillId="0" borderId="27" xfId="0" applyNumberFormat="1" applyFont="1" applyBorder="1" applyAlignment="1">
      <alignment vertical="center" wrapText="1"/>
    </xf>
    <xf numFmtId="0" fontId="5" fillId="0" borderId="2" xfId="0" applyNumberFormat="1" applyFont="1" applyBorder="1" applyAlignment="1">
      <alignment vertical="center" wrapText="1"/>
    </xf>
    <xf numFmtId="0" fontId="5" fillId="0" borderId="28" xfId="0" applyNumberFormat="1" applyFont="1" applyBorder="1" applyAlignment="1">
      <alignment vertical="center" wrapText="1"/>
    </xf>
    <xf numFmtId="0" fontId="5" fillId="0" borderId="8" xfId="0" applyNumberFormat="1" applyFont="1" applyBorder="1" applyAlignment="1">
      <alignment vertical="center"/>
    </xf>
    <xf numFmtId="176" fontId="2" fillId="0" borderId="1" xfId="0" applyFont="1" applyBorder="1" applyAlignment="1">
      <alignment horizontal="center" vertical="center" wrapText="1"/>
    </xf>
    <xf numFmtId="176" fontId="4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/>
    </xf>
    <xf numFmtId="176" fontId="5" fillId="0" borderId="1" xfId="0" applyFont="1" applyBorder="1" applyAlignment="1">
      <alignment vertical="center"/>
    </xf>
    <xf numFmtId="176" fontId="5" fillId="0" borderId="4" xfId="0" applyFont="1" applyBorder="1" applyAlignment="1">
      <alignment horizontal="left" vertical="center" wrapText="1"/>
    </xf>
    <xf numFmtId="176" fontId="5" fillId="3" borderId="13" xfId="0" applyFont="1" applyFill="1" applyBorder="1" applyAlignment="1">
      <alignment horizontal="center" vertical="center"/>
    </xf>
    <xf numFmtId="176" fontId="5" fillId="3" borderId="15" xfId="0" applyFont="1" applyFill="1" applyBorder="1" applyAlignment="1">
      <alignment horizontal="center" vertical="center"/>
    </xf>
    <xf numFmtId="176" fontId="5" fillId="3" borderId="1" xfId="0" applyFont="1" applyFill="1" applyBorder="1" applyAlignment="1">
      <alignment vertical="center"/>
    </xf>
    <xf numFmtId="176" fontId="5" fillId="0" borderId="1" xfId="0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vertical="center"/>
    </xf>
    <xf numFmtId="0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9" fontId="5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9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vertical="top" wrapText="1"/>
    </xf>
    <xf numFmtId="0" fontId="4" fillId="3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vertical="center" wrapText="1"/>
    </xf>
    <xf numFmtId="0" fontId="11" fillId="0" borderId="1" xfId="0" applyNumberFormat="1" applyFont="1" applyFill="1" applyBorder="1" applyAlignment="1">
      <alignment horizontal="left" vertical="center" wrapText="1"/>
    </xf>
    <xf numFmtId="0" fontId="11" fillId="2" borderId="1" xfId="0" applyNumberFormat="1" applyFont="1" applyFill="1" applyBorder="1" applyAlignment="1">
      <alignment horizontal="center" vertical="center" wrapText="1"/>
    </xf>
    <xf numFmtId="9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177" fontId="19" fillId="0" borderId="1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Alignment="1">
      <alignment vertical="center" wrapText="1"/>
    </xf>
    <xf numFmtId="0" fontId="15" fillId="0" borderId="0" xfId="0" applyNumberFormat="1" applyFont="1" applyFill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left" vertical="center" wrapText="1"/>
    </xf>
    <xf numFmtId="9" fontId="16" fillId="0" borderId="1" xfId="0" applyNumberFormat="1" applyFont="1" applyFill="1" applyBorder="1" applyAlignment="1">
      <alignment horizontal="center" vertical="center" wrapText="1"/>
    </xf>
    <xf numFmtId="177" fontId="16" fillId="0" borderId="1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Alignment="1">
      <alignment vertical="center"/>
    </xf>
    <xf numFmtId="0" fontId="17" fillId="0" borderId="1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/>
    </xf>
    <xf numFmtId="0" fontId="18" fillId="2" borderId="1" xfId="0" applyNumberFormat="1" applyFont="1" applyFill="1" applyBorder="1" applyAlignment="1">
      <alignment horizontal="left" vertical="center" wrapText="1"/>
    </xf>
    <xf numFmtId="9" fontId="18" fillId="0" borderId="1" xfId="0" applyNumberFormat="1" applyFont="1" applyFill="1" applyBorder="1" applyAlignment="1">
      <alignment horizontal="center" vertical="center" wrapText="1"/>
    </xf>
    <xf numFmtId="0" fontId="18" fillId="0" borderId="2" xfId="0" applyNumberFormat="1" applyFont="1" applyFill="1" applyBorder="1" applyAlignment="1">
      <alignment horizontal="center" vertical="center" wrapText="1"/>
    </xf>
    <xf numFmtId="0" fontId="18" fillId="2" borderId="2" xfId="0" applyNumberFormat="1" applyFont="1" applyFill="1" applyBorder="1" applyAlignment="1">
      <alignment horizontal="left" vertical="center" wrapText="1"/>
    </xf>
    <xf numFmtId="0" fontId="18" fillId="0" borderId="4" xfId="0" applyNumberFormat="1" applyFont="1" applyFill="1" applyBorder="1" applyAlignment="1">
      <alignment horizontal="center" vertical="center" wrapText="1"/>
    </xf>
    <xf numFmtId="0" fontId="18" fillId="2" borderId="4" xfId="0" applyNumberFormat="1" applyFont="1" applyFill="1" applyBorder="1" applyAlignment="1">
      <alignment horizontal="left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7" fillId="0" borderId="1" xfId="0" applyNumberFormat="1" applyFont="1" applyFill="1" applyBorder="1" applyAlignment="1">
      <alignment horizontal="left" vertical="center" wrapText="1"/>
    </xf>
    <xf numFmtId="9" fontId="18" fillId="0" borderId="1" xfId="0" applyNumberFormat="1" applyFont="1" applyFill="1" applyBorder="1" applyAlignment="1">
      <alignment horizontal="center" vertical="center"/>
    </xf>
    <xf numFmtId="177" fontId="18" fillId="0" borderId="1" xfId="0" applyNumberFormat="1" applyFont="1" applyFill="1" applyBorder="1" applyAlignment="1">
      <alignment horizontal="center" vertical="center"/>
    </xf>
    <xf numFmtId="0" fontId="18" fillId="0" borderId="2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center" vertical="center" wrapText="1"/>
    </xf>
    <xf numFmtId="0" fontId="18" fillId="2" borderId="1" xfId="0" applyNumberFormat="1" applyFont="1" applyFill="1" applyBorder="1" applyAlignment="1">
      <alignment horizontal="center" vertical="center"/>
    </xf>
    <xf numFmtId="9" fontId="18" fillId="2" borderId="1" xfId="0" applyNumberFormat="1" applyFont="1" applyFill="1" applyBorder="1" applyAlignment="1">
      <alignment horizontal="center" vertical="center"/>
    </xf>
    <xf numFmtId="0" fontId="18" fillId="2" borderId="1" xfId="0" applyNumberFormat="1" applyFont="1" applyFill="1" applyBorder="1" applyAlignment="1">
      <alignment vertical="center"/>
    </xf>
    <xf numFmtId="177" fontId="18" fillId="2" borderId="1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/>
    </xf>
    <xf numFmtId="9" fontId="11" fillId="0" borderId="2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 wrapText="1"/>
    </xf>
    <xf numFmtId="0" fontId="10" fillId="0" borderId="3" xfId="0" applyNumberFormat="1" applyFont="1" applyFill="1" applyBorder="1" applyAlignment="1">
      <alignment horizontal="center" vertical="center" wrapText="1"/>
    </xf>
    <xf numFmtId="0" fontId="12" fillId="0" borderId="3" xfId="0" applyNumberFormat="1" applyFont="1" applyFill="1" applyBorder="1" applyAlignment="1">
      <alignment horizontal="center" vertical="center"/>
    </xf>
    <xf numFmtId="9" fontId="11" fillId="0" borderId="3" xfId="0" applyNumberFormat="1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horizontal="center" vertical="center" wrapText="1"/>
    </xf>
    <xf numFmtId="0" fontId="12" fillId="0" borderId="4" xfId="0" applyNumberFormat="1" applyFont="1" applyFill="1" applyBorder="1" applyAlignment="1">
      <alignment horizontal="center" vertical="center"/>
    </xf>
    <xf numFmtId="9" fontId="11" fillId="0" borderId="4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wrapText="1"/>
    </xf>
    <xf numFmtId="0" fontId="11" fillId="3" borderId="1" xfId="0" applyNumberFormat="1" applyFont="1" applyFill="1" applyBorder="1" applyAlignment="1">
      <alignment horizontal="center" vertical="center"/>
    </xf>
    <xf numFmtId="9" fontId="11" fillId="3" borderId="1" xfId="0" applyNumberFormat="1" applyFont="1" applyFill="1" applyBorder="1" applyAlignment="1">
      <alignment vertical="center"/>
    </xf>
    <xf numFmtId="0" fontId="11" fillId="3" borderId="1" xfId="0" applyNumberFormat="1" applyFont="1" applyFill="1" applyBorder="1" applyAlignment="1">
      <alignment vertical="center"/>
    </xf>
    <xf numFmtId="177" fontId="11" fillId="3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vertical="center" wrapText="1"/>
    </xf>
    <xf numFmtId="0" fontId="12" fillId="0" borderId="1" xfId="0" applyNumberFormat="1" applyFont="1" applyFill="1" applyBorder="1" applyAlignment="1">
      <alignment vertical="center"/>
    </xf>
    <xf numFmtId="0" fontId="11" fillId="0" borderId="1" xfId="0" applyNumberFormat="1" applyFont="1" applyFill="1" applyBorder="1" applyAlignment="1">
      <alignment vertical="center" wrapText="1"/>
    </xf>
    <xf numFmtId="0" fontId="20" fillId="0" borderId="1" xfId="0" applyNumberFormat="1" applyFont="1" applyFill="1" applyBorder="1" applyAlignment="1">
      <alignment horizontal="left" vertical="center" wrapText="1"/>
    </xf>
    <xf numFmtId="9" fontId="11" fillId="0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9" fontId="0" fillId="0" borderId="0" xfId="0" applyNumberFormat="1"/>
    <xf numFmtId="49" fontId="0" fillId="0" borderId="0" xfId="0" applyNumberFormat="1"/>
    <xf numFmtId="176" fontId="21" fillId="4" borderId="1" xfId="0" applyFont="1" applyFill="1" applyBorder="1" applyAlignment="1">
      <alignment horizontal="center" vertical="center"/>
    </xf>
    <xf numFmtId="0" fontId="22" fillId="4" borderId="1" xfId="0" applyNumberFormat="1" applyFont="1" applyFill="1" applyBorder="1" applyAlignment="1">
      <alignment horizontal="center" vertical="center"/>
    </xf>
    <xf numFmtId="176" fontId="22" fillId="4" borderId="1" xfId="0" applyFont="1" applyFill="1" applyBorder="1" applyAlignment="1">
      <alignment horizontal="center" vertical="center"/>
    </xf>
    <xf numFmtId="9" fontId="22" fillId="4" borderId="1" xfId="0" applyNumberFormat="1" applyFont="1" applyFill="1" applyBorder="1" applyAlignment="1">
      <alignment horizontal="center" vertical="center"/>
    </xf>
    <xf numFmtId="0" fontId="22" fillId="4" borderId="1" xfId="0" applyNumberFormat="1" applyFont="1" applyFill="1" applyBorder="1" applyAlignment="1">
      <alignment horizontal="center" vertical="center" wrapText="1"/>
    </xf>
    <xf numFmtId="49" fontId="22" fillId="4" borderId="1" xfId="0" applyNumberFormat="1" applyFont="1" applyFill="1" applyBorder="1" applyAlignment="1">
      <alignment horizontal="center" vertical="center" wrapText="1"/>
    </xf>
    <xf numFmtId="176" fontId="22" fillId="4" borderId="1" xfId="0" applyFont="1" applyFill="1" applyBorder="1" applyAlignment="1">
      <alignment horizontal="center" vertical="center" wrapText="1"/>
    </xf>
    <xf numFmtId="0" fontId="23" fillId="0" borderId="1" xfId="0" applyNumberFormat="1" applyFont="1" applyBorder="1" applyAlignment="1">
      <alignment horizontal="center" vertical="center"/>
    </xf>
    <xf numFmtId="176" fontId="23" fillId="0" borderId="2" xfId="0" applyFont="1" applyBorder="1" applyAlignment="1">
      <alignment horizontal="center" vertical="center" wrapText="1"/>
    </xf>
    <xf numFmtId="176" fontId="23" fillId="0" borderId="1" xfId="0" applyFont="1" applyBorder="1" applyAlignment="1">
      <alignment horizontal="center" vertical="center" wrapText="1"/>
    </xf>
    <xf numFmtId="176" fontId="23" fillId="0" borderId="1" xfId="0" applyFont="1" applyBorder="1" applyAlignment="1">
      <alignment vertical="center"/>
    </xf>
    <xf numFmtId="176" fontId="23" fillId="0" borderId="1" xfId="0" applyFont="1" applyBorder="1" applyAlignment="1">
      <alignment horizontal="center" vertical="center"/>
    </xf>
    <xf numFmtId="9" fontId="23" fillId="0" borderId="1" xfId="0" applyNumberFormat="1" applyFont="1" applyBorder="1" applyAlignment="1">
      <alignment horizontal="center" vertical="center"/>
    </xf>
    <xf numFmtId="0" fontId="23" fillId="0" borderId="1" xfId="0" applyNumberFormat="1" applyFont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center" vertical="center" wrapText="1"/>
    </xf>
    <xf numFmtId="176" fontId="23" fillId="0" borderId="1" xfId="0" applyFont="1" applyBorder="1" applyAlignment="1">
      <alignment vertical="center" wrapText="1"/>
    </xf>
    <xf numFmtId="176" fontId="23" fillId="0" borderId="3" xfId="0" applyFont="1" applyBorder="1" applyAlignment="1">
      <alignment horizontal="center" vertical="center"/>
    </xf>
    <xf numFmtId="9" fontId="23" fillId="0" borderId="1" xfId="0" applyNumberFormat="1" applyFont="1" applyFill="1" applyBorder="1" applyAlignment="1" applyProtection="1">
      <alignment horizontal="center" vertical="center"/>
    </xf>
    <xf numFmtId="176" fontId="23" fillId="0" borderId="1" xfId="0" applyFont="1" applyFill="1" applyBorder="1" applyAlignment="1">
      <alignment horizontal="center" vertical="center" wrapText="1"/>
    </xf>
    <xf numFmtId="176" fontId="23" fillId="0" borderId="1" xfId="0" applyFont="1" applyFill="1" applyBorder="1" applyAlignment="1">
      <alignment horizontal="center" vertical="center"/>
    </xf>
    <xf numFmtId="176" fontId="23" fillId="5" borderId="1" xfId="0" applyFont="1" applyFill="1" applyBorder="1" applyAlignment="1">
      <alignment horizontal="center" vertical="center"/>
    </xf>
    <xf numFmtId="9" fontId="23" fillId="0" borderId="1" xfId="0" applyNumberFormat="1" applyFont="1" applyFill="1" applyBorder="1" applyAlignment="1">
      <alignment horizontal="center" vertical="center"/>
    </xf>
    <xf numFmtId="176" fontId="23" fillId="5" borderId="1" xfId="0" applyFont="1" applyFill="1" applyBorder="1" applyAlignment="1">
      <alignment horizontal="center" vertical="center" wrapText="1"/>
    </xf>
    <xf numFmtId="176" fontId="23" fillId="0" borderId="1" xfId="0" applyFont="1" applyFill="1" applyBorder="1" applyAlignment="1">
      <alignment vertical="center"/>
    </xf>
    <xf numFmtId="0" fontId="24" fillId="0" borderId="1" xfId="0" applyNumberFormat="1" applyFont="1" applyFill="1" applyBorder="1" applyAlignment="1">
      <alignment horizontal="center" vertical="center"/>
    </xf>
    <xf numFmtId="176" fontId="23" fillId="0" borderId="3" xfId="0" applyFont="1" applyBorder="1" applyAlignment="1">
      <alignment horizontal="center" vertical="center" wrapText="1"/>
    </xf>
    <xf numFmtId="49" fontId="23" fillId="0" borderId="1" xfId="0" applyNumberFormat="1" applyFont="1" applyFill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center" vertical="center"/>
    </xf>
    <xf numFmtId="176" fontId="24" fillId="5" borderId="1" xfId="0" applyFont="1" applyFill="1" applyBorder="1" applyAlignment="1">
      <alignment horizontal="center" vertical="center"/>
    </xf>
    <xf numFmtId="0" fontId="23" fillId="0" borderId="29" xfId="0" applyNumberFormat="1" applyFont="1" applyBorder="1" applyAlignment="1">
      <alignment horizontal="center" vertical="center"/>
    </xf>
    <xf numFmtId="176" fontId="23" fillId="0" borderId="30" xfId="0" applyFont="1" applyBorder="1" applyAlignment="1">
      <alignment horizontal="center" vertical="center"/>
    </xf>
    <xf numFmtId="176" fontId="23" fillId="0" borderId="29" xfId="0" applyFont="1" applyBorder="1" applyAlignment="1">
      <alignment horizontal="center" vertical="center"/>
    </xf>
    <xf numFmtId="176" fontId="23" fillId="4" borderId="29" xfId="0" applyFont="1" applyFill="1" applyBorder="1" applyAlignment="1">
      <alignment horizontal="center" vertical="center"/>
    </xf>
    <xf numFmtId="0" fontId="23" fillId="4" borderId="29" xfId="0" applyNumberFormat="1" applyFont="1" applyFill="1" applyBorder="1" applyAlignment="1">
      <alignment horizontal="center" vertical="center"/>
    </xf>
    <xf numFmtId="0" fontId="24" fillId="4" borderId="29" xfId="0" applyNumberFormat="1" applyFont="1" applyFill="1" applyBorder="1" applyAlignment="1">
      <alignment horizontal="center" vertical="center"/>
    </xf>
    <xf numFmtId="176" fontId="23" fillId="4" borderId="29" xfId="0" applyFont="1" applyFill="1" applyBorder="1" applyAlignment="1">
      <alignment horizontal="center" vertical="center" wrapText="1"/>
    </xf>
    <xf numFmtId="9" fontId="23" fillId="4" borderId="29" xfId="0" applyNumberFormat="1" applyFont="1" applyFill="1" applyBorder="1" applyAlignment="1">
      <alignment horizontal="center" vertical="center"/>
    </xf>
    <xf numFmtId="176" fontId="23" fillId="0" borderId="29" xfId="0" applyFont="1" applyBorder="1" applyAlignment="1">
      <alignment horizontal="center" vertical="center" wrapText="1"/>
    </xf>
    <xf numFmtId="0" fontId="23" fillId="0" borderId="4" xfId="0" applyNumberFormat="1" applyFont="1" applyBorder="1" applyAlignment="1">
      <alignment horizontal="center" vertical="center"/>
    </xf>
    <xf numFmtId="0" fontId="23" fillId="0" borderId="4" xfId="0" applyNumberFormat="1" applyFont="1" applyFill="1" applyBorder="1" applyAlignment="1">
      <alignment horizontal="center" vertical="center"/>
    </xf>
    <xf numFmtId="176" fontId="23" fillId="0" borderId="4" xfId="0" applyFont="1" applyFill="1" applyBorder="1" applyAlignment="1">
      <alignment vertical="center"/>
    </xf>
    <xf numFmtId="176" fontId="23" fillId="0" borderId="4" xfId="0" applyFont="1" applyFill="1" applyBorder="1" applyAlignment="1">
      <alignment horizontal="center" vertical="center"/>
    </xf>
    <xf numFmtId="9" fontId="23" fillId="0" borderId="4" xfId="0" applyNumberFormat="1" applyFont="1" applyFill="1" applyBorder="1" applyAlignment="1">
      <alignment horizontal="center" vertical="center"/>
    </xf>
    <xf numFmtId="0" fontId="23" fillId="0" borderId="4" xfId="0" applyNumberFormat="1" applyFont="1" applyFill="1" applyBorder="1" applyAlignment="1">
      <alignment horizontal="center" vertical="center" wrapText="1"/>
    </xf>
    <xf numFmtId="0" fontId="24" fillId="0" borderId="4" xfId="0" applyNumberFormat="1" applyFont="1" applyFill="1" applyBorder="1" applyAlignment="1">
      <alignment horizontal="center" vertical="center"/>
    </xf>
    <xf numFmtId="176" fontId="25" fillId="0" borderId="4" xfId="0" applyFont="1" applyFill="1" applyBorder="1" applyAlignment="1">
      <alignment vertical="center" wrapText="1"/>
    </xf>
    <xf numFmtId="0" fontId="23" fillId="0" borderId="2" xfId="0" applyNumberFormat="1" applyFont="1" applyFill="1" applyBorder="1" applyAlignment="1">
      <alignment horizontal="center" vertical="center"/>
    </xf>
    <xf numFmtId="0" fontId="23" fillId="0" borderId="2" xfId="0" applyNumberFormat="1" applyFont="1" applyBorder="1" applyAlignment="1">
      <alignment horizontal="center" vertical="center"/>
    </xf>
    <xf numFmtId="176" fontId="23" fillId="0" borderId="2" xfId="0" applyFont="1" applyBorder="1" applyAlignment="1">
      <alignment vertical="center"/>
    </xf>
    <xf numFmtId="176" fontId="23" fillId="0" borderId="2" xfId="0" applyFont="1" applyBorder="1" applyAlignment="1">
      <alignment horizontal="center" vertical="center"/>
    </xf>
    <xf numFmtId="9" fontId="23" fillId="0" borderId="2" xfId="0" applyNumberFormat="1" applyFont="1" applyBorder="1" applyAlignment="1">
      <alignment horizontal="center" vertical="center"/>
    </xf>
    <xf numFmtId="0" fontId="23" fillId="0" borderId="2" xfId="0" applyNumberFormat="1" applyFont="1" applyBorder="1" applyAlignment="1">
      <alignment horizontal="center" vertical="center" wrapText="1"/>
    </xf>
    <xf numFmtId="176" fontId="23" fillId="0" borderId="2" xfId="0" applyFont="1" applyBorder="1" applyAlignment="1">
      <alignment vertical="center" wrapText="1"/>
    </xf>
    <xf numFmtId="176" fontId="23" fillId="0" borderId="2" xfId="0" applyFont="1" applyFill="1" applyBorder="1" applyAlignment="1">
      <alignment horizontal="center" vertical="center"/>
    </xf>
    <xf numFmtId="176" fontId="23" fillId="0" borderId="30" xfId="0" applyFont="1" applyBorder="1" applyAlignment="1">
      <alignment horizontal="center" vertical="center" wrapText="1"/>
    </xf>
    <xf numFmtId="176" fontId="23" fillId="0" borderId="4" xfId="0" applyFont="1" applyBorder="1" applyAlignment="1">
      <alignment horizontal="center" vertical="center" wrapText="1"/>
    </xf>
    <xf numFmtId="176" fontId="23" fillId="0" borderId="4" xfId="0" applyFont="1" applyBorder="1" applyAlignment="1">
      <alignment vertical="center"/>
    </xf>
    <xf numFmtId="176" fontId="23" fillId="0" borderId="4" xfId="0" applyFont="1" applyFill="1" applyBorder="1" applyAlignment="1">
      <alignment horizontal="center" vertical="center" wrapText="1"/>
    </xf>
    <xf numFmtId="176" fontId="23" fillId="0" borderId="4" xfId="0" applyFont="1" applyFill="1" applyBorder="1" applyAlignment="1">
      <alignment vertical="center" wrapText="1"/>
    </xf>
    <xf numFmtId="176" fontId="25" fillId="0" borderId="1" xfId="0" applyFont="1" applyFill="1" applyBorder="1" applyAlignment="1">
      <alignment vertical="center" wrapText="1"/>
    </xf>
    <xf numFmtId="0" fontId="24" fillId="0" borderId="1" xfId="0" applyNumberFormat="1" applyFont="1" applyBorder="1" applyAlignment="1">
      <alignment horizontal="center" vertical="center"/>
    </xf>
    <xf numFmtId="0" fontId="23" fillId="0" borderId="13" xfId="0" applyNumberFormat="1" applyFont="1" applyFill="1" applyBorder="1" applyAlignment="1">
      <alignment horizontal="center" vertical="center"/>
    </xf>
    <xf numFmtId="0" fontId="23" fillId="0" borderId="15" xfId="0" applyNumberFormat="1" applyFont="1" applyFill="1" applyBorder="1" applyAlignment="1">
      <alignment horizontal="center" vertical="center"/>
    </xf>
    <xf numFmtId="176" fontId="23" fillId="0" borderId="4" xfId="0" applyFont="1" applyBorder="1" applyAlignment="1">
      <alignment horizontal="center" vertical="center"/>
    </xf>
    <xf numFmtId="9" fontId="23" fillId="0" borderId="4" xfId="0" applyNumberFormat="1" applyFont="1" applyBorder="1" applyAlignment="1">
      <alignment horizontal="center" vertical="center"/>
    </xf>
    <xf numFmtId="49" fontId="23" fillId="0" borderId="4" xfId="0" applyNumberFormat="1" applyFont="1" applyFill="1" applyBorder="1" applyAlignment="1">
      <alignment horizontal="center" vertical="center" wrapText="1"/>
    </xf>
    <xf numFmtId="176" fontId="23" fillId="0" borderId="4" xfId="0" applyFont="1" applyBorder="1" applyAlignment="1">
      <alignment vertical="center" wrapText="1"/>
    </xf>
    <xf numFmtId="0" fontId="23" fillId="0" borderId="3" xfId="0" applyNumberFormat="1" applyFont="1" applyBorder="1" applyAlignment="1">
      <alignment horizontal="center" vertical="center"/>
    </xf>
    <xf numFmtId="176" fontId="23" fillId="0" borderId="3" xfId="0" applyFont="1" applyBorder="1" applyAlignment="1">
      <alignment horizontal="center" vertical="center" wrapText="1"/>
    </xf>
    <xf numFmtId="176" fontId="23" fillId="0" borderId="3" xfId="0" applyFont="1" applyBorder="1" applyAlignment="1">
      <alignment horizontal="center" vertical="center"/>
    </xf>
    <xf numFmtId="49" fontId="23" fillId="0" borderId="3" xfId="0" applyNumberFormat="1" applyFont="1" applyFill="1" applyBorder="1" applyAlignment="1">
      <alignment horizontal="center" vertical="center" wrapText="1"/>
    </xf>
    <xf numFmtId="176" fontId="23" fillId="0" borderId="3" xfId="0" applyFont="1" applyBorder="1" applyAlignment="1">
      <alignment vertical="center" wrapText="1"/>
    </xf>
    <xf numFmtId="176" fontId="23" fillId="0" borderId="3" xfId="0" applyFont="1" applyBorder="1" applyAlignment="1">
      <alignment vertical="center"/>
    </xf>
    <xf numFmtId="176" fontId="23" fillId="0" borderId="3" xfId="0" applyFont="1" applyBorder="1" applyAlignment="1">
      <alignment horizontal="center" vertical="center" wrapText="1"/>
    </xf>
    <xf numFmtId="0" fontId="23" fillId="0" borderId="0" xfId="0" applyNumberFormat="1" applyFont="1" applyAlignment="1">
      <alignment horizontal="center" vertical="center"/>
    </xf>
    <xf numFmtId="176" fontId="23" fillId="0" borderId="0" xfId="0" applyFont="1" applyAlignment="1">
      <alignment horizontal="center" vertical="center"/>
    </xf>
    <xf numFmtId="176" fontId="23" fillId="0" borderId="0" xfId="0" applyFont="1" applyAlignment="1">
      <alignment vertical="center"/>
    </xf>
    <xf numFmtId="0" fontId="23" fillId="0" borderId="0" xfId="0" applyNumberFormat="1" applyFont="1" applyAlignment="1">
      <alignment vertical="center"/>
    </xf>
    <xf numFmtId="176" fontId="0" fillId="0" borderId="0" xfId="0" applyAlignment="1">
      <alignment vertical="center"/>
    </xf>
    <xf numFmtId="0" fontId="18" fillId="0" borderId="1" xfId="0" applyNumberFormat="1" applyFont="1" applyFill="1" applyBorder="1" applyAlignment="1" quotePrefix="1">
      <alignment horizontal="center" vertical="center" wrapText="1"/>
    </xf>
    <xf numFmtId="0" fontId="5" fillId="0" borderId="2" xfId="0" applyNumberFormat="1" applyFont="1" applyFill="1" applyBorder="1" applyAlignment="1" quotePrefix="1">
      <alignment horizontal="center" vertical="center" wrapText="1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3" xfId="50"/>
    <cellStyle name="常规 10" xfId="51"/>
    <cellStyle name="常规 11" xfId="52"/>
    <cellStyle name="常规 12" xfId="53"/>
    <cellStyle name="常规 13" xfId="54"/>
    <cellStyle name="常规 14" xfId="55"/>
    <cellStyle name="常规 2" xfId="56"/>
    <cellStyle name="常规 3" xfId="57"/>
    <cellStyle name="常规 4" xfId="58"/>
    <cellStyle name="常规 5" xfId="59"/>
    <cellStyle name="常规 6" xfId="60"/>
    <cellStyle name="常规 7" xfId="61"/>
    <cellStyle name="常规 8" xfId="62"/>
    <cellStyle name="常规 9" xfId="6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4.xml"/><Relationship Id="rId12" Type="http://schemas.openxmlformats.org/officeDocument/2006/relationships/externalLink" Target="externalLinks/externalLink3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4.25-2026.4.30&#39033;&#30446;&#21608;&#25253;&#27719;&#24635;%20-%20&#21103;&#2641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4.27-2026.4.30&#39033;&#30446;&#21608;&#25253;&#27719;&#24635;-&#20132;&#20184;-&#29289;&#19994;&#3245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4.27-2026.4.30&#39033;&#30446;&#21608;&#25253;&#27719;&#24635;-&#20132;&#20184;-AI&#22823;&#25968;&#25454;&#3245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4.27-2025.4.30&#39033;&#30446;&#21608;&#25253;&#27719;&#24635;-&#20132;&#20184;-JD&#3245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55"/>
  <sheetViews>
    <sheetView tabSelected="1" zoomScale="70" zoomScaleNormal="70" workbookViewId="0">
      <pane xSplit="5" ySplit="2" topLeftCell="F20" activePane="bottomRight" state="frozen"/>
      <selection/>
      <selection pane="topRight"/>
      <selection pane="bottomLeft"/>
      <selection pane="bottomRight" activeCell="A45" sqref="A45"/>
    </sheetView>
  </sheetViews>
  <sheetFormatPr defaultColWidth="9" defaultRowHeight="13.8"/>
  <cols>
    <col min="1" max="1" width="7.11111111111111" style="353" customWidth="1"/>
    <col min="2" max="2" width="15.4444444444444" customWidth="1"/>
    <col min="3" max="3" width="14.4444444444444" customWidth="1"/>
    <col min="4" max="4" width="21.8888888888889" style="353" customWidth="1"/>
    <col min="5" max="5" width="41.8888888888889" customWidth="1"/>
    <col min="6" max="6" width="21.2222222222222" customWidth="1"/>
    <col min="7" max="7" width="9.88888888888889" customWidth="1"/>
    <col min="8" max="8" width="11.4444444444444" customWidth="1"/>
    <col min="9" max="9" width="10.8888888888889" customWidth="1"/>
    <col min="10" max="10" width="15.3333333333333" style="354" customWidth="1"/>
    <col min="11" max="11" width="11.3333333333333" style="353" customWidth="1"/>
    <col min="12" max="12" width="20.6296296296296" customWidth="1"/>
    <col min="13" max="13" width="19.7777777777778" style="353" customWidth="1"/>
    <col min="14" max="14" width="20.1574074074074" style="353" customWidth="1"/>
    <col min="15" max="15" width="21.2685185185185" style="355" hidden="1" customWidth="1"/>
    <col min="16" max="16" width="19.2037037037037" customWidth="1"/>
    <col min="17" max="17" width="16.3518518518519" customWidth="1"/>
    <col min="18" max="18" width="85.2314814814815" customWidth="1"/>
  </cols>
  <sheetData>
    <row r="1" ht="37.5" customHeight="1" spans="1:18">
      <c r="A1" s="356" t="s">
        <v>0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</row>
    <row r="2" ht="30" customHeight="1" spans="1:18">
      <c r="A2" s="357" t="s">
        <v>1</v>
      </c>
      <c r="B2" s="358" t="s">
        <v>2</v>
      </c>
      <c r="C2" s="358" t="s">
        <v>3</v>
      </c>
      <c r="D2" s="357" t="s">
        <v>4</v>
      </c>
      <c r="E2" s="358" t="s">
        <v>5</v>
      </c>
      <c r="F2" s="358" t="s">
        <v>6</v>
      </c>
      <c r="G2" s="358" t="s">
        <v>7</v>
      </c>
      <c r="H2" s="358" t="s">
        <v>8</v>
      </c>
      <c r="I2" s="358" t="s">
        <v>9</v>
      </c>
      <c r="J2" s="359" t="s">
        <v>10</v>
      </c>
      <c r="K2" s="360" t="s">
        <v>11</v>
      </c>
      <c r="L2" s="358" t="s">
        <v>12</v>
      </c>
      <c r="M2" s="357" t="s">
        <v>13</v>
      </c>
      <c r="N2" s="357" t="s">
        <v>14</v>
      </c>
      <c r="O2" s="361" t="s">
        <v>15</v>
      </c>
      <c r="P2" s="362" t="s">
        <v>16</v>
      </c>
      <c r="Q2" s="358" t="s">
        <v>17</v>
      </c>
      <c r="R2" s="358" t="s">
        <v>18</v>
      </c>
    </row>
    <row r="3" ht="35" customHeight="1" spans="1:18">
      <c r="A3" s="363">
        <v>1</v>
      </c>
      <c r="B3" s="364" t="s">
        <v>19</v>
      </c>
      <c r="C3" s="365" t="s">
        <v>20</v>
      </c>
      <c r="D3" s="363">
        <v>22220901</v>
      </c>
      <c r="E3" s="366" t="s">
        <v>21</v>
      </c>
      <c r="F3" s="367" t="s">
        <v>22</v>
      </c>
      <c r="G3" s="367" t="s">
        <v>23</v>
      </c>
      <c r="H3" s="367" t="s">
        <v>24</v>
      </c>
      <c r="I3" s="367" t="s">
        <v>25</v>
      </c>
      <c r="J3" s="368" t="s">
        <v>26</v>
      </c>
      <c r="K3" s="369" t="s">
        <v>27</v>
      </c>
      <c r="L3" s="367"/>
      <c r="M3" s="370">
        <v>9.5</v>
      </c>
      <c r="N3" s="370">
        <v>9</v>
      </c>
      <c r="O3" s="371" t="str">
        <f>N3-M3&amp;"("&amp;ROUND(((N3-M3)/M3*100),0)&amp;"%)"</f>
        <v>-0.5(-5%)</v>
      </c>
      <c r="P3" s="372"/>
      <c r="Q3" s="366"/>
      <c r="R3" s="367"/>
    </row>
    <row r="4" ht="64" customHeight="1" spans="1:18">
      <c r="A4" s="363">
        <v>2</v>
      </c>
      <c r="B4" s="373"/>
      <c r="C4" s="367"/>
      <c r="D4" s="363">
        <v>22250226</v>
      </c>
      <c r="E4" s="366" t="s">
        <v>28</v>
      </c>
      <c r="F4" s="367" t="s">
        <v>22</v>
      </c>
      <c r="G4" s="367" t="s">
        <v>29</v>
      </c>
      <c r="H4" s="367" t="s">
        <v>30</v>
      </c>
      <c r="I4" s="367" t="s">
        <v>25</v>
      </c>
      <c r="J4" s="374">
        <v>0.93</v>
      </c>
      <c r="K4" s="369" t="s">
        <v>31</v>
      </c>
      <c r="L4" s="367"/>
      <c r="M4" s="370">
        <v>19.06</v>
      </c>
      <c r="N4" s="370">
        <v>9.25</v>
      </c>
      <c r="O4" s="371" t="str">
        <f t="shared" ref="O4:O6" si="0">ROUND(N4-M4,2)&amp;"("&amp;ROUND(((N4-M4)/M4*100),0)&amp;"%)"</f>
        <v>-9.81(-51%)</v>
      </c>
      <c r="P4" s="372"/>
      <c r="Q4" s="366"/>
      <c r="R4" s="375" t="s">
        <v>32</v>
      </c>
    </row>
    <row r="5" ht="32" customHeight="1" spans="1:18">
      <c r="A5" s="363">
        <v>3</v>
      </c>
      <c r="B5" s="373"/>
      <c r="C5" s="367"/>
      <c r="D5" s="363">
        <v>22220202</v>
      </c>
      <c r="E5" s="366" t="s">
        <v>33</v>
      </c>
      <c r="F5" s="367" t="s">
        <v>34</v>
      </c>
      <c r="G5" s="365" t="s">
        <v>35</v>
      </c>
      <c r="H5" s="367" t="s">
        <v>24</v>
      </c>
      <c r="I5" s="367" t="s">
        <v>25</v>
      </c>
      <c r="J5" s="368" t="s">
        <v>26</v>
      </c>
      <c r="K5" s="369" t="s">
        <v>31</v>
      </c>
      <c r="L5" s="372"/>
      <c r="M5" s="370">
        <v>0</v>
      </c>
      <c r="N5" s="370">
        <v>0</v>
      </c>
      <c r="O5" s="371">
        <v>0</v>
      </c>
      <c r="P5" s="365"/>
      <c r="Q5" s="366"/>
      <c r="R5" s="375" t="s">
        <v>36</v>
      </c>
    </row>
    <row r="6" ht="23" customHeight="1" spans="1:18">
      <c r="A6" s="363">
        <v>4</v>
      </c>
      <c r="B6" s="373"/>
      <c r="C6" s="367"/>
      <c r="D6" s="363">
        <v>22220701</v>
      </c>
      <c r="E6" s="366" t="s">
        <v>37</v>
      </c>
      <c r="F6" s="367" t="s">
        <v>34</v>
      </c>
      <c r="G6" s="365" t="s">
        <v>35</v>
      </c>
      <c r="H6" s="367" t="s">
        <v>24</v>
      </c>
      <c r="I6" s="367" t="s">
        <v>25</v>
      </c>
      <c r="J6" s="368" t="s">
        <v>26</v>
      </c>
      <c r="K6" s="369" t="s">
        <v>31</v>
      </c>
      <c r="L6" s="372"/>
      <c r="M6" s="370">
        <v>0</v>
      </c>
      <c r="N6" s="370">
        <v>0</v>
      </c>
      <c r="O6" s="371">
        <v>0</v>
      </c>
      <c r="P6" s="365"/>
      <c r="Q6" s="366"/>
      <c r="R6" s="375" t="s">
        <v>38</v>
      </c>
    </row>
    <row r="7" ht="23" customHeight="1" spans="1:18">
      <c r="A7" s="363">
        <v>5</v>
      </c>
      <c r="B7" s="373"/>
      <c r="C7" s="365" t="s">
        <v>39</v>
      </c>
      <c r="D7" s="363">
        <v>22221201</v>
      </c>
      <c r="E7" s="366" t="s">
        <v>40</v>
      </c>
      <c r="F7" s="367" t="s">
        <v>41</v>
      </c>
      <c r="G7" s="365" t="s">
        <v>23</v>
      </c>
      <c r="H7" s="367" t="s">
        <v>24</v>
      </c>
      <c r="I7" s="367" t="s">
        <v>25</v>
      </c>
      <c r="J7" s="368">
        <v>0.99</v>
      </c>
      <c r="K7" s="369" t="s">
        <v>42</v>
      </c>
      <c r="L7" s="367"/>
      <c r="M7" s="370">
        <v>4</v>
      </c>
      <c r="N7" s="370">
        <v>4</v>
      </c>
      <c r="O7" s="371" t="str">
        <f t="shared" ref="O7:O15" si="1">N7-M7&amp;"("&amp;ROUND(((N7-M7)/M7*100),0)&amp;"%)"</f>
        <v>0(0%)</v>
      </c>
      <c r="P7" s="372"/>
      <c r="Q7" s="366"/>
      <c r="R7" s="376"/>
    </row>
    <row r="8" ht="23" customHeight="1" spans="1:18">
      <c r="A8" s="363">
        <v>6</v>
      </c>
      <c r="B8" s="373"/>
      <c r="C8" s="367"/>
      <c r="D8" s="363">
        <v>22250314</v>
      </c>
      <c r="E8" s="366" t="s">
        <v>43</v>
      </c>
      <c r="F8" s="367" t="s">
        <v>44</v>
      </c>
      <c r="G8" s="367" t="s">
        <v>29</v>
      </c>
      <c r="H8" s="367" t="s">
        <v>30</v>
      </c>
      <c r="I8" s="377" t="s">
        <v>45</v>
      </c>
      <c r="J8" s="378">
        <v>0.95</v>
      </c>
      <c r="K8" s="369" t="s">
        <v>46</v>
      </c>
      <c r="L8" s="367"/>
      <c r="M8" s="370">
        <v>7</v>
      </c>
      <c r="N8" s="370">
        <v>4.5</v>
      </c>
      <c r="O8" s="371" t="str">
        <f t="shared" si="1"/>
        <v>-2.5(-36%)</v>
      </c>
      <c r="P8" s="379" t="s">
        <v>47</v>
      </c>
      <c r="Q8" s="366"/>
      <c r="R8" s="376" t="s">
        <v>48</v>
      </c>
    </row>
    <row r="9" ht="23" customHeight="1" spans="1:18">
      <c r="A9" s="363">
        <v>7</v>
      </c>
      <c r="B9" s="373"/>
      <c r="C9" s="367"/>
      <c r="D9" s="370" t="s">
        <v>49</v>
      </c>
      <c r="E9" s="380" t="s">
        <v>50</v>
      </c>
      <c r="F9" s="376" t="s">
        <v>51</v>
      </c>
      <c r="G9" s="376" t="s">
        <v>29</v>
      </c>
      <c r="H9" s="376" t="s">
        <v>52</v>
      </c>
      <c r="I9" s="376" t="s">
        <v>25</v>
      </c>
      <c r="J9" s="368" t="s">
        <v>26</v>
      </c>
      <c r="K9" s="371" t="s">
        <v>46</v>
      </c>
      <c r="L9" s="376"/>
      <c r="M9" s="381">
        <v>10</v>
      </c>
      <c r="N9" s="381">
        <v>7</v>
      </c>
      <c r="O9" s="371" t="str">
        <f t="shared" si="1"/>
        <v>-3(-30%)</v>
      </c>
      <c r="P9" s="372"/>
      <c r="Q9" s="366"/>
      <c r="R9" s="376" t="s">
        <v>53</v>
      </c>
    </row>
    <row r="10" ht="23" customHeight="1" spans="1:18">
      <c r="A10" s="363">
        <v>8</v>
      </c>
      <c r="B10" s="373"/>
      <c r="C10" s="367"/>
      <c r="D10" s="370">
        <v>23260410</v>
      </c>
      <c r="E10" s="380" t="s">
        <v>54</v>
      </c>
      <c r="F10" s="376" t="s">
        <v>55</v>
      </c>
      <c r="G10" s="376" t="s">
        <v>29</v>
      </c>
      <c r="H10" s="367" t="s">
        <v>56</v>
      </c>
      <c r="I10" s="376" t="s">
        <v>25</v>
      </c>
      <c r="J10" s="378"/>
      <c r="K10" s="371" t="s">
        <v>42</v>
      </c>
      <c r="L10" s="376"/>
      <c r="M10" s="381">
        <v>13</v>
      </c>
      <c r="N10" s="381">
        <v>13.5</v>
      </c>
      <c r="O10" s="370" t="str">
        <f t="shared" si="1"/>
        <v>0.5(4%)</v>
      </c>
      <c r="P10" s="375"/>
      <c r="Q10" s="380"/>
      <c r="R10" s="375" t="s">
        <v>57</v>
      </c>
    </row>
    <row r="11" ht="23" customHeight="1" spans="1:18">
      <c r="A11" s="363">
        <v>9</v>
      </c>
      <c r="B11" s="373"/>
      <c r="C11" s="364" t="s">
        <v>58</v>
      </c>
      <c r="D11" s="370">
        <v>22240822</v>
      </c>
      <c r="E11" s="380" t="s">
        <v>59</v>
      </c>
      <c r="F11" s="376" t="s">
        <v>60</v>
      </c>
      <c r="G11" s="376" t="s">
        <v>29</v>
      </c>
      <c r="H11" s="376" t="s">
        <v>52</v>
      </c>
      <c r="I11" s="376" t="s">
        <v>25</v>
      </c>
      <c r="J11" s="378">
        <v>1</v>
      </c>
      <c r="K11" s="371" t="s">
        <v>31</v>
      </c>
      <c r="L11" s="376"/>
      <c r="M11" s="381">
        <v>14.5</v>
      </c>
      <c r="N11" s="381">
        <v>7</v>
      </c>
      <c r="O11" s="371" t="str">
        <f t="shared" si="1"/>
        <v>-7.5(-52%)</v>
      </c>
      <c r="P11" s="375"/>
      <c r="Q11" s="380"/>
      <c r="R11" s="376" t="s">
        <v>61</v>
      </c>
    </row>
    <row r="12" ht="23" customHeight="1" spans="1:18">
      <c r="A12" s="363">
        <v>10</v>
      </c>
      <c r="B12" s="373"/>
      <c r="C12" s="382"/>
      <c r="D12" s="370">
        <v>23251211</v>
      </c>
      <c r="E12" s="380" t="s">
        <v>62</v>
      </c>
      <c r="F12" s="376" t="s">
        <v>63</v>
      </c>
      <c r="G12" s="376" t="s">
        <v>29</v>
      </c>
      <c r="H12" s="376" t="s">
        <v>56</v>
      </c>
      <c r="I12" s="376" t="s">
        <v>25</v>
      </c>
      <c r="J12" s="378">
        <v>0.86</v>
      </c>
      <c r="K12" s="371" t="s">
        <v>64</v>
      </c>
      <c r="L12" s="376"/>
      <c r="M12" s="381">
        <v>7</v>
      </c>
      <c r="N12" s="381">
        <v>2</v>
      </c>
      <c r="O12" s="383" t="str">
        <f t="shared" si="1"/>
        <v>-5(-71%)</v>
      </c>
      <c r="P12" s="375"/>
      <c r="Q12" s="380"/>
      <c r="R12" s="376"/>
    </row>
    <row r="13" ht="23" customHeight="1" spans="1:18">
      <c r="A13" s="384">
        <v>12</v>
      </c>
      <c r="B13" s="373"/>
      <c r="C13" s="365" t="s">
        <v>65</v>
      </c>
      <c r="D13" s="363">
        <v>222201001</v>
      </c>
      <c r="E13" s="366" t="s">
        <v>66</v>
      </c>
      <c r="F13" s="367" t="s">
        <v>67</v>
      </c>
      <c r="G13" s="365" t="s">
        <v>35</v>
      </c>
      <c r="H13" s="367" t="s">
        <v>24</v>
      </c>
      <c r="I13" s="367" t="s">
        <v>25</v>
      </c>
      <c r="J13" s="368">
        <v>0.99</v>
      </c>
      <c r="K13" s="369" t="s">
        <v>31</v>
      </c>
      <c r="L13" s="372"/>
      <c r="M13" s="381">
        <v>0</v>
      </c>
      <c r="N13" s="381">
        <v>0</v>
      </c>
      <c r="O13" s="383" t="s">
        <v>68</v>
      </c>
      <c r="P13" s="365"/>
      <c r="Q13" s="366"/>
      <c r="R13" s="376" t="s">
        <v>69</v>
      </c>
    </row>
    <row r="14" ht="41" customHeight="1" spans="1:18">
      <c r="A14" s="384">
        <v>13</v>
      </c>
      <c r="B14" s="373"/>
      <c r="C14" s="367"/>
      <c r="D14" s="363">
        <v>22220905</v>
      </c>
      <c r="E14" s="366" t="s">
        <v>70</v>
      </c>
      <c r="F14" s="367" t="s">
        <v>67</v>
      </c>
      <c r="G14" s="365" t="s">
        <v>35</v>
      </c>
      <c r="H14" s="367" t="s">
        <v>24</v>
      </c>
      <c r="I14" s="367" t="s">
        <v>25</v>
      </c>
      <c r="J14" s="368">
        <v>0.99</v>
      </c>
      <c r="K14" s="369" t="s">
        <v>27</v>
      </c>
      <c r="L14" s="372"/>
      <c r="M14" s="381">
        <v>10</v>
      </c>
      <c r="N14" s="381">
        <v>14.5</v>
      </c>
      <c r="O14" s="383" t="str">
        <f>N14-M14&amp;"("&amp;ROUND(((N14-M14)/M14*100),0)&amp;"%)"</f>
        <v>4.5(45%)</v>
      </c>
      <c r="P14" s="372"/>
      <c r="Q14" s="366"/>
      <c r="R14" s="376" t="s">
        <v>71</v>
      </c>
    </row>
    <row r="15" ht="23" customHeight="1" spans="1:18">
      <c r="A15" s="384">
        <v>14</v>
      </c>
      <c r="B15" s="373"/>
      <c r="C15" s="367"/>
      <c r="D15" s="363">
        <v>21250326</v>
      </c>
      <c r="E15" s="366" t="s">
        <v>72</v>
      </c>
      <c r="F15" s="367" t="s">
        <v>67</v>
      </c>
      <c r="G15" s="365" t="s">
        <v>29</v>
      </c>
      <c r="H15" s="367" t="s">
        <v>73</v>
      </c>
      <c r="I15" s="385" t="s">
        <v>74</v>
      </c>
      <c r="J15" s="378">
        <v>0.85</v>
      </c>
      <c r="K15" s="369" t="s">
        <v>75</v>
      </c>
      <c r="L15" s="365"/>
      <c r="M15" s="381">
        <v>3.5</v>
      </c>
      <c r="N15" s="381">
        <v>3</v>
      </c>
      <c r="O15" s="371" t="str">
        <f t="shared" ref="O14:O22" si="2">N15-M15&amp;"("&amp;ROUND(((N15-M15)/M15*100),0)&amp;"%)"</f>
        <v>-0.5(-14%)</v>
      </c>
      <c r="P15" s="372"/>
      <c r="Q15" s="366"/>
      <c r="R15" s="377" t="s">
        <v>76</v>
      </c>
    </row>
    <row r="16" ht="23" customHeight="1" spans="1:18">
      <c r="A16" s="384">
        <v>15</v>
      </c>
      <c r="B16" s="373"/>
      <c r="C16" s="367"/>
      <c r="D16" s="363" t="s">
        <v>77</v>
      </c>
      <c r="E16" s="366" t="s">
        <v>78</v>
      </c>
      <c r="F16" s="367" t="s">
        <v>79</v>
      </c>
      <c r="G16" s="365" t="s">
        <v>29</v>
      </c>
      <c r="H16" s="367" t="s">
        <v>80</v>
      </c>
      <c r="I16" s="367" t="s">
        <v>25</v>
      </c>
      <c r="J16" s="378">
        <v>0.99</v>
      </c>
      <c r="K16" s="369" t="s">
        <v>75</v>
      </c>
      <c r="L16" s="365"/>
      <c r="M16" s="381">
        <v>0</v>
      </c>
      <c r="N16" s="381">
        <v>0</v>
      </c>
      <c r="O16" s="371">
        <v>0</v>
      </c>
      <c r="P16" s="372"/>
      <c r="Q16" s="366"/>
      <c r="R16" s="367" t="s">
        <v>81</v>
      </c>
    </row>
    <row r="17" ht="23" customHeight="1" spans="1:18">
      <c r="A17" s="363">
        <v>16</v>
      </c>
      <c r="B17" s="373"/>
      <c r="C17" s="365" t="s">
        <v>82</v>
      </c>
      <c r="D17" s="363" t="s">
        <v>83</v>
      </c>
      <c r="E17" s="366" t="s">
        <v>84</v>
      </c>
      <c r="F17" s="367" t="s">
        <v>85</v>
      </c>
      <c r="G17" s="367" t="s">
        <v>29</v>
      </c>
      <c r="H17" s="367" t="s">
        <v>30</v>
      </c>
      <c r="I17" s="367" t="s">
        <v>25</v>
      </c>
      <c r="J17" s="368">
        <v>0.95</v>
      </c>
      <c r="K17" s="369"/>
      <c r="L17" s="367"/>
      <c r="M17" s="381">
        <v>8.5</v>
      </c>
      <c r="N17" s="381">
        <v>6</v>
      </c>
      <c r="O17" s="383" t="str">
        <f t="shared" si="2"/>
        <v>-2.5(-29%)</v>
      </c>
      <c r="P17" s="372"/>
      <c r="Q17" s="366"/>
      <c r="R17" s="365" t="s">
        <v>86</v>
      </c>
    </row>
    <row r="18" ht="23" customHeight="1" spans="1:18">
      <c r="A18" s="363">
        <v>17</v>
      </c>
      <c r="B18" s="373"/>
      <c r="C18" s="367"/>
      <c r="D18" s="370"/>
      <c r="E18" s="366" t="s">
        <v>87</v>
      </c>
      <c r="F18" s="367" t="s">
        <v>85</v>
      </c>
      <c r="G18" s="367" t="s">
        <v>29</v>
      </c>
      <c r="H18" s="376" t="s">
        <v>52</v>
      </c>
      <c r="I18" s="367" t="s">
        <v>25</v>
      </c>
      <c r="J18" s="368" t="s">
        <v>26</v>
      </c>
      <c r="K18" s="369"/>
      <c r="L18" s="367"/>
      <c r="M18" s="381">
        <v>6.5</v>
      </c>
      <c r="N18" s="381">
        <v>4.5</v>
      </c>
      <c r="O18" s="383" t="str">
        <f t="shared" si="2"/>
        <v>-2(-31%)</v>
      </c>
      <c r="P18" s="372"/>
      <c r="Q18" s="366"/>
      <c r="R18" s="375"/>
    </row>
    <row r="19" ht="23" customHeight="1" spans="1:18">
      <c r="A19" s="363">
        <v>18</v>
      </c>
      <c r="B19" s="373"/>
      <c r="C19" s="365" t="s">
        <v>88</v>
      </c>
      <c r="D19" s="363" t="s">
        <v>89</v>
      </c>
      <c r="E19" s="366" t="s">
        <v>90</v>
      </c>
      <c r="F19" s="367" t="s">
        <v>91</v>
      </c>
      <c r="G19" s="367" t="s">
        <v>29</v>
      </c>
      <c r="H19" s="376" t="s">
        <v>52</v>
      </c>
      <c r="I19" s="367" t="s">
        <v>25</v>
      </c>
      <c r="J19" s="368" t="s">
        <v>26</v>
      </c>
      <c r="K19" s="369"/>
      <c r="L19" s="367"/>
      <c r="M19" s="381">
        <v>22</v>
      </c>
      <c r="N19" s="381">
        <v>19</v>
      </c>
      <c r="O19" s="383" t="str">
        <f t="shared" si="2"/>
        <v>-3(-14%)</v>
      </c>
      <c r="P19" s="375"/>
      <c r="Q19" s="380"/>
      <c r="R19" s="376"/>
    </row>
    <row r="20" ht="23" customHeight="1" spans="1:18">
      <c r="A20" s="363">
        <v>19</v>
      </c>
      <c r="B20" s="373"/>
      <c r="C20" s="367"/>
      <c r="D20" s="363"/>
      <c r="E20" s="366" t="s">
        <v>92</v>
      </c>
      <c r="F20" s="367" t="s">
        <v>44</v>
      </c>
      <c r="G20" s="367" t="s">
        <v>29</v>
      </c>
      <c r="H20" s="376" t="s">
        <v>52</v>
      </c>
      <c r="I20" s="367" t="s">
        <v>25</v>
      </c>
      <c r="J20" s="368" t="s">
        <v>26</v>
      </c>
      <c r="K20" s="369"/>
      <c r="L20" s="367"/>
      <c r="M20" s="370">
        <v>9</v>
      </c>
      <c r="N20" s="370">
        <v>7.5</v>
      </c>
      <c r="O20" s="371" t="str">
        <f t="shared" si="2"/>
        <v>-1.5(-17%)</v>
      </c>
      <c r="P20" s="375"/>
      <c r="Q20" s="380"/>
      <c r="R20" s="376" t="s">
        <v>93</v>
      </c>
    </row>
    <row r="21" ht="23" customHeight="1" spans="1:18">
      <c r="A21" s="363">
        <v>20</v>
      </c>
      <c r="B21" s="373"/>
      <c r="C21" s="367"/>
      <c r="D21" s="363"/>
      <c r="E21" s="366" t="s">
        <v>94</v>
      </c>
      <c r="F21" s="367" t="s">
        <v>55</v>
      </c>
      <c r="G21" s="367" t="s">
        <v>29</v>
      </c>
      <c r="H21" s="376" t="s">
        <v>52</v>
      </c>
      <c r="I21" s="367" t="s">
        <v>25</v>
      </c>
      <c r="J21" s="368" t="s">
        <v>26</v>
      </c>
      <c r="K21" s="369"/>
      <c r="L21" s="365"/>
      <c r="M21" s="370">
        <v>13</v>
      </c>
      <c r="N21" s="370">
        <v>5</v>
      </c>
      <c r="O21" s="371" t="str">
        <f t="shared" si="2"/>
        <v>-8(-62%)</v>
      </c>
      <c r="P21" s="372"/>
      <c r="Q21" s="366"/>
      <c r="R21" s="376"/>
    </row>
    <row r="22" ht="23" customHeight="1" spans="1:18">
      <c r="A22" s="363">
        <v>21</v>
      </c>
      <c r="B22" s="373"/>
      <c r="C22" s="367"/>
      <c r="D22" s="363"/>
      <c r="E22" s="366" t="s">
        <v>95</v>
      </c>
      <c r="F22" s="367" t="s">
        <v>63</v>
      </c>
      <c r="G22" s="367" t="s">
        <v>29</v>
      </c>
      <c r="H22" s="376" t="s">
        <v>52</v>
      </c>
      <c r="I22" s="367" t="s">
        <v>25</v>
      </c>
      <c r="J22" s="368" t="s">
        <v>26</v>
      </c>
      <c r="K22" s="369"/>
      <c r="L22" s="365"/>
      <c r="M22" s="370">
        <v>20</v>
      </c>
      <c r="N22" s="370">
        <v>22.5</v>
      </c>
      <c r="O22" s="371"/>
      <c r="P22" s="372"/>
      <c r="Q22" s="366"/>
      <c r="R22" s="376"/>
    </row>
    <row r="23" ht="23" customHeight="1" spans="1:18">
      <c r="A23" s="363">
        <v>22</v>
      </c>
      <c r="B23" s="373"/>
      <c r="C23" s="367"/>
      <c r="D23" s="363"/>
      <c r="E23" s="366" t="s">
        <v>96</v>
      </c>
      <c r="F23" s="367" t="s">
        <v>63</v>
      </c>
      <c r="G23" s="367" t="s">
        <v>29</v>
      </c>
      <c r="H23" s="376" t="s">
        <v>52</v>
      </c>
      <c r="I23" s="367" t="s">
        <v>25</v>
      </c>
      <c r="J23" s="368" t="s">
        <v>26</v>
      </c>
      <c r="K23" s="369"/>
      <c r="L23" s="365"/>
      <c r="M23" s="370">
        <v>3</v>
      </c>
      <c r="N23" s="370">
        <v>2.5</v>
      </c>
      <c r="O23" s="371" t="str">
        <f>N23-M23&amp;"("&amp;ROUND(((N23-M23)/M23*100),0)&amp;"%)"</f>
        <v>-0.5(-17%)</v>
      </c>
      <c r="P23" s="372"/>
      <c r="Q23" s="366"/>
      <c r="R23" s="376"/>
    </row>
    <row r="24" ht="38.25" customHeight="1" spans="1:18">
      <c r="A24" s="386"/>
      <c r="B24" s="387"/>
      <c r="C24" s="388"/>
      <c r="D24" s="388"/>
      <c r="E24" s="388"/>
      <c r="F24" s="388"/>
      <c r="G24" s="388"/>
      <c r="H24" s="389"/>
      <c r="I24" s="389"/>
      <c r="J24" s="390"/>
      <c r="K24" s="390"/>
      <c r="L24" s="389" t="s">
        <v>97</v>
      </c>
      <c r="M24" s="391">
        <f>SUM(M3:M23)</f>
        <v>179.56</v>
      </c>
      <c r="N24" s="390">
        <f>SUM(N3:N23)</f>
        <v>140.75</v>
      </c>
      <c r="O24" s="390"/>
      <c r="P24" s="392" t="s">
        <v>98</v>
      </c>
      <c r="Q24" s="393">
        <f>N24/34/4</f>
        <v>1.03492647058824</v>
      </c>
      <c r="R24" s="394" t="s">
        <v>99</v>
      </c>
    </row>
    <row r="25" ht="29" customHeight="1" spans="1:18">
      <c r="A25" s="395">
        <v>23</v>
      </c>
      <c r="B25" s="382" t="s">
        <v>100</v>
      </c>
      <c r="C25" s="382" t="s">
        <v>101</v>
      </c>
      <c r="D25" s="396" t="s">
        <v>102</v>
      </c>
      <c r="E25" s="397" t="s">
        <v>103</v>
      </c>
      <c r="F25" s="398" t="s">
        <v>104</v>
      </c>
      <c r="G25" s="398" t="s">
        <v>29</v>
      </c>
      <c r="H25" s="398" t="s">
        <v>105</v>
      </c>
      <c r="I25" s="398" t="s">
        <v>25</v>
      </c>
      <c r="J25" s="399">
        <v>0.5</v>
      </c>
      <c r="K25" s="400"/>
      <c r="L25" s="398"/>
      <c r="M25" s="401">
        <v>0</v>
      </c>
      <c r="N25" s="401">
        <v>0</v>
      </c>
      <c r="O25" s="371" t="e">
        <f t="shared" ref="O25:O30" si="3">N25-M25&amp;"("&amp;ROUND(((N25-M25)/M25*100),0)&amp;"%)"</f>
        <v>#DIV/0!</v>
      </c>
      <c r="P25" s="402"/>
      <c r="Q25" s="397"/>
      <c r="R25" s="398"/>
    </row>
    <row r="26" ht="29" customHeight="1" spans="1:18">
      <c r="A26" s="395">
        <v>24</v>
      </c>
      <c r="B26" s="382"/>
      <c r="C26" s="382"/>
      <c r="D26" s="396"/>
      <c r="E26" s="397" t="s">
        <v>106</v>
      </c>
      <c r="F26" s="398" t="s">
        <v>107</v>
      </c>
      <c r="G26" s="398" t="s">
        <v>29</v>
      </c>
      <c r="H26" s="367" t="s">
        <v>73</v>
      </c>
      <c r="I26" s="398" t="s">
        <v>25</v>
      </c>
      <c r="J26" s="399" t="s">
        <v>23</v>
      </c>
      <c r="K26" s="400"/>
      <c r="L26" s="398"/>
      <c r="M26" s="370">
        <v>1.5</v>
      </c>
      <c r="N26" s="370">
        <v>0.7</v>
      </c>
      <c r="O26" s="371" t="str">
        <f t="shared" si="3"/>
        <v>-0.8(-53%)</v>
      </c>
      <c r="P26" s="402"/>
      <c r="Q26" s="397"/>
      <c r="R26" s="398" t="s">
        <v>108</v>
      </c>
    </row>
    <row r="27" ht="25" customHeight="1" spans="1:18">
      <c r="A27" s="363">
        <v>25</v>
      </c>
      <c r="B27" s="382"/>
      <c r="C27" s="382"/>
      <c r="D27" s="363">
        <v>21260422</v>
      </c>
      <c r="E27" s="366" t="s">
        <v>109</v>
      </c>
      <c r="F27" s="367" t="s">
        <v>110</v>
      </c>
      <c r="G27" s="398" t="s">
        <v>29</v>
      </c>
      <c r="H27" s="367" t="s">
        <v>73</v>
      </c>
      <c r="I27" s="367" t="s">
        <v>25</v>
      </c>
      <c r="J27" s="368">
        <v>0.35</v>
      </c>
      <c r="K27" s="369"/>
      <c r="L27" s="365"/>
      <c r="M27" s="403">
        <v>26</v>
      </c>
      <c r="N27" s="403">
        <v>17.5</v>
      </c>
      <c r="O27" s="371" t="str">
        <f t="shared" si="3"/>
        <v>-8.5(-33%)</v>
      </c>
      <c r="P27" s="372"/>
      <c r="Q27" s="366"/>
      <c r="R27" s="376"/>
    </row>
    <row r="28" ht="25" customHeight="1" spans="1:18">
      <c r="A28" s="363">
        <v>26</v>
      </c>
      <c r="B28" s="382"/>
      <c r="C28" s="382"/>
      <c r="D28" s="404">
        <v>21260423</v>
      </c>
      <c r="E28" s="405" t="s">
        <v>111</v>
      </c>
      <c r="F28" s="367" t="s">
        <v>110</v>
      </c>
      <c r="G28" s="398" t="s">
        <v>29</v>
      </c>
      <c r="H28" s="406" t="s">
        <v>73</v>
      </c>
      <c r="I28" s="406" t="s">
        <v>25</v>
      </c>
      <c r="J28" s="407">
        <v>0.15</v>
      </c>
      <c r="K28" s="408"/>
      <c r="L28" s="364"/>
      <c r="M28" s="403">
        <v>4.5</v>
      </c>
      <c r="N28" s="403">
        <v>4</v>
      </c>
      <c r="O28" s="371" t="str">
        <f t="shared" si="3"/>
        <v>-0.5(-11%)</v>
      </c>
      <c r="P28" s="409"/>
      <c r="Q28" s="405"/>
      <c r="R28" s="410" t="s">
        <v>112</v>
      </c>
    </row>
    <row r="29" ht="25" customHeight="1" spans="1:18">
      <c r="A29" s="363">
        <v>27</v>
      </c>
      <c r="B29" s="382"/>
      <c r="C29" s="382"/>
      <c r="D29" s="363">
        <v>22220901</v>
      </c>
      <c r="E29" s="366" t="s">
        <v>113</v>
      </c>
      <c r="F29" s="367" t="s">
        <v>22</v>
      </c>
      <c r="G29" s="367" t="s">
        <v>23</v>
      </c>
      <c r="H29" s="367" t="s">
        <v>24</v>
      </c>
      <c r="I29" s="367" t="s">
        <v>25</v>
      </c>
      <c r="J29" s="407"/>
      <c r="K29" s="408"/>
      <c r="L29" s="364"/>
      <c r="M29" s="403">
        <v>11.5</v>
      </c>
      <c r="N29" s="403">
        <v>8</v>
      </c>
      <c r="O29" s="371" t="str">
        <f t="shared" si="3"/>
        <v>-3.5(-30%)</v>
      </c>
      <c r="P29" s="409"/>
      <c r="Q29" s="405"/>
      <c r="R29" s="410"/>
    </row>
    <row r="30" ht="25" customHeight="1" spans="1:18">
      <c r="A30" s="363">
        <v>28</v>
      </c>
      <c r="B30" s="382"/>
      <c r="C30" s="382"/>
      <c r="D30" s="404">
        <v>22220905</v>
      </c>
      <c r="E30" s="409" t="s">
        <v>114</v>
      </c>
      <c r="F30" s="406" t="s">
        <v>67</v>
      </c>
      <c r="G30" s="367" t="s">
        <v>23</v>
      </c>
      <c r="H30" s="406" t="s">
        <v>24</v>
      </c>
      <c r="I30" s="406" t="s">
        <v>25</v>
      </c>
      <c r="J30" s="407"/>
      <c r="K30" s="408"/>
      <c r="L30" s="364"/>
      <c r="M30" s="403">
        <v>3.75</v>
      </c>
      <c r="N30" s="403">
        <v>3.25</v>
      </c>
      <c r="O30" s="371" t="str">
        <f t="shared" si="3"/>
        <v>-0.5(-13%)</v>
      </c>
      <c r="P30" s="409"/>
      <c r="Q30" s="405"/>
      <c r="R30" s="410"/>
    </row>
    <row r="31" ht="41" customHeight="1" spans="1:18">
      <c r="A31" s="386"/>
      <c r="B31" s="411"/>
      <c r="C31" s="388"/>
      <c r="D31" s="388"/>
      <c r="E31" s="388"/>
      <c r="F31" s="388"/>
      <c r="G31" s="388"/>
      <c r="H31" s="389"/>
      <c r="I31" s="389"/>
      <c r="J31" s="390"/>
      <c r="K31" s="390"/>
      <c r="L31" s="389" t="s">
        <v>97</v>
      </c>
      <c r="M31" s="391">
        <f>SUM(M25:M30)</f>
        <v>47.25</v>
      </c>
      <c r="N31" s="390">
        <f>SUM(N25:N30)</f>
        <v>33.45</v>
      </c>
      <c r="O31" s="390"/>
      <c r="P31" s="392" t="s">
        <v>98</v>
      </c>
      <c r="Q31" s="393">
        <f>N31/10/4</f>
        <v>0.83625</v>
      </c>
      <c r="R31" s="394"/>
    </row>
    <row r="32" ht="23" customHeight="1" spans="1:18">
      <c r="A32" s="395">
        <v>29</v>
      </c>
      <c r="B32" s="382" t="s">
        <v>115</v>
      </c>
      <c r="C32" s="412" t="s">
        <v>101</v>
      </c>
      <c r="D32" s="396" t="s">
        <v>116</v>
      </c>
      <c r="E32" s="413" t="s">
        <v>117</v>
      </c>
      <c r="F32" s="398" t="s">
        <v>118</v>
      </c>
      <c r="G32" s="414" t="s">
        <v>29</v>
      </c>
      <c r="H32" s="398" t="s">
        <v>73</v>
      </c>
      <c r="I32" s="398" t="s">
        <v>25</v>
      </c>
      <c r="J32" s="399">
        <v>0.95</v>
      </c>
      <c r="K32" s="400" t="s">
        <v>31</v>
      </c>
      <c r="L32" s="398"/>
      <c r="M32" s="396">
        <v>9.5</v>
      </c>
      <c r="N32" s="396">
        <v>7.8</v>
      </c>
      <c r="O32" s="400" t="str">
        <f>ROUND(N32-M32,2)&amp;"("&amp;ROUND(((N32-M32)/M32)*100,0)&amp;"%)"</f>
        <v>-1.7(-18%)</v>
      </c>
      <c r="P32" s="415"/>
      <c r="Q32" s="397"/>
      <c r="R32" s="398"/>
    </row>
    <row r="33" ht="23" customHeight="1" spans="1:18">
      <c r="A33" s="395">
        <v>30</v>
      </c>
      <c r="B33" s="382"/>
      <c r="C33" s="365"/>
      <c r="D33" s="363">
        <v>21250418</v>
      </c>
      <c r="E33" s="380" t="s">
        <v>119</v>
      </c>
      <c r="F33" s="367" t="s">
        <v>120</v>
      </c>
      <c r="G33" s="367" t="s">
        <v>29</v>
      </c>
      <c r="H33" s="367" t="s">
        <v>24</v>
      </c>
      <c r="I33" s="367" t="s">
        <v>25</v>
      </c>
      <c r="J33" s="368" t="s">
        <v>26</v>
      </c>
      <c r="K33" s="363" t="s">
        <v>75</v>
      </c>
      <c r="L33" s="376"/>
      <c r="M33" s="370">
        <v>9</v>
      </c>
      <c r="N33" s="370">
        <v>8.9</v>
      </c>
      <c r="O33" s="400" t="str">
        <f>ROUND(N33-M33,2)&amp;"("&amp;ROUND(((N33-M33)/M33)*100,0)&amp;"%)"</f>
        <v>-0.1(-1%)</v>
      </c>
      <c r="P33" s="416"/>
      <c r="Q33" s="380"/>
      <c r="R33" s="375"/>
    </row>
    <row r="34" ht="23" customHeight="1" spans="1:18">
      <c r="A34" s="395">
        <v>31</v>
      </c>
      <c r="B34" s="382"/>
      <c r="C34" s="365"/>
      <c r="D34" s="370" t="s">
        <v>121</v>
      </c>
      <c r="E34" s="366" t="s">
        <v>122</v>
      </c>
      <c r="F34" s="376" t="s">
        <v>120</v>
      </c>
      <c r="G34" s="375" t="s">
        <v>29</v>
      </c>
      <c r="H34" s="376" t="s">
        <v>73</v>
      </c>
      <c r="I34" s="376" t="s">
        <v>25</v>
      </c>
      <c r="J34" s="378">
        <v>0.97</v>
      </c>
      <c r="K34" s="371" t="s">
        <v>31</v>
      </c>
      <c r="L34" s="376"/>
      <c r="M34" s="370">
        <v>14.1</v>
      </c>
      <c r="N34" s="370">
        <v>12.5</v>
      </c>
      <c r="O34" s="400" t="str">
        <f>ROUND(N34-M34,2)&amp;"("&amp;ROUND(((N34-M34)/M34)*100,0)&amp;"%)"</f>
        <v>-1.6(-11%)</v>
      </c>
      <c r="P34" s="416"/>
      <c r="Q34" s="380"/>
      <c r="R34" s="375"/>
    </row>
    <row r="35" ht="23" customHeight="1" spans="1:18">
      <c r="A35" s="395">
        <v>32</v>
      </c>
      <c r="B35" s="382"/>
      <c r="C35" s="365"/>
      <c r="D35" s="370" t="s">
        <v>123</v>
      </c>
      <c r="E35" s="380" t="s">
        <v>124</v>
      </c>
      <c r="F35" s="376" t="s">
        <v>120</v>
      </c>
      <c r="G35" s="375" t="s">
        <v>29</v>
      </c>
      <c r="H35" s="376" t="s">
        <v>30</v>
      </c>
      <c r="I35" s="376" t="s">
        <v>25</v>
      </c>
      <c r="J35" s="378">
        <v>0.99</v>
      </c>
      <c r="K35" s="371"/>
      <c r="L35" s="376"/>
      <c r="M35" s="370">
        <v>9.4</v>
      </c>
      <c r="N35" s="370">
        <v>3.5</v>
      </c>
      <c r="O35" s="400" t="str">
        <f>ROUND(N35-M35,2)&amp;"("&amp;ROUND(((N35-M35)/M35)*100,0)&amp;"%)"</f>
        <v>-5.9(-63%)</v>
      </c>
      <c r="P35" s="416"/>
      <c r="Q35" s="380"/>
      <c r="R35" s="375" t="s">
        <v>125</v>
      </c>
    </row>
    <row r="36" ht="23" customHeight="1" spans="1:18">
      <c r="A36" s="395">
        <v>33</v>
      </c>
      <c r="B36" s="382"/>
      <c r="C36" s="365"/>
      <c r="D36" s="363" t="s">
        <v>126</v>
      </c>
      <c r="E36" s="366" t="s">
        <v>127</v>
      </c>
      <c r="F36" s="376" t="s">
        <v>120</v>
      </c>
      <c r="G36" s="367" t="s">
        <v>29</v>
      </c>
      <c r="H36" s="367" t="s">
        <v>24</v>
      </c>
      <c r="I36" s="376" t="s">
        <v>25</v>
      </c>
      <c r="J36" s="368" t="s">
        <v>26</v>
      </c>
      <c r="K36" s="363" t="s">
        <v>75</v>
      </c>
      <c r="L36" s="366"/>
      <c r="M36" s="363">
        <v>3.5</v>
      </c>
      <c r="N36" s="363">
        <v>0.8</v>
      </c>
      <c r="O36" s="400" t="str">
        <f>ROUND(N36-M36,2)&amp;"("&amp;ROUND(((N36-M36)/M36)*100,0)&amp;"%)"</f>
        <v>-2.7(-77%)</v>
      </c>
      <c r="P36" s="366"/>
      <c r="Q36" s="380"/>
      <c r="R36" s="375"/>
    </row>
    <row r="37" ht="23" customHeight="1" spans="1:18">
      <c r="A37" s="395">
        <v>34</v>
      </c>
      <c r="B37" s="382"/>
      <c r="C37" s="365"/>
      <c r="D37" s="363" t="s">
        <v>128</v>
      </c>
      <c r="E37" s="366" t="s">
        <v>129</v>
      </c>
      <c r="F37" s="367" t="s">
        <v>120</v>
      </c>
      <c r="G37" s="367" t="s">
        <v>29</v>
      </c>
      <c r="H37" s="367" t="s">
        <v>24</v>
      </c>
      <c r="I37" s="367" t="s">
        <v>25</v>
      </c>
      <c r="J37" s="368" t="s">
        <v>26</v>
      </c>
      <c r="K37" s="369" t="s">
        <v>75</v>
      </c>
      <c r="L37" s="365"/>
      <c r="M37" s="417"/>
      <c r="N37" s="363"/>
      <c r="O37" s="400"/>
      <c r="P37" s="372"/>
      <c r="Q37" s="366"/>
      <c r="R37" s="375"/>
    </row>
    <row r="38" ht="23" customHeight="1" spans="1:18">
      <c r="A38" s="395">
        <v>35</v>
      </c>
      <c r="B38" s="382"/>
      <c r="C38" s="365"/>
      <c r="D38" s="363">
        <v>21250417</v>
      </c>
      <c r="E38" s="366" t="s">
        <v>130</v>
      </c>
      <c r="F38" s="367" t="s">
        <v>131</v>
      </c>
      <c r="G38" s="367" t="s">
        <v>29</v>
      </c>
      <c r="H38" s="376" t="s">
        <v>24</v>
      </c>
      <c r="I38" s="367" t="s">
        <v>25</v>
      </c>
      <c r="J38" s="368" t="s">
        <v>26</v>
      </c>
      <c r="K38" s="363" t="s">
        <v>75</v>
      </c>
      <c r="L38" s="366"/>
      <c r="M38" s="417"/>
      <c r="N38" s="363"/>
      <c r="O38" s="400"/>
      <c r="P38" s="366"/>
      <c r="Q38" s="366"/>
      <c r="R38" s="375"/>
    </row>
    <row r="39" ht="23" customHeight="1" spans="1:18">
      <c r="A39" s="395">
        <v>36</v>
      </c>
      <c r="B39" s="382"/>
      <c r="C39" s="365"/>
      <c r="D39" s="363"/>
      <c r="E39" s="380" t="s">
        <v>132</v>
      </c>
      <c r="F39" s="376"/>
      <c r="G39" s="375" t="s">
        <v>35</v>
      </c>
      <c r="H39" s="376" t="s">
        <v>133</v>
      </c>
      <c r="I39" s="367"/>
      <c r="J39" s="368"/>
      <c r="K39" s="369"/>
      <c r="L39" s="365"/>
      <c r="M39" s="417"/>
      <c r="N39" s="363"/>
      <c r="O39" s="400"/>
      <c r="P39" s="372"/>
      <c r="Q39" s="366"/>
      <c r="R39" s="375" t="s">
        <v>134</v>
      </c>
    </row>
    <row r="40" ht="23" customHeight="1" spans="1:18">
      <c r="A40" s="395">
        <v>37</v>
      </c>
      <c r="B40" s="382"/>
      <c r="C40" s="365"/>
      <c r="D40" s="363"/>
      <c r="E40" s="380" t="s">
        <v>135</v>
      </c>
      <c r="F40" s="367"/>
      <c r="G40" s="367" t="s">
        <v>136</v>
      </c>
      <c r="H40" s="367" t="s">
        <v>137</v>
      </c>
      <c r="I40" s="367"/>
      <c r="J40" s="368"/>
      <c r="K40" s="369"/>
      <c r="L40" s="365"/>
      <c r="M40" s="417"/>
      <c r="N40" s="363"/>
      <c r="O40" s="400"/>
      <c r="P40" s="372"/>
      <c r="Q40" s="366"/>
      <c r="R40" s="375"/>
    </row>
    <row r="41" ht="23" customHeight="1" spans="1:18">
      <c r="A41" s="395">
        <v>38</v>
      </c>
      <c r="B41" s="382"/>
      <c r="C41" s="418" t="s">
        <v>89</v>
      </c>
      <c r="D41" s="419"/>
      <c r="E41" s="366" t="s">
        <v>138</v>
      </c>
      <c r="F41" s="367" t="s">
        <v>139</v>
      </c>
      <c r="G41" s="367" t="s">
        <v>29</v>
      </c>
      <c r="H41" s="376"/>
      <c r="I41" s="376"/>
      <c r="J41" s="378"/>
      <c r="K41" s="371"/>
      <c r="L41" s="376"/>
      <c r="M41" s="381">
        <v>0</v>
      </c>
      <c r="N41" s="370">
        <v>5</v>
      </c>
      <c r="O41" s="400"/>
      <c r="P41" s="416"/>
      <c r="Q41" s="380"/>
      <c r="R41" s="375"/>
    </row>
    <row r="42" ht="47" customHeight="1" spans="1:18">
      <c r="A42" s="386"/>
      <c r="B42" s="411"/>
      <c r="C42" s="388"/>
      <c r="D42" s="388"/>
      <c r="E42" s="388"/>
      <c r="F42" s="388"/>
      <c r="G42" s="388"/>
      <c r="H42" s="389"/>
      <c r="I42" s="389"/>
      <c r="J42" s="390"/>
      <c r="K42" s="390"/>
      <c r="L42" s="389" t="s">
        <v>97</v>
      </c>
      <c r="M42" s="391">
        <f>SUM(M32:M41)</f>
        <v>45.5</v>
      </c>
      <c r="N42" s="390">
        <f>SUM(N32:N41)</f>
        <v>38.5</v>
      </c>
      <c r="O42" s="390"/>
      <c r="P42" s="392" t="s">
        <v>98</v>
      </c>
      <c r="Q42" s="393">
        <f>N42/7/4</f>
        <v>1.375</v>
      </c>
      <c r="R42" s="394"/>
    </row>
    <row r="43" ht="28" customHeight="1" spans="1:18">
      <c r="A43" s="395">
        <v>39</v>
      </c>
      <c r="B43" s="382" t="s">
        <v>140</v>
      </c>
      <c r="C43" s="420" t="s">
        <v>101</v>
      </c>
      <c r="D43" s="395">
        <v>22210906</v>
      </c>
      <c r="E43" s="413" t="s">
        <v>141</v>
      </c>
      <c r="F43" s="420" t="s">
        <v>60</v>
      </c>
      <c r="G43" s="420" t="s">
        <v>23</v>
      </c>
      <c r="H43" s="420" t="s">
        <v>73</v>
      </c>
      <c r="I43" s="420" t="s">
        <v>25</v>
      </c>
      <c r="J43" s="421" t="s">
        <v>23</v>
      </c>
      <c r="K43" s="395"/>
      <c r="L43" s="420"/>
      <c r="M43" s="401">
        <v>39</v>
      </c>
      <c r="N43" s="401">
        <v>31.5</v>
      </c>
      <c r="O43" s="422" t="str">
        <f>N43-M43&amp;"("&amp;ROUND(((N43-M43)/M43*100),0)&amp;"%)"</f>
        <v>-7.5(-19%)</v>
      </c>
      <c r="P43" s="423"/>
      <c r="Q43" s="413"/>
      <c r="R43" s="412"/>
    </row>
    <row r="44" ht="28" customHeight="1" spans="1:18">
      <c r="A44" s="424">
        <v>40</v>
      </c>
      <c r="B44" s="425"/>
      <c r="C44" s="426"/>
      <c r="D44" s="363">
        <v>121018</v>
      </c>
      <c r="E44" s="366" t="s">
        <v>142</v>
      </c>
      <c r="F44" s="367" t="s">
        <v>143</v>
      </c>
      <c r="G44" s="367" t="s">
        <v>144</v>
      </c>
      <c r="H44" s="367" t="s">
        <v>133</v>
      </c>
      <c r="I44" s="367" t="s">
        <v>25</v>
      </c>
      <c r="J44" s="368" t="s">
        <v>26</v>
      </c>
      <c r="K44" s="369"/>
      <c r="L44" s="367"/>
      <c r="M44" s="381">
        <v>23.7</v>
      </c>
      <c r="N44" s="381">
        <v>18.5</v>
      </c>
      <c r="O44" s="427"/>
      <c r="P44" s="428"/>
      <c r="Q44" s="429"/>
      <c r="R44" s="430"/>
    </row>
    <row r="45" ht="40" customHeight="1" spans="1:18">
      <c r="A45" s="386"/>
      <c r="B45" s="387"/>
      <c r="C45" s="388"/>
      <c r="D45" s="388"/>
      <c r="E45" s="388"/>
      <c r="F45" s="388"/>
      <c r="G45" s="388"/>
      <c r="H45" s="389"/>
      <c r="I45" s="389"/>
      <c r="J45" s="390"/>
      <c r="K45" s="390"/>
      <c r="L45" s="389" t="s">
        <v>97</v>
      </c>
      <c r="M45" s="391">
        <f>SUM(M43:M43)</f>
        <v>39</v>
      </c>
      <c r="N45" s="390">
        <f>SUM(N43:N44)</f>
        <v>50</v>
      </c>
      <c r="O45" s="390"/>
      <c r="P45" s="392" t="s">
        <v>98</v>
      </c>
      <c r="Q45" s="393">
        <f>N45/22/4</f>
        <v>0.568181818181818</v>
      </c>
      <c r="R45" s="394"/>
    </row>
    <row r="46" ht="43.2" customHeight="1" spans="1:18">
      <c r="A46" s="431"/>
      <c r="B46" s="432"/>
      <c r="C46" s="432"/>
      <c r="D46" s="431"/>
      <c r="E46" s="433"/>
      <c r="F46" s="432"/>
    </row>
    <row r="47" ht="43.2" customHeight="1" spans="1:18">
      <c r="A47" s="431"/>
      <c r="B47" s="432"/>
      <c r="C47" s="432"/>
      <c r="D47" s="431"/>
      <c r="E47" s="433"/>
      <c r="F47" s="432"/>
    </row>
    <row r="48" ht="15.6" spans="1:18">
      <c r="A48" s="434"/>
      <c r="B48" s="433"/>
      <c r="C48" s="433"/>
      <c r="D48" s="434"/>
      <c r="E48" s="433"/>
      <c r="F48" s="433"/>
    </row>
    <row r="49" ht="15.6" customHeight="1" spans="1:6">
      <c r="A49" s="434"/>
      <c r="B49" s="433"/>
      <c r="C49" s="433"/>
      <c r="D49" s="434"/>
      <c r="E49" s="433"/>
      <c r="F49" s="433"/>
    </row>
    <row r="50" ht="15.6" spans="1:6">
      <c r="A50" s="434"/>
      <c r="B50" s="433"/>
      <c r="C50" s="433"/>
      <c r="D50" s="434"/>
      <c r="E50" s="433"/>
      <c r="F50" s="433"/>
    </row>
    <row r="51" ht="15.6" spans="1:6">
      <c r="A51" s="434"/>
      <c r="B51" s="433"/>
      <c r="C51" s="433"/>
      <c r="D51" s="434"/>
      <c r="E51" s="433"/>
      <c r="F51" s="433"/>
    </row>
    <row r="52" ht="15.6" spans="1:6">
      <c r="A52" s="434"/>
      <c r="B52" s="433"/>
      <c r="C52" s="433"/>
      <c r="D52" s="434"/>
      <c r="E52" s="433"/>
      <c r="F52" s="433"/>
    </row>
    <row r="53" ht="15.6" spans="1:6">
      <c r="A53" s="434"/>
      <c r="B53" s="433"/>
      <c r="C53" s="433"/>
      <c r="D53" s="434"/>
      <c r="E53" s="433"/>
      <c r="F53" s="433"/>
    </row>
    <row r="54" spans="1:6">
      <c r="A54" s="48"/>
      <c r="B54" s="435"/>
      <c r="C54" s="435"/>
      <c r="D54" s="48"/>
      <c r="E54" s="435"/>
      <c r="F54" s="435"/>
    </row>
    <row r="55" spans="1:6">
      <c r="A55" s="48"/>
      <c r="B55" s="435"/>
      <c r="C55" s="435"/>
      <c r="D55" s="48"/>
      <c r="E55" s="435"/>
      <c r="F55" s="435"/>
    </row>
  </sheetData>
  <mergeCells count="27">
    <mergeCell ref="A1:R1"/>
    <mergeCell ref="C24:G24"/>
    <mergeCell ref="H24:I24"/>
    <mergeCell ref="J24:K24"/>
    <mergeCell ref="C31:G31"/>
    <mergeCell ref="H31:I31"/>
    <mergeCell ref="J31:K31"/>
    <mergeCell ref="C41:D41"/>
    <mergeCell ref="C42:G42"/>
    <mergeCell ref="H42:I42"/>
    <mergeCell ref="J42:K42"/>
    <mergeCell ref="C45:G45"/>
    <mergeCell ref="H45:I45"/>
    <mergeCell ref="J45:K45"/>
    <mergeCell ref="B3:B24"/>
    <mergeCell ref="B25:B31"/>
    <mergeCell ref="B32:B42"/>
    <mergeCell ref="B43:B45"/>
    <mergeCell ref="C3:C6"/>
    <mergeCell ref="C7:C10"/>
    <mergeCell ref="C11:C12"/>
    <mergeCell ref="C13:C16"/>
    <mergeCell ref="C17:C18"/>
    <mergeCell ref="C19:C23"/>
    <mergeCell ref="C25:C30"/>
    <mergeCell ref="C32:C40"/>
    <mergeCell ref="D19:D23"/>
  </mergeCells>
  <dataValidations count="7">
    <dataValidation type="list" allowBlank="1" showInputMessage="1" showErrorMessage="1" sqref="H8 H12 H43 H44">
      <formula1>"售前,立项,需求,开发,发布,实施,验收"</formula1>
    </dataValidation>
    <dataValidation type="list" allowBlank="1" showInputMessage="1" showErrorMessage="1" sqref="H9 H11 H23 H32 H18:H20 H21:H22 H34:H35 H38:H39">
      <formula1>"售前,立项,需求,开发,发布,实施,验收,上线运行,维护"</formula1>
    </dataValidation>
    <dataValidation type="list" allowBlank="1" showInputMessage="1" showErrorMessage="1" sqref="H10 H33 H3:H7 H13:H17 H26:H30 H36:H37">
      <formula1>"售前,立项,需求,开发,发布,实施,验收,上线运行"</formula1>
    </dataValidation>
    <dataValidation type="list" allowBlank="1" showInputMessage="1" showErrorMessage="1" sqref="I23 I43 I44 I3:I12 I13:I20 I21:I22 I25:I30 I32:I35 I37:I41">
      <formula1>"长期项目,正常,提前,延迟,严重延迟"</formula1>
    </dataValidation>
    <dataValidation type="list" allowBlank="1" showInputMessage="1" showErrorMessage="1" sqref="H25 H41">
      <formula1>"售前,立项,需求,设计,开发,发布,实施,验收"</formula1>
    </dataValidation>
    <dataValidation type="list" allowBlank="1" showInputMessage="1" showErrorMessage="1" sqref="I36">
      <formula1>"长期项目,正常,提前,延迟,严重延迟,暂停"</formula1>
    </dataValidation>
    <dataValidation type="list" allowBlank="1" showInputMessage="1" showErrorMessage="1" sqref="H40">
      <formula1>"售前,立项,需求,设计,开发,发布,实施,验收,挂起,暂停"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44"/>
  <sheetViews>
    <sheetView workbookViewId="0">
      <pane ySplit="1" topLeftCell="A29" activePane="bottomLeft" state="frozen"/>
      <selection/>
      <selection pane="bottomLeft" activeCell="A37" sqref="A37:L44"/>
    </sheetView>
  </sheetViews>
  <sheetFormatPr defaultColWidth="9.11111111111111" defaultRowHeight="13.2"/>
  <cols>
    <col min="1" max="1" width="22.4444444444444" style="300" customWidth="1"/>
    <col min="2" max="2" width="11.6666666666667" style="300" customWidth="1"/>
    <col min="3" max="5" width="9.11111111111111" style="300"/>
    <col min="6" max="6" width="19.5555555555556" style="300" customWidth="1"/>
    <col min="7" max="7" width="9.11111111111111" style="300"/>
    <col min="8" max="8" width="69.7777777777778" style="300" customWidth="1"/>
    <col min="9" max="11" width="9.11111111111111" style="300"/>
    <col min="12" max="12" width="30.4444444444444" style="301" customWidth="1"/>
    <col min="13" max="16384" width="9.11111111111111" style="300"/>
  </cols>
  <sheetData>
    <row r="1" ht="69.6" spans="1:26">
      <c r="A1" s="302" t="s">
        <v>145</v>
      </c>
      <c r="B1" s="303" t="s">
        <v>6</v>
      </c>
      <c r="C1" s="302" t="s">
        <v>146</v>
      </c>
      <c r="D1" s="302" t="s">
        <v>147</v>
      </c>
      <c r="E1" s="303" t="s">
        <v>148</v>
      </c>
      <c r="F1" s="302" t="s">
        <v>149</v>
      </c>
      <c r="G1" s="302" t="s">
        <v>1</v>
      </c>
      <c r="H1" s="304" t="s">
        <v>150</v>
      </c>
      <c r="I1" s="302" t="s">
        <v>151</v>
      </c>
      <c r="J1" s="305" t="s">
        <v>152</v>
      </c>
      <c r="K1" s="302" t="s">
        <v>153</v>
      </c>
      <c r="L1" s="306" t="s">
        <v>154</v>
      </c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</row>
    <row r="2" ht="15.6" spans="1:26">
      <c r="A2" s="302" t="s">
        <v>155</v>
      </c>
      <c r="B2" s="308" t="s">
        <v>22</v>
      </c>
      <c r="C2" s="436" t="s">
        <v>156</v>
      </c>
      <c r="D2" s="309"/>
      <c r="E2" s="310" t="s">
        <v>157</v>
      </c>
      <c r="F2" s="309" t="s">
        <v>73</v>
      </c>
      <c r="G2" s="309">
        <v>1</v>
      </c>
      <c r="H2" s="311" t="s">
        <v>158</v>
      </c>
      <c r="I2" s="192" t="s">
        <v>22</v>
      </c>
      <c r="J2" s="312">
        <v>1</v>
      </c>
      <c r="K2" s="309"/>
      <c r="L2" s="308">
        <v>0.5</v>
      </c>
    </row>
    <row r="3" ht="15.6" spans="1:26">
      <c r="A3" s="302"/>
      <c r="B3" s="308"/>
      <c r="C3" s="309"/>
      <c r="D3" s="309"/>
      <c r="E3" s="310"/>
      <c r="F3" s="309"/>
      <c r="G3" s="309">
        <v>2</v>
      </c>
      <c r="H3" s="311" t="s">
        <v>159</v>
      </c>
      <c r="I3" s="192" t="s">
        <v>22</v>
      </c>
      <c r="J3" s="312">
        <v>1</v>
      </c>
      <c r="K3" s="309"/>
      <c r="L3" s="308">
        <v>0.5</v>
      </c>
    </row>
    <row r="4" ht="30" spans="1:26">
      <c r="A4" s="302"/>
      <c r="B4" s="308"/>
      <c r="C4" s="309"/>
      <c r="D4" s="309"/>
      <c r="E4" s="310"/>
      <c r="F4" s="309"/>
      <c r="G4" s="309">
        <v>3</v>
      </c>
      <c r="H4" s="311" t="s">
        <v>160</v>
      </c>
      <c r="I4" s="192" t="s">
        <v>22</v>
      </c>
      <c r="J4" s="312">
        <v>1</v>
      </c>
      <c r="K4" s="309"/>
      <c r="L4" s="308">
        <v>0.5</v>
      </c>
    </row>
    <row r="5" ht="15.6" spans="1:26">
      <c r="A5" s="302"/>
      <c r="B5" s="308"/>
      <c r="C5" s="309"/>
      <c r="D5" s="309"/>
      <c r="E5" s="310"/>
      <c r="F5" s="309"/>
      <c r="G5" s="313">
        <v>4</v>
      </c>
      <c r="H5" s="314" t="s">
        <v>161</v>
      </c>
      <c r="I5" s="192" t="s">
        <v>22</v>
      </c>
      <c r="J5" s="312">
        <v>1</v>
      </c>
      <c r="K5" s="309"/>
      <c r="L5" s="308">
        <v>1</v>
      </c>
    </row>
    <row r="6" ht="15.6" spans="1:26">
      <c r="A6" s="302"/>
      <c r="B6" s="308"/>
      <c r="C6" s="309"/>
      <c r="D6" s="309"/>
      <c r="E6" s="310"/>
      <c r="F6" s="309"/>
      <c r="G6" s="315"/>
      <c r="H6" s="316"/>
      <c r="I6" s="192" t="s">
        <v>162</v>
      </c>
      <c r="J6" s="312">
        <v>1</v>
      </c>
      <c r="K6" s="309"/>
      <c r="L6" s="308">
        <v>0.5</v>
      </c>
    </row>
    <row r="7" ht="30" spans="1:26">
      <c r="A7" s="302"/>
      <c r="B7" s="308"/>
      <c r="C7" s="309"/>
      <c r="D7" s="309"/>
      <c r="E7" s="310"/>
      <c r="F7" s="309"/>
      <c r="G7" s="309">
        <v>5</v>
      </c>
      <c r="H7" s="311" t="s">
        <v>163</v>
      </c>
      <c r="I7" s="192" t="s">
        <v>164</v>
      </c>
      <c r="J7" s="312">
        <v>1</v>
      </c>
      <c r="K7" s="309"/>
      <c r="L7" s="308">
        <v>0.5</v>
      </c>
    </row>
    <row r="8" ht="30" spans="1:26">
      <c r="A8" s="302"/>
      <c r="B8" s="308"/>
      <c r="C8" s="309"/>
      <c r="D8" s="309"/>
      <c r="E8" s="310"/>
      <c r="F8" s="309"/>
      <c r="G8" s="309">
        <v>6</v>
      </c>
      <c r="H8" s="311" t="s">
        <v>165</v>
      </c>
      <c r="I8" s="192" t="s">
        <v>164</v>
      </c>
      <c r="J8" s="312">
        <v>1</v>
      </c>
      <c r="K8" s="309"/>
      <c r="L8" s="308">
        <v>2</v>
      </c>
    </row>
    <row r="9" ht="15.6" spans="1:26">
      <c r="A9" s="302"/>
      <c r="B9" s="308"/>
      <c r="C9" s="309"/>
      <c r="D9" s="309"/>
      <c r="E9" s="310"/>
      <c r="F9" s="309"/>
      <c r="G9" s="309">
        <v>7</v>
      </c>
      <c r="H9" s="317" t="s">
        <v>166</v>
      </c>
      <c r="I9" s="309" t="s">
        <v>167</v>
      </c>
      <c r="J9" s="312">
        <v>1</v>
      </c>
      <c r="K9" s="309"/>
      <c r="L9" s="308">
        <v>1</v>
      </c>
    </row>
    <row r="10" ht="15.6" spans="1:26">
      <c r="A10" s="302"/>
      <c r="B10" s="308"/>
      <c r="C10" s="309"/>
      <c r="D10" s="309"/>
      <c r="E10" s="310"/>
      <c r="F10" s="309"/>
      <c r="G10" s="309">
        <v>8</v>
      </c>
      <c r="H10" s="317" t="s">
        <v>168</v>
      </c>
      <c r="I10" s="309" t="s">
        <v>167</v>
      </c>
      <c r="J10" s="312">
        <v>1</v>
      </c>
      <c r="K10" s="309"/>
      <c r="L10" s="308">
        <v>1.5</v>
      </c>
    </row>
    <row r="11" ht="15.6" spans="1:26">
      <c r="A11" s="302"/>
      <c r="B11" s="308"/>
      <c r="C11" s="309"/>
      <c r="D11" s="309"/>
      <c r="E11" s="310"/>
      <c r="F11" s="309"/>
      <c r="G11" s="309">
        <v>9</v>
      </c>
      <c r="H11" s="317" t="s">
        <v>169</v>
      </c>
      <c r="I11" s="309" t="s">
        <v>167</v>
      </c>
      <c r="J11" s="312">
        <v>1</v>
      </c>
      <c r="K11" s="309"/>
      <c r="L11" s="308">
        <v>1</v>
      </c>
    </row>
    <row r="12" ht="15" spans="1:26">
      <c r="A12" s="302"/>
      <c r="B12" s="308"/>
      <c r="C12" s="309"/>
      <c r="D12" s="309"/>
      <c r="E12" s="202" t="s">
        <v>170</v>
      </c>
      <c r="F12" s="202"/>
      <c r="G12" s="202"/>
      <c r="H12" s="202"/>
      <c r="I12" s="202"/>
      <c r="J12" s="203"/>
      <c r="K12" s="204"/>
      <c r="L12" s="205">
        <f>SUM(L2:L11)</f>
        <v>9</v>
      </c>
    </row>
    <row r="13" ht="15.6" spans="1:26">
      <c r="A13" s="302"/>
      <c r="B13" s="308"/>
      <c r="C13" s="309"/>
      <c r="D13" s="309"/>
      <c r="E13" s="310" t="s">
        <v>171</v>
      </c>
      <c r="F13" s="310" t="s">
        <v>73</v>
      </c>
      <c r="G13" s="310">
        <v>1</v>
      </c>
      <c r="H13" s="318"/>
      <c r="I13" s="309"/>
      <c r="J13" s="319"/>
      <c r="K13" s="310"/>
      <c r="L13" s="320"/>
    </row>
    <row r="14" ht="15.6" spans="1:26">
      <c r="A14" s="302"/>
      <c r="B14" s="308"/>
      <c r="C14" s="309"/>
      <c r="D14" s="309"/>
      <c r="E14" s="310"/>
      <c r="F14" s="310"/>
      <c r="G14" s="310">
        <v>2</v>
      </c>
      <c r="H14" s="318"/>
      <c r="I14" s="310"/>
      <c r="J14" s="319"/>
      <c r="K14" s="310"/>
      <c r="L14" s="320"/>
    </row>
    <row r="15" ht="15.6" spans="1:26">
      <c r="A15" s="302" t="s">
        <v>172</v>
      </c>
      <c r="B15" s="308" t="s">
        <v>22</v>
      </c>
      <c r="C15" s="312">
        <v>0.93</v>
      </c>
      <c r="D15" s="309"/>
      <c r="E15" s="310" t="s">
        <v>157</v>
      </c>
      <c r="F15" s="313" t="s">
        <v>173</v>
      </c>
      <c r="G15" s="309">
        <v>1</v>
      </c>
      <c r="H15" s="321" t="s">
        <v>174</v>
      </c>
      <c r="I15" s="192" t="s">
        <v>22</v>
      </c>
      <c r="J15" s="312">
        <v>0.8</v>
      </c>
      <c r="K15" s="310"/>
      <c r="L15" s="308">
        <v>1</v>
      </c>
    </row>
    <row r="16" ht="15.6" spans="1:26">
      <c r="A16" s="302"/>
      <c r="B16" s="308"/>
      <c r="C16" s="312"/>
      <c r="D16" s="309"/>
      <c r="E16" s="310"/>
      <c r="F16" s="322"/>
      <c r="G16" s="309">
        <v>2</v>
      </c>
      <c r="H16" s="321" t="s">
        <v>175</v>
      </c>
      <c r="I16" s="192" t="s">
        <v>22</v>
      </c>
      <c r="J16" s="312">
        <v>1</v>
      </c>
      <c r="K16" s="310"/>
      <c r="L16" s="308">
        <v>0.5</v>
      </c>
    </row>
    <row r="17" ht="75" spans="1:12">
      <c r="A17" s="302"/>
      <c r="B17" s="308"/>
      <c r="C17" s="312"/>
      <c r="D17" s="309"/>
      <c r="E17" s="310"/>
      <c r="F17" s="315"/>
      <c r="G17" s="309">
        <v>3</v>
      </c>
      <c r="H17" s="321" t="s">
        <v>176</v>
      </c>
      <c r="I17" s="192" t="s">
        <v>162</v>
      </c>
      <c r="J17" s="312">
        <v>1</v>
      </c>
      <c r="K17" s="310"/>
      <c r="L17" s="308">
        <v>3.5</v>
      </c>
    </row>
    <row r="18" ht="60" spans="1:12">
      <c r="A18" s="302"/>
      <c r="B18" s="308"/>
      <c r="C18" s="312"/>
      <c r="D18" s="309"/>
      <c r="E18" s="310"/>
      <c r="F18" s="313" t="s">
        <v>177</v>
      </c>
      <c r="G18" s="309">
        <v>1</v>
      </c>
      <c r="H18" s="321" t="s">
        <v>178</v>
      </c>
      <c r="I18" s="192" t="s">
        <v>34</v>
      </c>
      <c r="J18" s="312">
        <v>1</v>
      </c>
      <c r="K18" s="310"/>
      <c r="L18" s="308">
        <v>0.75</v>
      </c>
    </row>
    <row r="19" ht="25.8" customHeight="1" spans="1:12">
      <c r="A19" s="302"/>
      <c r="B19" s="308"/>
      <c r="C19" s="309"/>
      <c r="D19" s="309"/>
      <c r="E19" s="310"/>
      <c r="F19" s="313" t="s">
        <v>179</v>
      </c>
      <c r="G19" s="323">
        <v>1</v>
      </c>
      <c r="H19" s="321" t="s">
        <v>180</v>
      </c>
      <c r="I19" s="323" t="s">
        <v>79</v>
      </c>
      <c r="J19" s="324">
        <v>1</v>
      </c>
      <c r="K19" s="325"/>
      <c r="L19" s="326">
        <v>0.5</v>
      </c>
    </row>
    <row r="20" ht="15" spans="1:12">
      <c r="A20" s="302"/>
      <c r="B20" s="308"/>
      <c r="C20" s="309"/>
      <c r="D20" s="309"/>
      <c r="E20" s="310"/>
      <c r="F20" s="192" t="s">
        <v>181</v>
      </c>
      <c r="G20" s="323">
        <v>1</v>
      </c>
      <c r="H20" s="311" t="s">
        <v>182</v>
      </c>
      <c r="I20" s="192" t="s">
        <v>183</v>
      </c>
      <c r="J20" s="324">
        <v>1</v>
      </c>
      <c r="K20" s="325"/>
      <c r="L20" s="326">
        <v>1</v>
      </c>
    </row>
    <row r="21" ht="30" spans="1:12">
      <c r="A21" s="302"/>
      <c r="B21" s="308"/>
      <c r="C21" s="309"/>
      <c r="D21" s="309"/>
      <c r="E21" s="310"/>
      <c r="F21" s="192"/>
      <c r="G21" s="323">
        <v>2</v>
      </c>
      <c r="H21" s="311" t="s">
        <v>184</v>
      </c>
      <c r="I21" s="192" t="s">
        <v>164</v>
      </c>
      <c r="J21" s="324">
        <v>1</v>
      </c>
      <c r="K21" s="325"/>
      <c r="L21" s="326">
        <v>1.5</v>
      </c>
    </row>
    <row r="22" ht="15" spans="1:12">
      <c r="A22" s="302"/>
      <c r="B22" s="308"/>
      <c r="C22" s="309"/>
      <c r="D22" s="309"/>
      <c r="E22" s="310"/>
      <c r="F22" s="192"/>
      <c r="G22" s="323">
        <v>3</v>
      </c>
      <c r="H22" s="311" t="s">
        <v>185</v>
      </c>
      <c r="I22" s="192" t="s">
        <v>167</v>
      </c>
      <c r="J22" s="324">
        <v>1</v>
      </c>
      <c r="K22" s="325"/>
      <c r="L22" s="326">
        <v>0.5</v>
      </c>
    </row>
    <row r="23" ht="15" spans="1:12">
      <c r="A23" s="302"/>
      <c r="B23" s="308"/>
      <c r="C23" s="309"/>
      <c r="D23" s="309"/>
      <c r="E23" s="202" t="s">
        <v>170</v>
      </c>
      <c r="F23" s="202"/>
      <c r="G23" s="202"/>
      <c r="H23" s="202"/>
      <c r="I23" s="202"/>
      <c r="J23" s="203"/>
      <c r="K23" s="204"/>
      <c r="L23" s="205">
        <f>SUM(L15:L22)</f>
        <v>9.25</v>
      </c>
    </row>
    <row r="24" ht="15.6" spans="1:12">
      <c r="A24" s="302"/>
      <c r="B24" s="308"/>
      <c r="C24" s="309"/>
      <c r="D24" s="309"/>
      <c r="E24" s="310" t="s">
        <v>171</v>
      </c>
      <c r="F24" s="310" t="s">
        <v>73</v>
      </c>
      <c r="G24" s="310">
        <v>1</v>
      </c>
      <c r="H24" s="318"/>
      <c r="I24" s="309"/>
      <c r="J24" s="319"/>
      <c r="K24" s="310"/>
      <c r="L24" s="320"/>
    </row>
    <row r="25" ht="15" spans="1:12">
      <c r="A25" s="302"/>
      <c r="B25" s="308"/>
      <c r="C25" s="309"/>
      <c r="D25" s="309"/>
      <c r="E25" s="310"/>
      <c r="F25" s="310"/>
      <c r="G25" s="310">
        <v>2</v>
      </c>
      <c r="H25" s="317"/>
      <c r="I25" s="310"/>
      <c r="J25" s="319"/>
      <c r="K25" s="310"/>
      <c r="L25" s="320"/>
    </row>
    <row r="26" ht="15" spans="1:12">
      <c r="A26" s="302" t="s">
        <v>186</v>
      </c>
      <c r="B26" s="308" t="s">
        <v>34</v>
      </c>
      <c r="C26" s="309"/>
      <c r="D26" s="309"/>
      <c r="E26" s="310" t="s">
        <v>157</v>
      </c>
      <c r="F26" s="309" t="s">
        <v>187</v>
      </c>
      <c r="G26" s="309">
        <v>1</v>
      </c>
      <c r="H26" s="327"/>
      <c r="I26" s="192"/>
      <c r="J26" s="312"/>
      <c r="K26" s="310"/>
      <c r="L26" s="320"/>
    </row>
    <row r="27" ht="15" spans="1:12">
      <c r="A27" s="302"/>
      <c r="B27" s="308"/>
      <c r="C27" s="309"/>
      <c r="D27" s="309"/>
      <c r="E27" s="310"/>
      <c r="F27" s="309"/>
      <c r="G27" s="309">
        <v>2</v>
      </c>
      <c r="H27" s="317"/>
      <c r="I27" s="192"/>
      <c r="J27" s="312"/>
      <c r="K27" s="310"/>
      <c r="L27" s="320"/>
    </row>
    <row r="28" ht="15" spans="1:12">
      <c r="A28" s="302"/>
      <c r="B28" s="308"/>
      <c r="C28" s="309"/>
      <c r="D28" s="309"/>
      <c r="E28" s="202" t="s">
        <v>170</v>
      </c>
      <c r="F28" s="202"/>
      <c r="G28" s="202"/>
      <c r="H28" s="202"/>
      <c r="I28" s="202"/>
      <c r="J28" s="203"/>
      <c r="K28" s="204"/>
      <c r="L28" s="205">
        <f>SUM(L26:L27)</f>
        <v>0</v>
      </c>
    </row>
    <row r="29" ht="15.6" spans="1:12">
      <c r="A29" s="302"/>
      <c r="B29" s="308"/>
      <c r="C29" s="309"/>
      <c r="D29" s="309"/>
      <c r="E29" s="310" t="s">
        <v>171</v>
      </c>
      <c r="F29" s="310"/>
      <c r="G29" s="310"/>
      <c r="H29" s="318"/>
      <c r="I29" s="309"/>
      <c r="J29" s="319"/>
      <c r="K29" s="310"/>
      <c r="L29" s="320"/>
    </row>
    <row r="30" ht="15" spans="1:12">
      <c r="A30" s="302"/>
      <c r="B30" s="308"/>
      <c r="C30" s="309"/>
      <c r="D30" s="309"/>
      <c r="E30" s="310"/>
      <c r="F30" s="310"/>
      <c r="G30" s="310"/>
      <c r="H30" s="317"/>
      <c r="I30" s="310"/>
      <c r="J30" s="319"/>
      <c r="K30" s="310"/>
      <c r="L30" s="320"/>
    </row>
    <row r="31" ht="34.8" customHeight="1" spans="1:12">
      <c r="A31" s="302" t="s">
        <v>188</v>
      </c>
      <c r="B31" s="308" t="s">
        <v>34</v>
      </c>
      <c r="C31" s="309"/>
      <c r="D31" s="309"/>
      <c r="E31" s="310" t="s">
        <v>157</v>
      </c>
      <c r="F31" s="309" t="s">
        <v>187</v>
      </c>
      <c r="G31" s="309">
        <v>1</v>
      </c>
      <c r="H31" s="327"/>
      <c r="I31" s="192"/>
      <c r="J31" s="312"/>
      <c r="K31" s="310"/>
      <c r="L31" s="320"/>
    </row>
    <row r="32" ht="15" spans="1:12">
      <c r="A32" s="302"/>
      <c r="B32" s="308"/>
      <c r="C32" s="309"/>
      <c r="D32" s="309"/>
      <c r="E32" s="310"/>
      <c r="F32" s="309"/>
      <c r="G32" s="309">
        <v>2</v>
      </c>
      <c r="H32" s="317"/>
      <c r="I32" s="192"/>
      <c r="J32" s="312"/>
      <c r="K32" s="310"/>
      <c r="L32" s="320"/>
    </row>
    <row r="33" ht="15" spans="1:12">
      <c r="A33" s="302"/>
      <c r="B33" s="308"/>
      <c r="C33" s="309"/>
      <c r="D33" s="309"/>
      <c r="E33" s="310"/>
      <c r="F33" s="309"/>
      <c r="G33" s="309">
        <v>3</v>
      </c>
      <c r="H33" s="317"/>
      <c r="I33" s="192"/>
      <c r="J33" s="312"/>
      <c r="K33" s="310"/>
      <c r="L33" s="320"/>
    </row>
    <row r="34" ht="15" spans="1:12">
      <c r="A34" s="302"/>
      <c r="B34" s="308"/>
      <c r="C34" s="309"/>
      <c r="D34" s="309"/>
      <c r="E34" s="202" t="s">
        <v>170</v>
      </c>
      <c r="F34" s="202"/>
      <c r="G34" s="202"/>
      <c r="H34" s="202"/>
      <c r="I34" s="202"/>
      <c r="J34" s="203"/>
      <c r="K34" s="204"/>
      <c r="L34" s="205">
        <v>0</v>
      </c>
    </row>
    <row r="35" ht="15.6" spans="1:12">
      <c r="A35" s="302"/>
      <c r="B35" s="308"/>
      <c r="C35" s="309"/>
      <c r="D35" s="309"/>
      <c r="E35" s="310" t="s">
        <v>171</v>
      </c>
      <c r="F35" s="310"/>
      <c r="G35" s="310"/>
      <c r="H35" s="318"/>
      <c r="I35" s="309"/>
      <c r="J35" s="319"/>
      <c r="K35" s="310"/>
      <c r="L35" s="320"/>
    </row>
    <row r="36" ht="15" spans="1:12">
      <c r="A36" s="302"/>
      <c r="B36" s="308"/>
      <c r="C36" s="309"/>
      <c r="D36" s="309"/>
      <c r="E36" s="310"/>
      <c r="F36" s="310"/>
      <c r="G36" s="310"/>
      <c r="H36" s="317"/>
      <c r="I36" s="310"/>
      <c r="J36" s="319"/>
      <c r="K36" s="310"/>
      <c r="L36" s="320"/>
    </row>
    <row r="37" spans="1:12">
      <c r="A37" s="328" t="s">
        <v>189</v>
      </c>
      <c r="B37" s="329" t="s">
        <v>91</v>
      </c>
      <c r="C37" s="330"/>
      <c r="D37" s="331"/>
      <c r="E37" s="332" t="s">
        <v>157</v>
      </c>
      <c r="F37" s="333" t="s">
        <v>190</v>
      </c>
      <c r="G37" s="333">
        <v>1</v>
      </c>
      <c r="H37" s="292" t="s">
        <v>191</v>
      </c>
      <c r="I37" s="293" t="s">
        <v>91</v>
      </c>
      <c r="J37" s="294">
        <v>1</v>
      </c>
      <c r="K37" s="295"/>
      <c r="L37" s="296">
        <v>3</v>
      </c>
    </row>
    <row r="38" spans="1:12">
      <c r="A38" s="334"/>
      <c r="B38" s="335"/>
      <c r="C38" s="336"/>
      <c r="D38" s="337"/>
      <c r="E38" s="338"/>
      <c r="F38" s="333"/>
      <c r="G38" s="333"/>
      <c r="H38" s="292"/>
      <c r="I38" s="293" t="s">
        <v>192</v>
      </c>
      <c r="J38" s="294">
        <v>1</v>
      </c>
      <c r="K38" s="295"/>
      <c r="L38" s="296">
        <v>4</v>
      </c>
    </row>
    <row r="39" spans="1:12">
      <c r="A39" s="334"/>
      <c r="B39" s="335"/>
      <c r="C39" s="336"/>
      <c r="D39" s="337"/>
      <c r="E39" s="338"/>
      <c r="F39" s="333"/>
      <c r="G39" s="333"/>
      <c r="H39" s="292"/>
      <c r="I39" s="293" t="s">
        <v>193</v>
      </c>
      <c r="J39" s="294">
        <v>1</v>
      </c>
      <c r="K39" s="295"/>
      <c r="L39" s="296">
        <v>6</v>
      </c>
    </row>
    <row r="40" spans="1:12">
      <c r="A40" s="334"/>
      <c r="B40" s="335"/>
      <c r="C40" s="336"/>
      <c r="D40" s="337"/>
      <c r="E40" s="338"/>
      <c r="F40" s="295" t="s">
        <v>194</v>
      </c>
      <c r="G40" s="333">
        <v>1</v>
      </c>
      <c r="H40" s="292" t="s">
        <v>195</v>
      </c>
      <c r="I40" s="293" t="s">
        <v>196</v>
      </c>
      <c r="J40" s="294">
        <v>1</v>
      </c>
      <c r="K40" s="295"/>
      <c r="L40" s="162">
        <v>3</v>
      </c>
    </row>
    <row r="41" spans="1:12">
      <c r="A41" s="334"/>
      <c r="B41" s="335"/>
      <c r="C41" s="336"/>
      <c r="D41" s="337"/>
      <c r="E41" s="339"/>
      <c r="F41" s="295"/>
      <c r="G41" s="333"/>
      <c r="H41" s="292"/>
      <c r="I41" s="293" t="s">
        <v>197</v>
      </c>
      <c r="J41" s="294">
        <v>1</v>
      </c>
      <c r="K41" s="295"/>
      <c r="L41" s="162">
        <v>3</v>
      </c>
    </row>
    <row r="42" spans="1:12">
      <c r="A42" s="340"/>
      <c r="B42" s="341"/>
      <c r="C42" s="342"/>
      <c r="D42" s="343"/>
      <c r="E42" s="344" t="s">
        <v>170</v>
      </c>
      <c r="F42" s="344"/>
      <c r="G42" s="344"/>
      <c r="H42" s="344"/>
      <c r="I42" s="344"/>
      <c r="J42" s="345"/>
      <c r="K42" s="346"/>
      <c r="L42" s="347">
        <f>SUM(L37:L41)</f>
        <v>19</v>
      </c>
    </row>
    <row r="43" ht="15.6" spans="1:12">
      <c r="A43" s="348"/>
      <c r="B43" s="349"/>
      <c r="C43" s="350"/>
      <c r="D43" s="350"/>
      <c r="E43" s="295" t="s">
        <v>171</v>
      </c>
      <c r="F43" s="295"/>
      <c r="G43" s="295"/>
      <c r="H43" s="351"/>
      <c r="I43" s="333"/>
      <c r="J43" s="352"/>
      <c r="K43" s="295"/>
      <c r="L43" s="162"/>
    </row>
    <row r="44" ht="15.6" spans="1:12">
      <c r="A44" s="348"/>
      <c r="B44" s="349"/>
      <c r="C44" s="350"/>
      <c r="D44" s="350"/>
      <c r="E44" s="295"/>
      <c r="F44" s="295"/>
      <c r="G44" s="295"/>
      <c r="H44" s="292"/>
      <c r="I44" s="295"/>
      <c r="J44" s="352"/>
      <c r="K44" s="295"/>
      <c r="L44" s="162"/>
    </row>
  </sheetData>
  <autoFilter xmlns:etc="http://www.wps.cn/officeDocument/2017/etCustomData" ref="A1:L36" etc:filterBottomFollowUsedRange="0">
    <extLst/>
  </autoFilter>
  <mergeCells count="53">
    <mergeCell ref="E12:H12"/>
    <mergeCell ref="E23:H23"/>
    <mergeCell ref="E28:H28"/>
    <mergeCell ref="E34:H34"/>
    <mergeCell ref="E42:H42"/>
    <mergeCell ref="A2:A14"/>
    <mergeCell ref="A15:A25"/>
    <mergeCell ref="A26:A30"/>
    <mergeCell ref="A31:A36"/>
    <mergeCell ref="A37:A42"/>
    <mergeCell ref="B2:B14"/>
    <mergeCell ref="B15:B25"/>
    <mergeCell ref="B26:B30"/>
    <mergeCell ref="B31:B36"/>
    <mergeCell ref="B37:B42"/>
    <mergeCell ref="C2:C14"/>
    <mergeCell ref="C15:C25"/>
    <mergeCell ref="C26:C30"/>
    <mergeCell ref="C31:C36"/>
    <mergeCell ref="C37:C42"/>
    <mergeCell ref="D2:D14"/>
    <mergeCell ref="D15:D25"/>
    <mergeCell ref="D26:D30"/>
    <mergeCell ref="D31:D36"/>
    <mergeCell ref="D37:D42"/>
    <mergeCell ref="E2:E11"/>
    <mergeCell ref="E13:E14"/>
    <mergeCell ref="E15:E22"/>
    <mergeCell ref="E24:E25"/>
    <mergeCell ref="E26:E27"/>
    <mergeCell ref="E29:E30"/>
    <mergeCell ref="E31:E33"/>
    <mergeCell ref="E35:E36"/>
    <mergeCell ref="E37:E41"/>
    <mergeCell ref="E43:E44"/>
    <mergeCell ref="F2:F11"/>
    <mergeCell ref="F13:F14"/>
    <mergeCell ref="F15:F17"/>
    <mergeCell ref="F20:F22"/>
    <mergeCell ref="F24:F25"/>
    <mergeCell ref="F26:F27"/>
    <mergeCell ref="F29:F30"/>
    <mergeCell ref="F31:F33"/>
    <mergeCell ref="F35:F36"/>
    <mergeCell ref="F37:F39"/>
    <mergeCell ref="F40:F41"/>
    <mergeCell ref="F43:F44"/>
    <mergeCell ref="G5:G6"/>
    <mergeCell ref="G37:G39"/>
    <mergeCell ref="G40:G41"/>
    <mergeCell ref="H5:H6"/>
    <mergeCell ref="H37:H39"/>
    <mergeCell ref="H40:H4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62"/>
  <sheetViews>
    <sheetView workbookViewId="0">
      <pane ySplit="1" topLeftCell="A7" activePane="bottomLeft" state="frozen"/>
      <selection/>
      <selection pane="bottomLeft" activeCell="L23" sqref="L23"/>
    </sheetView>
  </sheetViews>
  <sheetFormatPr defaultColWidth="9.11111111111111" defaultRowHeight="13.2"/>
  <cols>
    <col min="1" max="1" width="22.4444444444444" style="1" customWidth="1"/>
    <col min="2" max="2" width="11.6666666666667" style="1" customWidth="1"/>
    <col min="3" max="7" width="9.11111111111111" style="1"/>
    <col min="8" max="8" width="59.6666666666667" style="1" customWidth="1"/>
    <col min="9" max="11" width="9.11111111111111" style="1"/>
    <col min="12" max="12" width="19.5555555555556" style="2" customWidth="1"/>
    <col min="13" max="16384" width="9.11111111111111" style="1"/>
  </cols>
  <sheetData>
    <row r="1" ht="69.6" spans="1:26">
      <c r="A1" s="3" t="s">
        <v>145</v>
      </c>
      <c r="B1" s="4" t="s">
        <v>6</v>
      </c>
      <c r="C1" s="3" t="s">
        <v>146</v>
      </c>
      <c r="D1" s="3" t="s">
        <v>147</v>
      </c>
      <c r="E1" s="4" t="s">
        <v>148</v>
      </c>
      <c r="F1" s="3" t="s">
        <v>149</v>
      </c>
      <c r="G1" s="3" t="s">
        <v>1</v>
      </c>
      <c r="H1" s="5" t="s">
        <v>150</v>
      </c>
      <c r="I1" s="3" t="s">
        <v>151</v>
      </c>
      <c r="J1" s="6" t="s">
        <v>152</v>
      </c>
      <c r="K1" s="3" t="s">
        <v>153</v>
      </c>
      <c r="L1" s="7" t="s">
        <v>154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7.4" spans="1:26">
      <c r="A2" s="3"/>
      <c r="B2" s="4"/>
      <c r="C2" s="3"/>
      <c r="D2" s="3"/>
      <c r="E2" s="288"/>
      <c r="F2" s="18"/>
      <c r="G2" s="9"/>
      <c r="H2" s="5"/>
      <c r="I2" s="9"/>
      <c r="J2" s="6"/>
      <c r="K2" s="3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="1" customFormat="1" ht="15.6" spans="1:26">
      <c r="A3" s="3" t="s">
        <v>198</v>
      </c>
      <c r="B3" s="17" t="s">
        <v>41</v>
      </c>
      <c r="C3" s="13">
        <v>99</v>
      </c>
      <c r="D3" s="13"/>
      <c r="E3" s="30" t="s">
        <v>157</v>
      </c>
      <c r="F3" s="13" t="s">
        <v>73</v>
      </c>
      <c r="G3" s="13">
        <v>1</v>
      </c>
      <c r="H3" s="14" t="s">
        <v>199</v>
      </c>
      <c r="I3" s="15" t="s">
        <v>41</v>
      </c>
      <c r="J3" s="16">
        <v>1</v>
      </c>
      <c r="K3" s="13"/>
      <c r="L3" s="17">
        <v>1</v>
      </c>
    </row>
    <row r="4" s="1" customFormat="1" ht="15.6" spans="1:26">
      <c r="A4" s="3"/>
      <c r="B4" s="17"/>
      <c r="C4" s="13"/>
      <c r="D4" s="13"/>
      <c r="E4" s="30"/>
      <c r="F4" s="13"/>
      <c r="G4" s="13">
        <v>2</v>
      </c>
      <c r="H4" s="22" t="s">
        <v>200</v>
      </c>
      <c r="I4" s="15" t="s">
        <v>41</v>
      </c>
      <c r="J4" s="16">
        <v>1</v>
      </c>
      <c r="K4" s="13"/>
      <c r="L4" s="17">
        <v>0.5</v>
      </c>
    </row>
    <row r="5" s="1" customFormat="1" ht="15.6" spans="1:26">
      <c r="A5" s="3"/>
      <c r="B5" s="17"/>
      <c r="C5" s="13"/>
      <c r="D5" s="13"/>
      <c r="E5" s="30"/>
      <c r="F5" s="13"/>
      <c r="G5" s="13">
        <v>3</v>
      </c>
      <c r="H5" s="14" t="s">
        <v>201</v>
      </c>
      <c r="I5" s="15" t="s">
        <v>41</v>
      </c>
      <c r="J5" s="16">
        <v>1</v>
      </c>
      <c r="K5" s="13"/>
      <c r="L5" s="17">
        <v>2.5</v>
      </c>
    </row>
    <row r="6" s="1" customFormat="1" ht="15" spans="1:26">
      <c r="A6" s="3"/>
      <c r="B6" s="17"/>
      <c r="C6" s="13"/>
      <c r="D6" s="13"/>
      <c r="E6" s="38" t="s">
        <v>170</v>
      </c>
      <c r="F6" s="38"/>
      <c r="G6" s="38"/>
      <c r="H6" s="38"/>
      <c r="I6" s="38"/>
      <c r="J6" s="39"/>
      <c r="K6" s="40"/>
      <c r="L6" s="41">
        <f>SUM(L3:L5)</f>
        <v>4</v>
      </c>
    </row>
    <row r="7" s="1" customFormat="1" ht="15" spans="1:26">
      <c r="A7" s="3"/>
      <c r="B7" s="17"/>
      <c r="C7" s="13"/>
      <c r="D7" s="13"/>
      <c r="E7" s="30" t="s">
        <v>171</v>
      </c>
      <c r="F7" s="30" t="s">
        <v>73</v>
      </c>
      <c r="G7" s="30">
        <v>1</v>
      </c>
      <c r="H7" s="14"/>
      <c r="I7" s="13"/>
      <c r="J7" s="43"/>
      <c r="K7" s="30"/>
      <c r="L7" s="44"/>
    </row>
    <row r="8" s="1" customFormat="1" ht="15" spans="1:26">
      <c r="A8" s="3"/>
      <c r="B8" s="17"/>
      <c r="C8" s="13"/>
      <c r="D8" s="13"/>
      <c r="E8" s="30"/>
      <c r="F8" s="30"/>
      <c r="G8" s="30">
        <v>2</v>
      </c>
      <c r="H8" s="14"/>
      <c r="I8" s="30"/>
      <c r="J8" s="43"/>
      <c r="K8" s="30"/>
      <c r="L8" s="44"/>
    </row>
    <row r="9" ht="15.6" spans="1:26">
      <c r="A9" s="3" t="s">
        <v>202</v>
      </c>
      <c r="B9" s="17" t="s">
        <v>51</v>
      </c>
      <c r="C9" s="13"/>
      <c r="D9" s="13"/>
      <c r="E9" s="12" t="s">
        <v>157</v>
      </c>
      <c r="F9" s="11" t="s">
        <v>187</v>
      </c>
      <c r="G9" s="13">
        <v>1</v>
      </c>
      <c r="H9" s="289" t="s">
        <v>203</v>
      </c>
      <c r="I9" s="15" t="s">
        <v>51</v>
      </c>
      <c r="J9" s="16">
        <v>1</v>
      </c>
      <c r="K9" s="30"/>
      <c r="L9" s="17">
        <v>1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45" spans="1:26">
      <c r="A10" s="3"/>
      <c r="B10" s="17"/>
      <c r="C10" s="13"/>
      <c r="D10" s="13"/>
      <c r="E10" s="21"/>
      <c r="F10" s="27"/>
      <c r="G10" s="13">
        <v>2</v>
      </c>
      <c r="H10" s="289" t="s">
        <v>204</v>
      </c>
      <c r="I10" s="15" t="s">
        <v>205</v>
      </c>
      <c r="J10" s="16">
        <v>1</v>
      </c>
      <c r="K10" s="13"/>
      <c r="L10" s="17">
        <v>4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" spans="1:26">
      <c r="A11" s="3"/>
      <c r="B11" s="17"/>
      <c r="C11" s="13"/>
      <c r="D11" s="13"/>
      <c r="E11" s="21"/>
      <c r="F11" s="11" t="s">
        <v>73</v>
      </c>
      <c r="G11" s="13">
        <v>3</v>
      </c>
      <c r="H11" s="14" t="s">
        <v>206</v>
      </c>
      <c r="I11" s="15" t="s">
        <v>51</v>
      </c>
      <c r="J11" s="16">
        <v>1</v>
      </c>
      <c r="K11" s="30"/>
      <c r="L11" s="17">
        <v>2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6" spans="1:26">
      <c r="A12" s="3"/>
      <c r="B12" s="17"/>
      <c r="C12" s="13"/>
      <c r="D12" s="13"/>
      <c r="E12" s="38" t="s">
        <v>170</v>
      </c>
      <c r="F12" s="38"/>
      <c r="G12" s="38"/>
      <c r="H12" s="38"/>
      <c r="I12" s="38"/>
      <c r="J12" s="39"/>
      <c r="K12" s="40"/>
      <c r="L12" s="290">
        <f>SUM(L9:L11)</f>
        <v>7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6" spans="1:26">
      <c r="A13" s="3"/>
      <c r="B13" s="17"/>
      <c r="C13" s="13"/>
      <c r="D13" s="13"/>
      <c r="E13" s="30" t="s">
        <v>171</v>
      </c>
      <c r="F13" s="30"/>
      <c r="G13" s="30"/>
      <c r="H13" s="42"/>
      <c r="I13" s="13"/>
      <c r="J13" s="43"/>
      <c r="K13" s="30"/>
      <c r="L13" s="44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" spans="1:26">
      <c r="A14" s="3"/>
      <c r="B14" s="17"/>
      <c r="C14" s="13"/>
      <c r="D14" s="13"/>
      <c r="E14" s="30"/>
      <c r="F14" s="30"/>
      <c r="G14" s="30"/>
      <c r="H14" s="14"/>
      <c r="I14" s="30"/>
      <c r="J14" s="43"/>
      <c r="K14" s="30"/>
      <c r="L14" s="44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="1" customFormat="1" ht="15" spans="1:26">
      <c r="A15" s="3" t="s">
        <v>207</v>
      </c>
      <c r="B15" s="17" t="s">
        <v>44</v>
      </c>
      <c r="C15" s="13"/>
      <c r="D15" s="13"/>
      <c r="E15" s="30"/>
      <c r="F15" s="13"/>
      <c r="G15" s="13">
        <v>1</v>
      </c>
      <c r="H15" s="14"/>
      <c r="I15" s="15" t="s">
        <v>79</v>
      </c>
      <c r="J15" s="16">
        <v>1</v>
      </c>
      <c r="K15" s="30"/>
      <c r="L15" s="44">
        <v>0</v>
      </c>
    </row>
    <row r="16" s="1" customFormat="1" ht="69" customHeight="1" spans="1:26">
      <c r="A16" s="3"/>
      <c r="B16" s="17"/>
      <c r="C16" s="13"/>
      <c r="D16" s="13"/>
      <c r="E16" s="30"/>
      <c r="F16" s="13"/>
      <c r="G16" s="13">
        <v>2</v>
      </c>
      <c r="H16" s="291" t="s">
        <v>208</v>
      </c>
      <c r="I16" s="15" t="s">
        <v>44</v>
      </c>
      <c r="J16" s="16">
        <v>1</v>
      </c>
      <c r="K16" s="30"/>
      <c r="L16" s="44">
        <v>3</v>
      </c>
    </row>
    <row r="17" s="1" customFormat="1" ht="45" spans="1:12">
      <c r="A17" s="3"/>
      <c r="B17" s="17"/>
      <c r="C17" s="13"/>
      <c r="D17" s="13"/>
      <c r="E17" s="30"/>
      <c r="F17" s="13"/>
      <c r="G17" s="13">
        <v>3</v>
      </c>
      <c r="H17" s="291" t="s">
        <v>209</v>
      </c>
      <c r="I17" s="15" t="s">
        <v>210</v>
      </c>
      <c r="J17" s="16">
        <v>1</v>
      </c>
      <c r="K17" s="30"/>
      <c r="L17" s="44">
        <v>1.5</v>
      </c>
    </row>
    <row r="18" s="1" customFormat="1" ht="15" spans="1:12">
      <c r="A18" s="3"/>
      <c r="B18" s="17"/>
      <c r="C18" s="13"/>
      <c r="D18" s="13"/>
      <c r="E18" s="30"/>
      <c r="F18" s="13"/>
      <c r="G18" s="13">
        <v>4</v>
      </c>
      <c r="H18" s="292" t="s">
        <v>211</v>
      </c>
      <c r="I18" s="293" t="s">
        <v>91</v>
      </c>
      <c r="J18" s="294">
        <v>1</v>
      </c>
      <c r="K18" s="295"/>
      <c r="L18" s="296">
        <v>1</v>
      </c>
    </row>
    <row r="19" s="1" customFormat="1" ht="15" spans="1:12">
      <c r="A19" s="3"/>
      <c r="B19" s="17"/>
      <c r="C19" s="13"/>
      <c r="D19" s="13"/>
      <c r="E19" s="30"/>
      <c r="F19" s="13"/>
      <c r="G19" s="13">
        <v>5</v>
      </c>
      <c r="H19" s="292"/>
      <c r="I19" s="293" t="s">
        <v>192</v>
      </c>
      <c r="J19" s="294">
        <v>1</v>
      </c>
      <c r="K19" s="295"/>
      <c r="L19" s="296">
        <v>0</v>
      </c>
    </row>
    <row r="20" s="1" customFormat="1" ht="15" spans="1:12">
      <c r="A20" s="3"/>
      <c r="B20" s="17"/>
      <c r="C20" s="13"/>
      <c r="D20" s="13"/>
      <c r="E20" s="30"/>
      <c r="F20" s="13"/>
      <c r="G20" s="13">
        <v>6</v>
      </c>
      <c r="H20" s="292"/>
      <c r="I20" s="293" t="s">
        <v>193</v>
      </c>
      <c r="J20" s="294">
        <v>1</v>
      </c>
      <c r="K20" s="295"/>
      <c r="L20" s="296">
        <v>0</v>
      </c>
    </row>
    <row r="21" s="1" customFormat="1" ht="15" spans="1:12">
      <c r="A21" s="3"/>
      <c r="B21" s="17"/>
      <c r="C21" s="13"/>
      <c r="D21" s="13"/>
      <c r="E21" s="30"/>
      <c r="F21" s="13"/>
      <c r="G21" s="13">
        <v>7</v>
      </c>
      <c r="H21" s="292" t="s">
        <v>212</v>
      </c>
      <c r="I21" s="293" t="s">
        <v>196</v>
      </c>
      <c r="J21" s="294">
        <v>1</v>
      </c>
      <c r="K21" s="295"/>
      <c r="L21" s="162">
        <v>1</v>
      </c>
    </row>
    <row r="22" s="1" customFormat="1" ht="15" spans="1:12">
      <c r="A22" s="3"/>
      <c r="B22" s="17"/>
      <c r="C22" s="13"/>
      <c r="D22" s="13"/>
      <c r="E22" s="30"/>
      <c r="F22" s="13"/>
      <c r="G22" s="13">
        <v>8</v>
      </c>
      <c r="H22" s="292"/>
      <c r="I22" s="293" t="s">
        <v>197</v>
      </c>
      <c r="J22" s="294">
        <v>1</v>
      </c>
      <c r="K22" s="295"/>
      <c r="L22" s="162">
        <v>1</v>
      </c>
    </row>
    <row r="23" s="1" customFormat="1" ht="15" spans="1:12">
      <c r="A23" s="3"/>
      <c r="B23" s="17"/>
      <c r="C23" s="13"/>
      <c r="D23" s="13"/>
      <c r="E23" s="38" t="s">
        <v>170</v>
      </c>
      <c r="F23" s="38"/>
      <c r="G23" s="38"/>
      <c r="H23" s="38"/>
      <c r="I23" s="38"/>
      <c r="J23" s="39"/>
      <c r="K23" s="40"/>
      <c r="L23" s="41">
        <f>SUM(L15:L22)</f>
        <v>7.5</v>
      </c>
    </row>
    <row r="24" s="1" customFormat="1" ht="15.6" spans="1:12">
      <c r="A24" s="3"/>
      <c r="B24" s="17"/>
      <c r="C24" s="13"/>
      <c r="D24" s="13"/>
      <c r="E24" s="30" t="s">
        <v>171</v>
      </c>
      <c r="F24" s="30"/>
      <c r="G24" s="30"/>
      <c r="H24" s="42"/>
      <c r="I24" s="13"/>
      <c r="J24" s="43"/>
      <c r="K24" s="30"/>
      <c r="L24" s="44"/>
    </row>
    <row r="25" s="1" customFormat="1" ht="15" spans="1:12">
      <c r="A25" s="3"/>
      <c r="B25" s="17"/>
      <c r="C25" s="13"/>
      <c r="D25" s="13"/>
      <c r="E25" s="30"/>
      <c r="F25" s="30"/>
      <c r="G25" s="30"/>
      <c r="H25" s="14"/>
      <c r="I25" s="30"/>
      <c r="J25" s="43"/>
      <c r="K25" s="30"/>
      <c r="L25" s="44"/>
    </row>
    <row r="26" s="1" customFormat="1" ht="15" spans="1:12">
      <c r="A26" s="3" t="s">
        <v>43</v>
      </c>
      <c r="B26" s="17" t="s">
        <v>44</v>
      </c>
      <c r="C26" s="13"/>
      <c r="D26" s="13"/>
      <c r="E26" s="30" t="s">
        <v>157</v>
      </c>
      <c r="F26" s="13" t="s">
        <v>187</v>
      </c>
      <c r="G26" s="13">
        <v>1</v>
      </c>
      <c r="H26" s="291" t="s">
        <v>213</v>
      </c>
      <c r="I26" s="15" t="s">
        <v>183</v>
      </c>
      <c r="J26" s="16">
        <v>1</v>
      </c>
      <c r="K26" s="30"/>
      <c r="L26" s="44">
        <v>1</v>
      </c>
    </row>
    <row r="27" s="1" customFormat="1" ht="69" customHeight="1" spans="1:12">
      <c r="A27" s="3"/>
      <c r="B27" s="17"/>
      <c r="C27" s="13"/>
      <c r="D27" s="13"/>
      <c r="E27" s="30"/>
      <c r="F27" s="13"/>
      <c r="G27" s="13">
        <v>2</v>
      </c>
      <c r="H27" s="14" t="s">
        <v>214</v>
      </c>
      <c r="I27" s="15" t="s">
        <v>210</v>
      </c>
      <c r="J27" s="16">
        <v>1</v>
      </c>
      <c r="K27" s="30"/>
      <c r="L27" s="44">
        <v>2.5</v>
      </c>
    </row>
    <row r="28" s="1" customFormat="1" ht="60" spans="1:12">
      <c r="A28" s="3"/>
      <c r="B28" s="17"/>
      <c r="C28" s="13"/>
      <c r="D28" s="13"/>
      <c r="E28" s="30"/>
      <c r="F28" s="13"/>
      <c r="G28" s="13">
        <v>3</v>
      </c>
      <c r="H28" s="14" t="s">
        <v>215</v>
      </c>
      <c r="I28" s="15" t="s">
        <v>44</v>
      </c>
      <c r="J28" s="16">
        <v>1</v>
      </c>
      <c r="K28" s="30"/>
      <c r="L28" s="44">
        <v>1</v>
      </c>
    </row>
    <row r="29" s="1" customFormat="1" ht="15" spans="1:12">
      <c r="A29" s="3"/>
      <c r="B29" s="17"/>
      <c r="C29" s="13"/>
      <c r="D29" s="13"/>
      <c r="E29" s="38" t="s">
        <v>170</v>
      </c>
      <c r="F29" s="38"/>
      <c r="G29" s="38"/>
      <c r="H29" s="38"/>
      <c r="I29" s="38"/>
      <c r="J29" s="39"/>
      <c r="K29" s="40"/>
      <c r="L29" s="41">
        <f>SUM(L26:L28)</f>
        <v>4.5</v>
      </c>
    </row>
    <row r="30" s="1" customFormat="1" ht="15.6" spans="1:12">
      <c r="A30" s="3"/>
      <c r="B30" s="17"/>
      <c r="C30" s="13"/>
      <c r="D30" s="13"/>
      <c r="E30" s="30" t="s">
        <v>171</v>
      </c>
      <c r="F30" s="30"/>
      <c r="G30" s="30"/>
      <c r="H30" s="42"/>
      <c r="I30" s="13"/>
      <c r="J30" s="43"/>
      <c r="K30" s="30"/>
      <c r="L30" s="44"/>
    </row>
    <row r="31" s="1" customFormat="1" ht="15" spans="1:12">
      <c r="A31" s="3"/>
      <c r="B31" s="17"/>
      <c r="C31" s="13"/>
      <c r="D31" s="13"/>
      <c r="E31" s="30"/>
      <c r="F31" s="30"/>
      <c r="G31" s="30"/>
      <c r="H31" s="14"/>
      <c r="I31" s="30"/>
      <c r="J31" s="43"/>
      <c r="K31" s="30"/>
      <c r="L31" s="44"/>
    </row>
    <row r="32" ht="15" spans="1:12">
      <c r="A32" s="3" t="s">
        <v>54</v>
      </c>
      <c r="B32" s="17" t="s">
        <v>55</v>
      </c>
      <c r="C32" s="13"/>
      <c r="D32" s="13"/>
      <c r="E32" s="21" t="s">
        <v>157</v>
      </c>
      <c r="F32" s="20" t="s">
        <v>73</v>
      </c>
      <c r="G32" s="11">
        <v>1</v>
      </c>
      <c r="H32" s="291" t="s">
        <v>216</v>
      </c>
      <c r="I32" s="297" t="s">
        <v>217</v>
      </c>
      <c r="J32" s="16">
        <v>0.6</v>
      </c>
      <c r="K32" s="30"/>
      <c r="L32" s="44">
        <v>3</v>
      </c>
    </row>
    <row r="33" ht="15" spans="1:12">
      <c r="A33" s="3"/>
      <c r="B33" s="17"/>
      <c r="C33" s="13"/>
      <c r="D33" s="13"/>
      <c r="E33" s="21"/>
      <c r="F33" s="20"/>
      <c r="G33" s="11">
        <v>2</v>
      </c>
      <c r="H33" s="291" t="s">
        <v>218</v>
      </c>
      <c r="I33" s="297" t="s">
        <v>219</v>
      </c>
      <c r="J33" s="16">
        <v>0.9</v>
      </c>
      <c r="K33" s="30"/>
      <c r="L33" s="44">
        <v>4</v>
      </c>
    </row>
    <row r="34" ht="15" spans="1:12">
      <c r="A34" s="3"/>
      <c r="B34" s="17"/>
      <c r="C34" s="13"/>
      <c r="D34" s="13"/>
      <c r="E34" s="21"/>
      <c r="F34" s="20"/>
      <c r="G34" s="11"/>
      <c r="H34" s="291" t="s">
        <v>216</v>
      </c>
      <c r="I34" s="297" t="s">
        <v>220</v>
      </c>
      <c r="J34" s="16">
        <v>0.6</v>
      </c>
      <c r="K34" s="30"/>
      <c r="L34" s="44">
        <v>4</v>
      </c>
    </row>
    <row r="35" ht="15" spans="1:12">
      <c r="A35" s="3"/>
      <c r="B35" s="17"/>
      <c r="C35" s="13"/>
      <c r="D35" s="13"/>
      <c r="E35" s="37"/>
      <c r="F35" s="27"/>
      <c r="G35" s="13">
        <v>3</v>
      </c>
      <c r="H35" s="291" t="s">
        <v>221</v>
      </c>
      <c r="I35" s="15" t="s">
        <v>55</v>
      </c>
      <c r="J35" s="16">
        <v>1</v>
      </c>
      <c r="K35" s="30"/>
      <c r="L35" s="44">
        <v>2.5</v>
      </c>
    </row>
    <row r="36" ht="15" spans="1:12">
      <c r="A36" s="3"/>
      <c r="B36" s="17"/>
      <c r="C36" s="13"/>
      <c r="D36" s="13"/>
      <c r="E36" s="38" t="s">
        <v>170</v>
      </c>
      <c r="F36" s="38"/>
      <c r="G36" s="38"/>
      <c r="H36" s="38"/>
      <c r="I36" s="38"/>
      <c r="J36" s="39"/>
      <c r="K36" s="40"/>
      <c r="L36" s="41">
        <f>SUM(L32:L35)</f>
        <v>13.5</v>
      </c>
    </row>
    <row r="37" ht="15" spans="1:12">
      <c r="A37" s="3"/>
      <c r="B37" s="17"/>
      <c r="C37" s="13"/>
      <c r="D37" s="13"/>
      <c r="E37" s="30"/>
      <c r="F37" s="30"/>
      <c r="G37" s="30"/>
      <c r="H37" s="14"/>
      <c r="I37" s="13"/>
      <c r="J37" s="43"/>
      <c r="K37" s="30"/>
      <c r="L37" s="44"/>
    </row>
    <row r="38" ht="15" spans="1:12">
      <c r="A38" s="3"/>
      <c r="B38" s="17"/>
      <c r="C38" s="13"/>
      <c r="D38" s="13"/>
      <c r="E38" s="30"/>
      <c r="F38" s="30"/>
      <c r="G38" s="30"/>
      <c r="H38" s="14"/>
      <c r="I38" s="30"/>
      <c r="J38" s="43"/>
      <c r="K38" s="30"/>
      <c r="L38" s="44"/>
    </row>
    <row r="39" ht="15" spans="1:12">
      <c r="A39" s="3" t="s">
        <v>94</v>
      </c>
      <c r="B39" s="17"/>
      <c r="C39" s="13"/>
      <c r="D39" s="13"/>
      <c r="E39" s="21"/>
      <c r="F39" s="20"/>
      <c r="G39" s="13">
        <v>1</v>
      </c>
      <c r="H39" s="291" t="s">
        <v>222</v>
      </c>
      <c r="I39" s="15" t="s">
        <v>223</v>
      </c>
      <c r="J39" s="16">
        <v>1</v>
      </c>
      <c r="K39" s="30"/>
      <c r="L39" s="44">
        <v>1.5</v>
      </c>
    </row>
    <row r="40" ht="15" spans="1:12">
      <c r="A40" s="3"/>
      <c r="B40" s="17"/>
      <c r="C40" s="13"/>
      <c r="D40" s="13"/>
      <c r="E40" s="21"/>
      <c r="F40" s="20"/>
      <c r="G40" s="13">
        <v>2</v>
      </c>
      <c r="H40" s="291" t="s">
        <v>224</v>
      </c>
      <c r="I40" s="15" t="s">
        <v>55</v>
      </c>
      <c r="J40" s="16">
        <v>1</v>
      </c>
      <c r="K40" s="30"/>
      <c r="L40" s="44">
        <v>1.5</v>
      </c>
    </row>
    <row r="41" ht="15" spans="1:12">
      <c r="A41" s="3"/>
      <c r="B41" s="17"/>
      <c r="C41" s="13"/>
      <c r="D41" s="13"/>
      <c r="E41" s="21"/>
      <c r="F41" s="20"/>
      <c r="G41" s="13">
        <v>3</v>
      </c>
      <c r="H41" s="291" t="s">
        <v>225</v>
      </c>
      <c r="I41" s="15" t="s">
        <v>217</v>
      </c>
      <c r="J41" s="16">
        <v>1</v>
      </c>
      <c r="K41" s="30"/>
      <c r="L41" s="44">
        <v>1</v>
      </c>
    </row>
    <row r="42" ht="15" spans="1:12">
      <c r="A42" s="3"/>
      <c r="B42" s="17"/>
      <c r="C42" s="13"/>
      <c r="D42" s="13"/>
      <c r="E42" s="21"/>
      <c r="F42" s="20"/>
      <c r="G42" s="13">
        <v>4</v>
      </c>
      <c r="H42" s="291" t="s">
        <v>226</v>
      </c>
      <c r="I42" s="15" t="s">
        <v>227</v>
      </c>
      <c r="J42" s="16">
        <v>1</v>
      </c>
      <c r="K42" s="30"/>
      <c r="L42" s="44">
        <v>1</v>
      </c>
    </row>
    <row r="43" ht="15" spans="1:12">
      <c r="A43" s="3"/>
      <c r="B43" s="17"/>
      <c r="C43" s="13"/>
      <c r="D43" s="13"/>
      <c r="E43" s="21"/>
      <c r="F43" s="20"/>
      <c r="G43" s="13">
        <v>5</v>
      </c>
      <c r="H43" s="291" t="s">
        <v>228</v>
      </c>
      <c r="I43" s="15" t="s">
        <v>229</v>
      </c>
      <c r="J43" s="16">
        <v>1</v>
      </c>
      <c r="K43" s="30"/>
      <c r="L43" s="44">
        <v>0</v>
      </c>
    </row>
    <row r="44" ht="15" spans="1:12">
      <c r="A44" s="3"/>
      <c r="B44" s="17"/>
      <c r="C44" s="13"/>
      <c r="D44" s="13"/>
      <c r="E44" s="38" t="s">
        <v>170</v>
      </c>
      <c r="F44" s="38"/>
      <c r="G44" s="38"/>
      <c r="H44" s="38"/>
      <c r="I44" s="38"/>
      <c r="J44" s="39"/>
      <c r="K44" s="40"/>
      <c r="L44" s="41">
        <f>SUM(L39:L43)</f>
        <v>5</v>
      </c>
    </row>
    <row r="45" ht="15" spans="1:12">
      <c r="A45" s="3"/>
      <c r="B45" s="17"/>
      <c r="C45" s="13"/>
      <c r="D45" s="13"/>
      <c r="E45" s="30" t="s">
        <v>171</v>
      </c>
      <c r="F45" s="30"/>
      <c r="G45" s="30"/>
      <c r="H45" s="14"/>
      <c r="I45" s="13"/>
      <c r="J45" s="43"/>
      <c r="K45" s="30"/>
      <c r="L45" s="44"/>
    </row>
    <row r="46" ht="15" spans="1:12">
      <c r="A46" s="3"/>
      <c r="B46" s="17"/>
      <c r="C46" s="13"/>
      <c r="D46" s="13"/>
      <c r="E46" s="30"/>
      <c r="F46" s="30"/>
      <c r="G46" s="30"/>
      <c r="H46" s="14"/>
      <c r="I46" s="30"/>
      <c r="J46" s="43"/>
      <c r="K46" s="30"/>
      <c r="L46" s="44"/>
    </row>
    <row r="47" ht="15" spans="1:12">
      <c r="A47" s="288" t="s">
        <v>95</v>
      </c>
      <c r="B47" s="17"/>
      <c r="C47" s="13"/>
      <c r="D47" s="13"/>
      <c r="E47" s="21"/>
      <c r="F47" s="20"/>
      <c r="G47" s="13">
        <v>1</v>
      </c>
      <c r="H47" s="291" t="s">
        <v>230</v>
      </c>
      <c r="I47" s="15" t="s">
        <v>231</v>
      </c>
      <c r="J47" s="16">
        <v>1</v>
      </c>
      <c r="K47" s="30"/>
      <c r="L47" s="44">
        <v>0</v>
      </c>
    </row>
    <row r="48" ht="45" spans="1:12">
      <c r="A48" s="288"/>
      <c r="B48" s="17"/>
      <c r="C48" s="13"/>
      <c r="D48" s="13"/>
      <c r="E48" s="21"/>
      <c r="F48" s="20"/>
      <c r="G48" s="13">
        <v>2</v>
      </c>
      <c r="H48" s="291" t="s">
        <v>232</v>
      </c>
      <c r="I48" s="15" t="s">
        <v>233</v>
      </c>
      <c r="J48" s="16">
        <v>1</v>
      </c>
      <c r="K48" s="30"/>
      <c r="L48" s="44">
        <v>4</v>
      </c>
    </row>
    <row r="49" ht="15" spans="1:12">
      <c r="A49" s="288"/>
      <c r="B49" s="17"/>
      <c r="C49" s="13"/>
      <c r="D49" s="13"/>
      <c r="E49" s="21"/>
      <c r="F49" s="20"/>
      <c r="G49" s="13">
        <v>3</v>
      </c>
      <c r="H49" s="291" t="s">
        <v>234</v>
      </c>
      <c r="I49" s="15" t="s">
        <v>235</v>
      </c>
      <c r="J49" s="16">
        <v>1</v>
      </c>
      <c r="K49" s="30"/>
      <c r="L49" s="44">
        <v>4</v>
      </c>
    </row>
    <row r="50" ht="15" spans="1:12">
      <c r="A50" s="288"/>
      <c r="B50" s="17"/>
      <c r="C50" s="13"/>
      <c r="D50" s="13"/>
      <c r="E50" s="21"/>
      <c r="F50" s="20"/>
      <c r="G50" s="13">
        <v>4</v>
      </c>
      <c r="H50" s="291" t="s">
        <v>236</v>
      </c>
      <c r="I50" s="15" t="s">
        <v>237</v>
      </c>
      <c r="J50" s="16">
        <v>0.6</v>
      </c>
      <c r="K50" s="30"/>
      <c r="L50" s="44">
        <v>3.5</v>
      </c>
    </row>
    <row r="51" ht="15" spans="1:12">
      <c r="A51" s="288"/>
      <c r="B51" s="17"/>
      <c r="C51" s="13"/>
      <c r="D51" s="13"/>
      <c r="E51" s="21"/>
      <c r="F51" s="20"/>
      <c r="G51" s="13">
        <v>5</v>
      </c>
      <c r="H51" s="291" t="s">
        <v>236</v>
      </c>
      <c r="I51" s="15" t="s">
        <v>238</v>
      </c>
      <c r="J51" s="16">
        <v>0.6</v>
      </c>
      <c r="K51" s="30"/>
      <c r="L51" s="44">
        <v>2.5</v>
      </c>
    </row>
    <row r="52" ht="45" spans="1:12">
      <c r="A52" s="288"/>
      <c r="B52" s="17"/>
      <c r="C52" s="13"/>
      <c r="D52" s="13"/>
      <c r="E52" s="21"/>
      <c r="F52" s="20"/>
      <c r="G52" s="13">
        <v>6</v>
      </c>
      <c r="H52" s="291" t="s">
        <v>239</v>
      </c>
      <c r="I52" s="15" t="s">
        <v>240</v>
      </c>
      <c r="J52" s="16">
        <v>1</v>
      </c>
      <c r="K52" s="30"/>
      <c r="L52" s="44">
        <v>4</v>
      </c>
    </row>
    <row r="53" ht="15" spans="1:12">
      <c r="A53" s="288"/>
      <c r="B53" s="17"/>
      <c r="C53" s="13"/>
      <c r="D53" s="13"/>
      <c r="E53" s="21"/>
      <c r="F53" s="20"/>
      <c r="G53" s="13">
        <v>6</v>
      </c>
      <c r="H53" s="291" t="s">
        <v>241</v>
      </c>
      <c r="I53" s="15" t="s">
        <v>227</v>
      </c>
      <c r="J53" s="16">
        <v>1</v>
      </c>
      <c r="K53" s="30"/>
      <c r="L53" s="44">
        <v>1.5</v>
      </c>
    </row>
    <row r="54" ht="15" spans="1:12">
      <c r="A54" s="288"/>
      <c r="B54" s="17"/>
      <c r="C54" s="13"/>
      <c r="D54" s="13"/>
      <c r="E54" s="21"/>
      <c r="F54" s="20"/>
      <c r="G54" s="13">
        <v>7</v>
      </c>
      <c r="H54" s="291" t="s">
        <v>242</v>
      </c>
      <c r="I54" s="15" t="s">
        <v>63</v>
      </c>
      <c r="J54" s="16"/>
      <c r="K54" s="30"/>
      <c r="L54" s="44">
        <v>3</v>
      </c>
    </row>
    <row r="55" ht="15" spans="1:12">
      <c r="A55" s="288"/>
      <c r="B55" s="17"/>
      <c r="C55" s="13"/>
      <c r="D55" s="13"/>
      <c r="E55" s="38" t="s">
        <v>170</v>
      </c>
      <c r="F55" s="38"/>
      <c r="G55" s="38"/>
      <c r="H55" s="38"/>
      <c r="I55" s="38"/>
      <c r="J55" s="39"/>
      <c r="K55" s="40"/>
      <c r="L55" s="41">
        <f>SUM(L47:L54)</f>
        <v>22.5</v>
      </c>
    </row>
    <row r="56" ht="15.6" spans="1:12">
      <c r="A56" s="288"/>
      <c r="B56" s="17"/>
      <c r="C56" s="13"/>
      <c r="D56" s="13"/>
      <c r="E56" s="30" t="s">
        <v>171</v>
      </c>
      <c r="F56" s="30"/>
      <c r="G56" s="30"/>
      <c r="H56" s="42"/>
      <c r="I56" s="13"/>
      <c r="J56" s="43"/>
      <c r="K56" s="30"/>
      <c r="L56" s="44"/>
    </row>
    <row r="57" ht="15" spans="1:12">
      <c r="A57" s="298"/>
      <c r="B57" s="17"/>
      <c r="C57" s="13"/>
      <c r="D57" s="13"/>
      <c r="E57" s="30"/>
      <c r="F57" s="30"/>
      <c r="G57" s="30"/>
      <c r="H57" s="14"/>
      <c r="I57" s="30"/>
      <c r="J57" s="43"/>
      <c r="K57" s="30"/>
      <c r="L57" s="44"/>
    </row>
    <row r="58" ht="15" spans="1:12">
      <c r="A58" s="299" t="s">
        <v>96</v>
      </c>
      <c r="B58" s="17"/>
      <c r="C58" s="13"/>
      <c r="D58" s="13"/>
      <c r="E58" s="21"/>
      <c r="F58" s="20"/>
      <c r="G58" s="13">
        <v>1</v>
      </c>
      <c r="H58" s="291" t="s">
        <v>243</v>
      </c>
      <c r="I58" s="15" t="s">
        <v>223</v>
      </c>
      <c r="J58" s="16">
        <v>1</v>
      </c>
      <c r="K58" s="30"/>
      <c r="L58" s="44">
        <v>2.5</v>
      </c>
    </row>
    <row r="59" ht="15" spans="1:12">
      <c r="A59" s="288"/>
      <c r="B59" s="17"/>
      <c r="C59" s="13"/>
      <c r="D59" s="13"/>
      <c r="E59" s="21"/>
      <c r="F59" s="20"/>
      <c r="G59" s="13">
        <v>2</v>
      </c>
      <c r="H59" s="291"/>
      <c r="I59" s="15"/>
      <c r="J59" s="16"/>
      <c r="K59" s="30"/>
      <c r="L59" s="44"/>
    </row>
    <row r="60" ht="15" spans="1:12">
      <c r="A60" s="288"/>
      <c r="B60" s="17"/>
      <c r="C60" s="13"/>
      <c r="D60" s="13"/>
      <c r="E60" s="38" t="s">
        <v>170</v>
      </c>
      <c r="F60" s="38"/>
      <c r="G60" s="38"/>
      <c r="H60" s="38"/>
      <c r="I60" s="38"/>
      <c r="J60" s="39"/>
      <c r="K60" s="40"/>
      <c r="L60" s="41">
        <f>SUM(L58:L59)</f>
        <v>2.5</v>
      </c>
    </row>
    <row r="61" ht="15.6" spans="1:12">
      <c r="A61" s="288"/>
      <c r="B61" s="17"/>
      <c r="C61" s="13"/>
      <c r="D61" s="13"/>
      <c r="E61" s="30" t="s">
        <v>171</v>
      </c>
      <c r="F61" s="30"/>
      <c r="G61" s="30"/>
      <c r="H61" s="42"/>
      <c r="I61" s="13"/>
      <c r="J61" s="43"/>
      <c r="K61" s="30"/>
      <c r="L61" s="44"/>
    </row>
    <row r="62" ht="15" spans="1:12">
      <c r="A62" s="298"/>
      <c r="B62" s="17"/>
      <c r="C62" s="13"/>
      <c r="D62" s="13"/>
      <c r="E62" s="30"/>
      <c r="F62" s="30"/>
      <c r="G62" s="30"/>
      <c r="H62" s="14"/>
      <c r="I62" s="30"/>
      <c r="J62" s="43"/>
      <c r="K62" s="30"/>
      <c r="L62" s="44"/>
    </row>
  </sheetData>
  <mergeCells count="74">
    <mergeCell ref="E6:H6"/>
    <mergeCell ref="E12:H12"/>
    <mergeCell ref="E23:H23"/>
    <mergeCell ref="E29:H29"/>
    <mergeCell ref="E36:H36"/>
    <mergeCell ref="E44:H44"/>
    <mergeCell ref="E55:H55"/>
    <mergeCell ref="E60:H60"/>
    <mergeCell ref="A3:A8"/>
    <mergeCell ref="A9:A14"/>
    <mergeCell ref="A15:A25"/>
    <mergeCell ref="A26:A31"/>
    <mergeCell ref="A32:A38"/>
    <mergeCell ref="A39:A46"/>
    <mergeCell ref="A47:A57"/>
    <mergeCell ref="A58:A62"/>
    <mergeCell ref="B3:B8"/>
    <mergeCell ref="B9:B14"/>
    <mergeCell ref="B15:B25"/>
    <mergeCell ref="B26:B31"/>
    <mergeCell ref="B32:B38"/>
    <mergeCell ref="B39:B46"/>
    <mergeCell ref="B47:B57"/>
    <mergeCell ref="B58:B62"/>
    <mergeCell ref="C3:C8"/>
    <mergeCell ref="C9:C14"/>
    <mergeCell ref="C15:C25"/>
    <mergeCell ref="C26:C31"/>
    <mergeCell ref="C32:C38"/>
    <mergeCell ref="C39:C46"/>
    <mergeCell ref="C47:C57"/>
    <mergeCell ref="C58:C62"/>
    <mergeCell ref="D3:D8"/>
    <mergeCell ref="D9:D14"/>
    <mergeCell ref="D15:D25"/>
    <mergeCell ref="D26:D31"/>
    <mergeCell ref="D32:D38"/>
    <mergeCell ref="D39:D46"/>
    <mergeCell ref="D47:D57"/>
    <mergeCell ref="D58:D62"/>
    <mergeCell ref="E3:E5"/>
    <mergeCell ref="E7:E8"/>
    <mergeCell ref="E9:E11"/>
    <mergeCell ref="E13:E14"/>
    <mergeCell ref="E15:E17"/>
    <mergeCell ref="E24:E25"/>
    <mergeCell ref="E26:E28"/>
    <mergeCell ref="E30:E31"/>
    <mergeCell ref="E32:E35"/>
    <mergeCell ref="E37:E38"/>
    <mergeCell ref="E39:E43"/>
    <mergeCell ref="E45:E46"/>
    <mergeCell ref="E47:E54"/>
    <mergeCell ref="E56:E57"/>
    <mergeCell ref="E58:E59"/>
    <mergeCell ref="E61:E62"/>
    <mergeCell ref="F3:F5"/>
    <mergeCell ref="F7:F8"/>
    <mergeCell ref="F9:F10"/>
    <mergeCell ref="F13:F14"/>
    <mergeCell ref="F15:F17"/>
    <mergeCell ref="F24:F25"/>
    <mergeCell ref="F26:F28"/>
    <mergeCell ref="F30:F31"/>
    <mergeCell ref="F32:F35"/>
    <mergeCell ref="F37:F38"/>
    <mergeCell ref="F39:F43"/>
    <mergeCell ref="F45:F46"/>
    <mergeCell ref="F47:F54"/>
    <mergeCell ref="F56:F57"/>
    <mergeCell ref="F58:F59"/>
    <mergeCell ref="F61:F62"/>
    <mergeCell ref="H18:H20"/>
    <mergeCell ref="H21:H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28"/>
  <sheetViews>
    <sheetView workbookViewId="0">
      <pane ySplit="1" topLeftCell="A2" activePane="bottomLeft" state="frozen"/>
      <selection/>
      <selection pane="bottomLeft" activeCell="B15" sqref="B15:B28"/>
    </sheetView>
  </sheetViews>
  <sheetFormatPr defaultColWidth="8.71296296296296" defaultRowHeight="13.2"/>
  <cols>
    <col min="1" max="1" width="22.4259259259259" style="261" customWidth="1"/>
    <col min="2" max="2" width="11.7222222222222" style="261" customWidth="1"/>
    <col min="3" max="7" width="9.14814814814815" style="261"/>
    <col min="8" max="8" width="59.7222222222222" style="261" customWidth="1"/>
    <col min="9" max="11" width="9.14814814814815" style="261"/>
    <col min="12" max="12" width="19.5740740740741" style="262" customWidth="1"/>
    <col min="13" max="16384" width="9.14814814814815" style="261"/>
  </cols>
  <sheetData>
    <row r="1" ht="69.6" spans="1:26">
      <c r="A1" s="263" t="s">
        <v>145</v>
      </c>
      <c r="B1" s="264" t="s">
        <v>6</v>
      </c>
      <c r="C1" s="263" t="s">
        <v>146</v>
      </c>
      <c r="D1" s="263" t="s">
        <v>147</v>
      </c>
      <c r="E1" s="264" t="s">
        <v>148</v>
      </c>
      <c r="F1" s="263" t="s">
        <v>149</v>
      </c>
      <c r="G1" s="263" t="s">
        <v>1</v>
      </c>
      <c r="H1" s="265" t="s">
        <v>150</v>
      </c>
      <c r="I1" s="263" t="s">
        <v>151</v>
      </c>
      <c r="J1" s="266" t="s">
        <v>152</v>
      </c>
      <c r="K1" s="263" t="s">
        <v>153</v>
      </c>
      <c r="L1" s="267" t="s">
        <v>154</v>
      </c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</row>
    <row r="2" ht="15.6" spans="1:26">
      <c r="A2" s="263" t="s">
        <v>244</v>
      </c>
      <c r="B2" s="269" t="s">
        <v>60</v>
      </c>
      <c r="C2" s="270">
        <v>1</v>
      </c>
      <c r="D2" s="271"/>
      <c r="E2" s="272" t="s">
        <v>157</v>
      </c>
      <c r="F2" s="271" t="s">
        <v>187</v>
      </c>
      <c r="G2" s="271">
        <v>1</v>
      </c>
      <c r="H2" s="273" t="s">
        <v>245</v>
      </c>
      <c r="I2" s="15" t="s">
        <v>246</v>
      </c>
      <c r="J2" s="270">
        <v>0.99</v>
      </c>
      <c r="K2" s="272"/>
      <c r="L2" s="269">
        <v>2</v>
      </c>
    </row>
    <row r="3" ht="15.6" spans="1:26">
      <c r="A3" s="263"/>
      <c r="B3" s="269"/>
      <c r="C3" s="270"/>
      <c r="D3" s="271"/>
      <c r="E3" s="272"/>
      <c r="F3" s="271"/>
      <c r="G3" s="271">
        <v>2</v>
      </c>
      <c r="H3" s="274" t="s">
        <v>247</v>
      </c>
      <c r="I3" s="15" t="s">
        <v>248</v>
      </c>
      <c r="J3" s="270">
        <v>1</v>
      </c>
      <c r="K3" s="272"/>
      <c r="L3" s="269">
        <v>1</v>
      </c>
    </row>
    <row r="4" ht="30" spans="1:26">
      <c r="A4" s="263"/>
      <c r="B4" s="269"/>
      <c r="C4" s="270"/>
      <c r="D4" s="271"/>
      <c r="E4" s="272"/>
      <c r="F4" s="271"/>
      <c r="G4" s="271">
        <v>3</v>
      </c>
      <c r="H4" s="273" t="s">
        <v>249</v>
      </c>
      <c r="I4" s="15" t="s">
        <v>250</v>
      </c>
      <c r="J4" s="270">
        <v>1</v>
      </c>
      <c r="K4" s="272"/>
      <c r="L4" s="269">
        <v>0.5</v>
      </c>
    </row>
    <row r="5" ht="15.6" spans="1:26">
      <c r="A5" s="263"/>
      <c r="B5" s="269"/>
      <c r="C5" s="270"/>
      <c r="D5" s="271"/>
      <c r="E5" s="272"/>
      <c r="F5" s="271"/>
      <c r="G5" s="271">
        <v>4</v>
      </c>
      <c r="H5" s="273" t="s">
        <v>251</v>
      </c>
      <c r="I5" s="15" t="s">
        <v>252</v>
      </c>
      <c r="J5" s="270">
        <v>0.85</v>
      </c>
      <c r="K5" s="272"/>
      <c r="L5" s="269">
        <v>1.5</v>
      </c>
    </row>
    <row r="6" ht="15.6" spans="1:26">
      <c r="A6" s="263"/>
      <c r="B6" s="269"/>
      <c r="C6" s="270"/>
      <c r="D6" s="271"/>
      <c r="E6" s="272"/>
      <c r="F6" s="271"/>
      <c r="G6" s="271">
        <v>5</v>
      </c>
      <c r="H6" s="273" t="s">
        <v>253</v>
      </c>
      <c r="I6" s="15" t="s">
        <v>254</v>
      </c>
      <c r="J6" s="270"/>
      <c r="K6" s="272"/>
      <c r="L6" s="269">
        <v>1</v>
      </c>
    </row>
    <row r="7" ht="15.6" spans="1:26">
      <c r="A7" s="263"/>
      <c r="B7" s="269"/>
      <c r="C7" s="270"/>
      <c r="D7" s="271"/>
      <c r="E7" s="272"/>
      <c r="F7" s="271"/>
      <c r="G7" s="271">
        <v>6</v>
      </c>
      <c r="H7" s="273" t="s">
        <v>255</v>
      </c>
      <c r="I7" s="15" t="s">
        <v>256</v>
      </c>
      <c r="J7" s="270">
        <v>1</v>
      </c>
      <c r="K7" s="272"/>
      <c r="L7" s="269">
        <v>1</v>
      </c>
    </row>
    <row r="8" ht="27" customHeight="1" spans="1:26">
      <c r="A8" s="263"/>
      <c r="B8" s="269"/>
      <c r="C8" s="270"/>
      <c r="D8" s="271"/>
      <c r="E8" s="38" t="s">
        <v>170</v>
      </c>
      <c r="F8" s="38"/>
      <c r="G8" s="38"/>
      <c r="H8" s="38"/>
      <c r="I8" s="38"/>
      <c r="J8" s="39"/>
      <c r="K8" s="40"/>
      <c r="L8" s="41">
        <f>SUM(L2:L7)</f>
        <v>7</v>
      </c>
    </row>
    <row r="9" ht="15.6" spans="1:26">
      <c r="A9" s="263"/>
      <c r="B9" s="269"/>
      <c r="C9" s="270"/>
      <c r="D9" s="271"/>
      <c r="E9" s="272" t="s">
        <v>171</v>
      </c>
      <c r="F9" s="272" t="s">
        <v>187</v>
      </c>
      <c r="G9" s="272">
        <v>1</v>
      </c>
      <c r="H9" s="275" t="s">
        <v>257</v>
      </c>
      <c r="I9" s="271" t="s">
        <v>246</v>
      </c>
      <c r="J9" s="276"/>
      <c r="K9" s="272"/>
      <c r="L9" s="277"/>
    </row>
    <row r="10" ht="15" spans="1:26">
      <c r="A10" s="278"/>
      <c r="B10" s="279"/>
      <c r="C10" s="280"/>
      <c r="D10" s="281"/>
      <c r="E10" s="282"/>
      <c r="F10" s="282"/>
      <c r="G10" s="272">
        <v>2</v>
      </c>
      <c r="H10" s="274" t="s">
        <v>258</v>
      </c>
      <c r="I10" s="15" t="s">
        <v>248</v>
      </c>
      <c r="J10" s="270"/>
      <c r="K10" s="272"/>
      <c r="L10" s="277"/>
    </row>
    <row r="11" ht="15" spans="1:26">
      <c r="A11" s="278" t="s">
        <v>259</v>
      </c>
      <c r="B11" s="279" t="s">
        <v>63</v>
      </c>
      <c r="C11" s="280">
        <v>0.85</v>
      </c>
      <c r="D11" s="281"/>
      <c r="E11" s="282" t="s">
        <v>157</v>
      </c>
      <c r="F11" s="281" t="s">
        <v>73</v>
      </c>
      <c r="G11" s="271">
        <v>1</v>
      </c>
      <c r="H11" s="274" t="s">
        <v>260</v>
      </c>
      <c r="I11" s="15" t="s">
        <v>248</v>
      </c>
      <c r="J11" s="270">
        <v>0.8</v>
      </c>
      <c r="K11" s="272"/>
      <c r="L11" s="277">
        <v>2</v>
      </c>
    </row>
    <row r="12" ht="15" spans="1:26">
      <c r="A12" s="283"/>
      <c r="B12" s="284"/>
      <c r="C12" s="285"/>
      <c r="D12" s="286"/>
      <c r="E12" s="38" t="s">
        <v>170</v>
      </c>
      <c r="F12" s="38"/>
      <c r="G12" s="38"/>
      <c r="H12" s="38"/>
      <c r="I12" s="38"/>
      <c r="J12" s="39"/>
      <c r="K12" s="40"/>
      <c r="L12" s="41">
        <f>SUM(L11:L11)</f>
        <v>2</v>
      </c>
    </row>
    <row r="13" ht="15" spans="1:26">
      <c r="A13" s="283"/>
      <c r="B13" s="284"/>
      <c r="C13" s="285"/>
      <c r="D13" s="286"/>
      <c r="E13" s="282" t="s">
        <v>171</v>
      </c>
      <c r="F13" s="281" t="s">
        <v>73</v>
      </c>
      <c r="G13" s="271">
        <v>1</v>
      </c>
      <c r="H13" s="274" t="s">
        <v>261</v>
      </c>
      <c r="I13" s="15" t="s">
        <v>248</v>
      </c>
      <c r="J13" s="287"/>
      <c r="K13" s="272"/>
      <c r="L13" s="277"/>
    </row>
    <row r="14" ht="15" spans="1:26">
      <c r="A14" s="283"/>
      <c r="B14" s="284"/>
      <c r="C14" s="285"/>
      <c r="D14" s="286"/>
      <c r="E14" s="282"/>
      <c r="F14" s="281"/>
      <c r="G14" s="271">
        <v>2</v>
      </c>
      <c r="H14" s="273" t="s">
        <v>262</v>
      </c>
      <c r="I14" s="15" t="s">
        <v>256</v>
      </c>
      <c r="J14" s="270"/>
      <c r="K14" s="272"/>
      <c r="L14" s="277"/>
    </row>
    <row r="15" ht="15" spans="1:26">
      <c r="A15" s="263" t="s">
        <v>263</v>
      </c>
      <c r="B15" s="269" t="s">
        <v>143</v>
      </c>
      <c r="C15" s="271"/>
      <c r="D15" s="271"/>
      <c r="E15" s="272" t="s">
        <v>157</v>
      </c>
      <c r="F15" s="271" t="s">
        <v>133</v>
      </c>
      <c r="G15" s="271">
        <v>1</v>
      </c>
      <c r="H15" s="273" t="s">
        <v>264</v>
      </c>
      <c r="I15" s="15" t="s">
        <v>265</v>
      </c>
      <c r="J15" s="270">
        <v>0.2</v>
      </c>
      <c r="K15" s="272"/>
      <c r="L15" s="277">
        <v>2</v>
      </c>
    </row>
    <row r="16" ht="15" spans="1:26">
      <c r="A16" s="263"/>
      <c r="B16" s="269"/>
      <c r="C16" s="271"/>
      <c r="D16" s="271"/>
      <c r="E16" s="272"/>
      <c r="F16" s="271"/>
      <c r="G16" s="271"/>
      <c r="H16" s="273"/>
      <c r="I16" s="15" t="s">
        <v>266</v>
      </c>
      <c r="J16" s="270"/>
      <c r="K16" s="272"/>
      <c r="L16" s="277">
        <v>3.5</v>
      </c>
    </row>
    <row r="17" ht="15" spans="1:12">
      <c r="A17" s="263"/>
      <c r="B17" s="269"/>
      <c r="C17" s="271"/>
      <c r="D17" s="271"/>
      <c r="E17" s="272"/>
      <c r="F17" s="271"/>
      <c r="G17" s="271">
        <v>2</v>
      </c>
      <c r="H17" s="273" t="s">
        <v>267</v>
      </c>
      <c r="I17" s="15" t="s">
        <v>60</v>
      </c>
      <c r="J17" s="270">
        <v>1</v>
      </c>
      <c r="K17" s="272"/>
      <c r="L17" s="277">
        <v>1.5</v>
      </c>
    </row>
    <row r="18" ht="15" spans="1:12">
      <c r="A18" s="263"/>
      <c r="B18" s="269"/>
      <c r="C18" s="271"/>
      <c r="D18" s="271"/>
      <c r="E18" s="272"/>
      <c r="F18" s="271"/>
      <c r="G18" s="271"/>
      <c r="H18" s="273"/>
      <c r="I18" s="15" t="s">
        <v>250</v>
      </c>
      <c r="J18" s="270"/>
      <c r="K18" s="272"/>
      <c r="L18" s="277">
        <v>0.5</v>
      </c>
    </row>
    <row r="19" ht="15" spans="1:12">
      <c r="A19" s="263"/>
      <c r="B19" s="269"/>
      <c r="C19" s="271"/>
      <c r="D19" s="271"/>
      <c r="E19" s="272"/>
      <c r="F19" s="271"/>
      <c r="G19" s="271">
        <v>3</v>
      </c>
      <c r="H19" s="273" t="s">
        <v>268</v>
      </c>
      <c r="I19" s="15" t="s">
        <v>252</v>
      </c>
      <c r="J19" s="270">
        <v>1</v>
      </c>
      <c r="K19" s="272"/>
      <c r="L19" s="277">
        <v>2.5</v>
      </c>
    </row>
    <row r="20" ht="15" spans="1:12">
      <c r="A20" s="263"/>
      <c r="B20" s="269"/>
      <c r="C20" s="271"/>
      <c r="D20" s="271"/>
      <c r="E20" s="272"/>
      <c r="F20" s="271"/>
      <c r="G20" s="271"/>
      <c r="H20" s="273"/>
      <c r="I20" s="15" t="s">
        <v>227</v>
      </c>
      <c r="J20" s="270"/>
      <c r="K20" s="272"/>
      <c r="L20" s="277">
        <v>2</v>
      </c>
    </row>
    <row r="21" ht="15" spans="1:12">
      <c r="A21" s="263"/>
      <c r="B21" s="269"/>
      <c r="C21" s="271"/>
      <c r="D21" s="271"/>
      <c r="E21" s="272"/>
      <c r="F21" s="271"/>
      <c r="G21" s="271"/>
      <c r="H21" s="273"/>
      <c r="I21" s="15" t="s">
        <v>265</v>
      </c>
      <c r="J21" s="270"/>
      <c r="K21" s="272"/>
      <c r="L21" s="277">
        <v>2</v>
      </c>
    </row>
    <row r="22" ht="15" spans="1:12">
      <c r="A22" s="263"/>
      <c r="B22" s="269"/>
      <c r="C22" s="271"/>
      <c r="D22" s="271"/>
      <c r="E22" s="272"/>
      <c r="F22" s="271"/>
      <c r="G22" s="271"/>
      <c r="H22" s="273"/>
      <c r="I22" s="15" t="s">
        <v>269</v>
      </c>
      <c r="J22" s="270"/>
      <c r="K22" s="272"/>
      <c r="L22" s="277">
        <v>1</v>
      </c>
    </row>
    <row r="23" ht="15" spans="1:12">
      <c r="A23" s="263"/>
      <c r="B23" s="269"/>
      <c r="C23" s="271"/>
      <c r="D23" s="271"/>
      <c r="E23" s="272"/>
      <c r="F23" s="271"/>
      <c r="G23" s="271"/>
      <c r="H23" s="273"/>
      <c r="I23" s="15" t="s">
        <v>60</v>
      </c>
      <c r="J23" s="270"/>
      <c r="K23" s="272"/>
      <c r="L23" s="277">
        <v>0.5</v>
      </c>
    </row>
    <row r="24" ht="15" spans="1:12">
      <c r="A24" s="263"/>
      <c r="B24" s="269"/>
      <c r="C24" s="271"/>
      <c r="D24" s="271"/>
      <c r="E24" s="272"/>
      <c r="F24" s="271"/>
      <c r="G24" s="271"/>
      <c r="H24" s="273"/>
      <c r="I24" s="15" t="s">
        <v>250</v>
      </c>
      <c r="J24" s="270"/>
      <c r="K24" s="272"/>
      <c r="L24" s="277">
        <v>3</v>
      </c>
    </row>
    <row r="25" ht="15" spans="1:12">
      <c r="A25" s="263"/>
      <c r="B25" s="269"/>
      <c r="C25" s="271"/>
      <c r="D25" s="271"/>
      <c r="E25" s="38" t="s">
        <v>170</v>
      </c>
      <c r="F25" s="38"/>
      <c r="G25" s="38"/>
      <c r="H25" s="38"/>
      <c r="I25" s="38"/>
      <c r="J25" s="39"/>
      <c r="K25" s="40"/>
      <c r="L25" s="41">
        <f>SUM(L15:L24)</f>
        <v>18.5</v>
      </c>
    </row>
    <row r="26" ht="15" spans="1:12">
      <c r="A26" s="263"/>
      <c r="B26" s="269"/>
      <c r="C26" s="271"/>
      <c r="D26" s="271"/>
      <c r="E26" s="272" t="s">
        <v>171</v>
      </c>
      <c r="F26" s="272" t="s">
        <v>133</v>
      </c>
      <c r="G26" s="271">
        <v>1</v>
      </c>
      <c r="H26" s="274" t="s">
        <v>270</v>
      </c>
      <c r="I26" s="15" t="s">
        <v>60</v>
      </c>
      <c r="J26" s="276"/>
      <c r="K26" s="272"/>
      <c r="L26" s="277"/>
    </row>
    <row r="27" ht="15" spans="1:12">
      <c r="A27" s="263"/>
      <c r="B27" s="269"/>
      <c r="C27" s="271"/>
      <c r="D27" s="271"/>
      <c r="E27" s="272"/>
      <c r="F27" s="272"/>
      <c r="G27" s="271">
        <v>2</v>
      </c>
      <c r="H27" s="273" t="s">
        <v>271</v>
      </c>
      <c r="I27" s="15" t="s">
        <v>60</v>
      </c>
      <c r="J27" s="276"/>
      <c r="K27" s="272"/>
      <c r="L27" s="277"/>
    </row>
    <row r="28" ht="15" spans="1:12">
      <c r="A28" s="263"/>
      <c r="B28" s="269"/>
      <c r="C28" s="271"/>
      <c r="D28" s="271"/>
      <c r="E28" s="272"/>
      <c r="F28" s="272"/>
      <c r="G28" s="271">
        <v>3</v>
      </c>
      <c r="H28" s="273" t="s">
        <v>272</v>
      </c>
      <c r="I28" s="15" t="s">
        <v>250</v>
      </c>
      <c r="J28" s="276"/>
      <c r="K28" s="272"/>
      <c r="L28" s="277"/>
    </row>
  </sheetData>
  <mergeCells count="35">
    <mergeCell ref="E8:H8"/>
    <mergeCell ref="E12:H12"/>
    <mergeCell ref="E25:H25"/>
    <mergeCell ref="A2:A10"/>
    <mergeCell ref="A11:A14"/>
    <mergeCell ref="A15:A28"/>
    <mergeCell ref="B2:B10"/>
    <mergeCell ref="B11:B14"/>
    <mergeCell ref="B15:B28"/>
    <mergeCell ref="C2:C10"/>
    <mergeCell ref="C11:C14"/>
    <mergeCell ref="C15:C28"/>
    <mergeCell ref="D2:D10"/>
    <mergeCell ref="D11:D14"/>
    <mergeCell ref="D15:D28"/>
    <mergeCell ref="E2:E7"/>
    <mergeCell ref="E9:E10"/>
    <mergeCell ref="E13:E14"/>
    <mergeCell ref="E15:E24"/>
    <mergeCell ref="E26:E28"/>
    <mergeCell ref="F2:F7"/>
    <mergeCell ref="F9:F10"/>
    <mergeCell ref="F13:F14"/>
    <mergeCell ref="F15:F24"/>
    <mergeCell ref="F26:F28"/>
    <mergeCell ref="G15:G16"/>
    <mergeCell ref="G17:G18"/>
    <mergeCell ref="G19:G24"/>
    <mergeCell ref="H15:H16"/>
    <mergeCell ref="H17:H18"/>
    <mergeCell ref="H19:H24"/>
    <mergeCell ref="J5:J6"/>
    <mergeCell ref="J15:J16"/>
    <mergeCell ref="J17:J18"/>
    <mergeCell ref="J19:J24"/>
  </mergeCell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27"/>
  <sheetViews>
    <sheetView workbookViewId="0">
      <pane ySplit="1" topLeftCell="A8" activePane="bottomLeft" state="frozen"/>
      <selection/>
      <selection pane="bottomLeft" activeCell="H9" sqref="H9:H12"/>
    </sheetView>
  </sheetViews>
  <sheetFormatPr defaultColWidth="9.13888888888889" defaultRowHeight="13.2"/>
  <cols>
    <col min="1" max="1" width="22.4259259259259" style="1" customWidth="1"/>
    <col min="2" max="2" width="11.712962962963" style="1" customWidth="1"/>
    <col min="3" max="3" width="12.5" style="1"/>
    <col min="4" max="7" width="9.13888888888889" style="1"/>
    <col min="8" max="8" width="59.712962962963" style="1" customWidth="1"/>
    <col min="9" max="11" width="9.13888888888889" style="1"/>
    <col min="12" max="12" width="19.5740740740741" style="2" customWidth="1"/>
    <col min="13" max="16384" width="9.13888888888889" style="1"/>
  </cols>
  <sheetData>
    <row r="1" ht="51.75" customHeight="1" spans="1:26">
      <c r="A1" s="3" t="s">
        <v>145</v>
      </c>
      <c r="B1" s="4" t="s">
        <v>6</v>
      </c>
      <c r="C1" s="3" t="s">
        <v>146</v>
      </c>
      <c r="D1" s="3" t="s">
        <v>147</v>
      </c>
      <c r="E1" s="4" t="s">
        <v>148</v>
      </c>
      <c r="F1" s="3" t="s">
        <v>149</v>
      </c>
      <c r="G1" s="3" t="s">
        <v>1</v>
      </c>
      <c r="H1" s="5" t="s">
        <v>150</v>
      </c>
      <c r="I1" s="3" t="s">
        <v>151</v>
      </c>
      <c r="J1" s="6" t="s">
        <v>152</v>
      </c>
      <c r="K1" s="3" t="s">
        <v>153</v>
      </c>
      <c r="L1" s="7" t="s">
        <v>154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" spans="1:26">
      <c r="A2" s="209" t="s">
        <v>273</v>
      </c>
      <c r="B2" s="210" t="s">
        <v>67</v>
      </c>
      <c r="C2" s="211" t="s">
        <v>274</v>
      </c>
      <c r="D2" s="212"/>
      <c r="E2" s="213" t="s">
        <v>157</v>
      </c>
      <c r="F2" s="212" t="s">
        <v>73</v>
      </c>
      <c r="G2" s="27">
        <v>1</v>
      </c>
      <c r="H2" s="214"/>
      <c r="I2" s="215"/>
      <c r="J2" s="114"/>
      <c r="K2" s="216"/>
      <c r="L2" s="217"/>
    </row>
    <row r="3" ht="15" spans="1:26">
      <c r="A3" s="218"/>
      <c r="B3" s="219"/>
      <c r="C3" s="220"/>
      <c r="D3" s="216"/>
      <c r="E3" s="221"/>
      <c r="F3" s="216"/>
      <c r="G3" s="13">
        <v>2</v>
      </c>
      <c r="H3" s="117"/>
      <c r="I3" s="215"/>
      <c r="J3" s="114"/>
      <c r="K3" s="216"/>
      <c r="L3" s="217"/>
    </row>
    <row r="4" ht="15" spans="1:26">
      <c r="A4" s="218"/>
      <c r="B4" s="219"/>
      <c r="C4" s="220"/>
      <c r="D4" s="216"/>
      <c r="E4" s="222"/>
      <c r="F4" s="223"/>
      <c r="G4" s="11">
        <v>3</v>
      </c>
      <c r="H4" s="224"/>
      <c r="I4" s="215"/>
      <c r="J4" s="114"/>
      <c r="K4" s="215"/>
      <c r="L4" s="217"/>
    </row>
    <row r="5" ht="15" spans="1:26">
      <c r="A5" s="218"/>
      <c r="B5" s="219"/>
      <c r="C5" s="220"/>
      <c r="D5" s="216"/>
      <c r="E5" s="225" t="s">
        <v>170</v>
      </c>
      <c r="F5" s="226"/>
      <c r="G5" s="226"/>
      <c r="H5" s="227"/>
      <c r="I5" s="228"/>
      <c r="J5" s="229"/>
      <c r="K5" s="230"/>
      <c r="L5" s="231">
        <f>SUM(L2:L4)</f>
        <v>0</v>
      </c>
    </row>
    <row r="6" ht="15.6" spans="1:26">
      <c r="A6" s="218"/>
      <c r="B6" s="219"/>
      <c r="C6" s="220"/>
      <c r="D6" s="216"/>
      <c r="E6" s="213" t="s">
        <v>171</v>
      </c>
      <c r="F6" s="232" t="s">
        <v>73</v>
      </c>
      <c r="G6" s="27">
        <v>1</v>
      </c>
      <c r="H6" s="233"/>
      <c r="I6" s="216"/>
      <c r="J6" s="234"/>
      <c r="K6" s="221"/>
      <c r="L6" s="217"/>
    </row>
    <row r="7" ht="15.6" spans="1:26">
      <c r="A7" s="218"/>
      <c r="B7" s="219"/>
      <c r="C7" s="220"/>
      <c r="D7" s="216"/>
      <c r="E7" s="221"/>
      <c r="F7" s="235"/>
      <c r="G7" s="13">
        <v>2</v>
      </c>
      <c r="H7" s="236"/>
      <c r="I7" s="221"/>
      <c r="J7" s="234"/>
      <c r="K7" s="221"/>
      <c r="L7" s="217"/>
    </row>
    <row r="8" ht="79" customHeight="1" spans="1:26">
      <c r="A8" s="209" t="s">
        <v>275</v>
      </c>
      <c r="B8" s="210" t="s">
        <v>67</v>
      </c>
      <c r="C8" s="211" t="s">
        <v>276</v>
      </c>
      <c r="D8" s="212"/>
      <c r="E8" s="213" t="s">
        <v>157</v>
      </c>
      <c r="F8" s="212" t="s">
        <v>73</v>
      </c>
      <c r="G8" s="13">
        <v>1</v>
      </c>
      <c r="H8" s="237" t="s">
        <v>277</v>
      </c>
      <c r="I8" s="238" t="s">
        <v>79</v>
      </c>
      <c r="J8" s="114">
        <v>1</v>
      </c>
      <c r="K8" s="216"/>
      <c r="L8" s="217">
        <v>3.5</v>
      </c>
    </row>
    <row r="9" ht="63" customHeight="1" spans="1:26">
      <c r="A9" s="209"/>
      <c r="B9" s="210"/>
      <c r="C9" s="211"/>
      <c r="D9" s="212"/>
      <c r="E9" s="213"/>
      <c r="F9" s="212"/>
      <c r="G9" s="13">
        <v>2</v>
      </c>
      <c r="H9" s="239" t="s">
        <v>278</v>
      </c>
      <c r="I9" s="238" t="s">
        <v>279</v>
      </c>
      <c r="J9" s="114">
        <v>1</v>
      </c>
      <c r="K9" s="216"/>
      <c r="L9" s="217">
        <v>4</v>
      </c>
    </row>
    <row r="10" ht="18" customHeight="1" spans="1:26">
      <c r="A10" s="209"/>
      <c r="B10" s="210"/>
      <c r="C10" s="211"/>
      <c r="D10" s="212"/>
      <c r="E10" s="213"/>
      <c r="F10" s="212"/>
      <c r="G10" s="13">
        <v>3</v>
      </c>
      <c r="H10" s="240"/>
      <c r="I10" s="238" t="s">
        <v>67</v>
      </c>
      <c r="J10" s="114">
        <v>1</v>
      </c>
      <c r="K10" s="216"/>
      <c r="L10" s="217">
        <v>1</v>
      </c>
    </row>
    <row r="11" ht="15" spans="1:26">
      <c r="A11" s="209"/>
      <c r="B11" s="210"/>
      <c r="C11" s="211"/>
      <c r="D11" s="212"/>
      <c r="E11" s="213"/>
      <c r="F11" s="212"/>
      <c r="G11" s="13">
        <v>4</v>
      </c>
      <c r="H11" s="240"/>
      <c r="I11" s="238" t="s">
        <v>280</v>
      </c>
      <c r="J11" s="114">
        <v>1</v>
      </c>
      <c r="K11" s="216"/>
      <c r="L11" s="217">
        <v>4</v>
      </c>
    </row>
    <row r="12" ht="27" customHeight="1" spans="1:26">
      <c r="A12" s="209"/>
      <c r="B12" s="210"/>
      <c r="C12" s="211"/>
      <c r="D12" s="212"/>
      <c r="E12" s="213"/>
      <c r="F12" s="212"/>
      <c r="G12" s="13">
        <v>5</v>
      </c>
      <c r="H12" s="241"/>
      <c r="I12" s="238" t="s">
        <v>281</v>
      </c>
      <c r="J12" s="114">
        <v>1</v>
      </c>
      <c r="K12" s="216"/>
      <c r="L12" s="217">
        <v>2</v>
      </c>
    </row>
    <row r="13" ht="15" spans="1:26">
      <c r="A13" s="209"/>
      <c r="B13" s="210"/>
      <c r="C13" s="211"/>
      <c r="D13" s="212"/>
      <c r="E13" s="242" t="s">
        <v>170</v>
      </c>
      <c r="F13" s="242"/>
      <c r="G13" s="242"/>
      <c r="H13" s="242"/>
      <c r="I13" s="242"/>
      <c r="J13" s="229"/>
      <c r="K13" s="230"/>
      <c r="L13" s="231">
        <f>SUM(L8:L12)</f>
        <v>14.5</v>
      </c>
    </row>
    <row r="14" ht="15" spans="1:26">
      <c r="A14" s="209"/>
      <c r="B14" s="210"/>
      <c r="C14" s="211"/>
      <c r="D14" s="212"/>
      <c r="E14" s="221" t="s">
        <v>171</v>
      </c>
      <c r="F14" s="221" t="s">
        <v>73</v>
      </c>
      <c r="G14" s="13">
        <v>1</v>
      </c>
      <c r="H14" s="243"/>
      <c r="I14" s="238"/>
      <c r="J14" s="244"/>
      <c r="K14" s="221"/>
      <c r="L14" s="217"/>
    </row>
    <row r="15" ht="15" spans="1:26">
      <c r="A15" s="209"/>
      <c r="B15" s="210"/>
      <c r="C15" s="211"/>
      <c r="D15" s="212"/>
      <c r="E15" s="221"/>
      <c r="F15" s="221"/>
      <c r="G15" s="13">
        <v>2</v>
      </c>
      <c r="H15" s="243"/>
      <c r="I15" s="238"/>
      <c r="J15" s="244"/>
      <c r="K15" s="221"/>
      <c r="L15" s="217"/>
    </row>
    <row r="16" ht="60" spans="1:26">
      <c r="A16" s="218" t="s">
        <v>282</v>
      </c>
      <c r="B16" s="219" t="s">
        <v>67</v>
      </c>
      <c r="C16" s="220" t="s">
        <v>283</v>
      </c>
      <c r="D16" s="216"/>
      <c r="E16" s="222" t="s">
        <v>157</v>
      </c>
      <c r="F16" s="223" t="s">
        <v>73</v>
      </c>
      <c r="G16" s="13">
        <v>1</v>
      </c>
      <c r="H16" s="245" t="s">
        <v>284</v>
      </c>
      <c r="I16" s="238" t="s">
        <v>67</v>
      </c>
      <c r="J16" s="114">
        <v>1</v>
      </c>
      <c r="K16" s="216"/>
      <c r="L16" s="217">
        <v>3</v>
      </c>
    </row>
    <row r="17" ht="15" spans="1:12">
      <c r="A17" s="218"/>
      <c r="B17" s="219"/>
      <c r="C17" s="220"/>
      <c r="D17" s="216"/>
      <c r="E17" s="222"/>
      <c r="F17" s="223"/>
      <c r="G17" s="13">
        <v>2</v>
      </c>
      <c r="H17" s="246"/>
      <c r="I17" s="238"/>
      <c r="J17" s="114"/>
      <c r="K17" s="216"/>
      <c r="L17" s="217"/>
    </row>
    <row r="18" ht="15" customHeight="1" spans="1:12">
      <c r="A18" s="218"/>
      <c r="B18" s="219"/>
      <c r="C18" s="220"/>
      <c r="D18" s="216"/>
      <c r="E18" s="222"/>
      <c r="F18" s="223"/>
      <c r="G18" s="13">
        <v>3</v>
      </c>
      <c r="H18" s="247"/>
      <c r="I18" s="238"/>
      <c r="J18" s="114"/>
      <c r="K18" s="216"/>
      <c r="L18" s="217"/>
    </row>
    <row r="19" ht="15" spans="1:12">
      <c r="A19" s="218"/>
      <c r="B19" s="219"/>
      <c r="C19" s="220"/>
      <c r="D19" s="216"/>
      <c r="E19" s="242" t="s">
        <v>170</v>
      </c>
      <c r="F19" s="242"/>
      <c r="G19" s="242"/>
      <c r="H19" s="242"/>
      <c r="I19" s="242"/>
      <c r="J19" s="229"/>
      <c r="K19" s="230"/>
      <c r="L19" s="231">
        <f>SUM(L16:L18)</f>
        <v>3</v>
      </c>
    </row>
    <row r="20" ht="15" spans="1:12">
      <c r="A20" s="218"/>
      <c r="B20" s="219"/>
      <c r="C20" s="220"/>
      <c r="D20" s="216"/>
      <c r="E20" s="221" t="s">
        <v>171</v>
      </c>
      <c r="F20" s="221" t="s">
        <v>73</v>
      </c>
      <c r="G20" s="13">
        <v>1</v>
      </c>
      <c r="H20" s="243"/>
      <c r="I20" s="238"/>
      <c r="J20" s="244"/>
      <c r="K20" s="221"/>
      <c r="L20" s="217"/>
    </row>
    <row r="21" ht="15" spans="1:12">
      <c r="A21" s="218"/>
      <c r="B21" s="219"/>
      <c r="C21" s="220"/>
      <c r="D21" s="216"/>
      <c r="E21" s="221"/>
      <c r="F21" s="221"/>
      <c r="G21" s="13">
        <v>2</v>
      </c>
      <c r="H21" s="248"/>
      <c r="I21" s="238"/>
      <c r="J21" s="244"/>
      <c r="K21" s="221"/>
      <c r="L21" s="217"/>
    </row>
    <row r="22" ht="15" spans="1:12">
      <c r="A22" s="249" t="s">
        <v>285</v>
      </c>
      <c r="B22" s="250" t="s">
        <v>79</v>
      </c>
      <c r="C22" s="251" t="s">
        <v>274</v>
      </c>
      <c r="D22" s="252"/>
      <c r="E22" s="253" t="s">
        <v>157</v>
      </c>
      <c r="F22" s="252" t="s">
        <v>73</v>
      </c>
      <c r="G22" s="13">
        <v>1</v>
      </c>
      <c r="H22" s="239"/>
      <c r="I22" s="238"/>
      <c r="J22" s="114"/>
      <c r="K22" s="254"/>
      <c r="L22" s="100"/>
    </row>
    <row r="23" ht="15" spans="1:12">
      <c r="A23" s="249"/>
      <c r="B23" s="250"/>
      <c r="C23" s="251"/>
      <c r="D23" s="252"/>
      <c r="E23" s="253"/>
      <c r="F23" s="252"/>
      <c r="G23" s="13">
        <v>2</v>
      </c>
      <c r="H23" s="240"/>
      <c r="I23" s="238"/>
      <c r="J23" s="114"/>
      <c r="K23" s="254"/>
      <c r="L23" s="100"/>
    </row>
    <row r="24" ht="15" spans="1:12">
      <c r="A24" s="249"/>
      <c r="B24" s="250"/>
      <c r="C24" s="251"/>
      <c r="D24" s="252"/>
      <c r="E24" s="253"/>
      <c r="F24" s="252"/>
      <c r="G24" s="13">
        <v>3</v>
      </c>
      <c r="H24" s="255"/>
      <c r="I24" s="238"/>
      <c r="J24" s="98"/>
      <c r="K24" s="254"/>
      <c r="L24" s="100"/>
    </row>
    <row r="25" ht="15" spans="1:12">
      <c r="A25" s="249"/>
      <c r="B25" s="250"/>
      <c r="C25" s="251"/>
      <c r="D25" s="252"/>
      <c r="E25" s="256" t="s">
        <v>170</v>
      </c>
      <c r="F25" s="226"/>
      <c r="G25" s="226"/>
      <c r="H25" s="257"/>
      <c r="I25" s="39"/>
      <c r="J25" s="39"/>
      <c r="K25" s="258"/>
      <c r="L25" s="41">
        <f>SUM(L22:L24)</f>
        <v>0</v>
      </c>
    </row>
    <row r="26" ht="15" spans="1:12">
      <c r="A26" s="249"/>
      <c r="B26" s="250"/>
      <c r="C26" s="251"/>
      <c r="D26" s="252"/>
      <c r="E26" s="253" t="s">
        <v>171</v>
      </c>
      <c r="F26" s="253" t="s">
        <v>73</v>
      </c>
      <c r="G26" s="13">
        <v>1</v>
      </c>
      <c r="H26" s="259"/>
      <c r="I26" s="238"/>
      <c r="J26" s="98"/>
      <c r="K26" s="253"/>
      <c r="L26" s="100"/>
    </row>
    <row r="27" ht="15" spans="1:12">
      <c r="A27" s="249"/>
      <c r="B27" s="250"/>
      <c r="C27" s="251"/>
      <c r="D27" s="252"/>
      <c r="E27" s="253"/>
      <c r="F27" s="253"/>
      <c r="G27" s="13">
        <v>2</v>
      </c>
      <c r="H27" s="260"/>
      <c r="I27" s="238"/>
      <c r="J27" s="98"/>
      <c r="K27" s="253"/>
      <c r="L27" s="100"/>
    </row>
  </sheetData>
  <mergeCells count="39">
    <mergeCell ref="E5:H5"/>
    <mergeCell ref="E13:H13"/>
    <mergeCell ref="E19:H19"/>
    <mergeCell ref="E25:H25"/>
    <mergeCell ref="A2:A7"/>
    <mergeCell ref="A8:A15"/>
    <mergeCell ref="A16:A21"/>
    <mergeCell ref="A22:A27"/>
    <mergeCell ref="B2:B7"/>
    <mergeCell ref="B8:B15"/>
    <mergeCell ref="B16:B21"/>
    <mergeCell ref="B22:B27"/>
    <mergeCell ref="C2:C7"/>
    <mergeCell ref="C8:C15"/>
    <mergeCell ref="C16:C21"/>
    <mergeCell ref="C22:C27"/>
    <mergeCell ref="D2:D7"/>
    <mergeCell ref="D8:D15"/>
    <mergeCell ref="D16:D21"/>
    <mergeCell ref="D22:D27"/>
    <mergeCell ref="E2:E4"/>
    <mergeCell ref="E6:E7"/>
    <mergeCell ref="E8:E12"/>
    <mergeCell ref="E14:E15"/>
    <mergeCell ref="E16:E18"/>
    <mergeCell ref="E20:E21"/>
    <mergeCell ref="E22:E24"/>
    <mergeCell ref="E26:E27"/>
    <mergeCell ref="F2:F4"/>
    <mergeCell ref="F6:F7"/>
    <mergeCell ref="F8:F12"/>
    <mergeCell ref="F14:F15"/>
    <mergeCell ref="F16:F18"/>
    <mergeCell ref="F20:F21"/>
    <mergeCell ref="F22:F24"/>
    <mergeCell ref="F26:F27"/>
    <mergeCell ref="H2:H3"/>
    <mergeCell ref="H9:H12"/>
    <mergeCell ref="H22:H24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10"/>
  <sheetViews>
    <sheetView zoomScale="130" zoomScaleNormal="130" workbookViewId="0">
      <pane ySplit="1" topLeftCell="A2" activePane="bottomLeft" state="frozen"/>
      <selection/>
      <selection pane="bottomLeft" activeCell="K16" sqref="K16"/>
    </sheetView>
  </sheetViews>
  <sheetFormatPr defaultColWidth="9.16666666666667" defaultRowHeight="13.2"/>
  <cols>
    <col min="1" max="1" width="22.4166666666667" style="177" customWidth="1"/>
    <col min="2" max="2" width="11.75" style="177" customWidth="1"/>
    <col min="3" max="7" width="9.16666666666667" style="177"/>
    <col min="8" max="8" width="59.75" style="177" customWidth="1"/>
    <col min="9" max="11" width="9.16666666666667" style="177"/>
    <col min="12" max="12" width="19.5833333333333" style="178" customWidth="1"/>
    <col min="13" max="16384" width="9.16666666666667" style="177"/>
  </cols>
  <sheetData>
    <row r="1" ht="69.6" spans="1:26">
      <c r="A1" s="179" t="s">
        <v>145</v>
      </c>
      <c r="B1" s="180" t="s">
        <v>6</v>
      </c>
      <c r="C1" s="179" t="s">
        <v>146</v>
      </c>
      <c r="D1" s="179" t="s">
        <v>147</v>
      </c>
      <c r="E1" s="180" t="s">
        <v>148</v>
      </c>
      <c r="F1" s="179" t="s">
        <v>149</v>
      </c>
      <c r="G1" s="179" t="s">
        <v>1</v>
      </c>
      <c r="H1" s="181" t="s">
        <v>150</v>
      </c>
      <c r="I1" s="179" t="s">
        <v>151</v>
      </c>
      <c r="J1" s="182" t="s">
        <v>152</v>
      </c>
      <c r="K1" s="179" t="s">
        <v>153</v>
      </c>
      <c r="L1" s="183" t="s">
        <v>154</v>
      </c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ht="30" customHeight="1" spans="1:26">
      <c r="A2" s="185" t="s">
        <v>87</v>
      </c>
      <c r="B2" s="186" t="s">
        <v>85</v>
      </c>
      <c r="C2" s="187"/>
      <c r="D2" s="188"/>
      <c r="E2" s="189" t="s">
        <v>157</v>
      </c>
      <c r="F2" s="188" t="s">
        <v>187</v>
      </c>
      <c r="G2" s="190">
        <v>1</v>
      </c>
      <c r="H2" s="191" t="s">
        <v>286</v>
      </c>
      <c r="I2" s="192" t="s">
        <v>85</v>
      </c>
      <c r="J2" s="193">
        <v>0.7</v>
      </c>
      <c r="K2" s="194"/>
      <c r="L2" s="195">
        <v>1</v>
      </c>
    </row>
    <row r="3" ht="30" customHeight="1" spans="1:26">
      <c r="A3" s="196"/>
      <c r="B3" s="197"/>
      <c r="C3" s="198"/>
      <c r="D3" s="199"/>
      <c r="E3" s="200"/>
      <c r="F3" s="199"/>
      <c r="G3" s="190">
        <v>2</v>
      </c>
      <c r="H3" s="191" t="s">
        <v>287</v>
      </c>
      <c r="I3" s="192" t="s">
        <v>288</v>
      </c>
      <c r="J3" s="193">
        <v>1</v>
      </c>
      <c r="K3" s="194"/>
      <c r="L3" s="195">
        <v>0.5</v>
      </c>
    </row>
    <row r="4" ht="30" customHeight="1" spans="1:26">
      <c r="A4" s="196"/>
      <c r="B4" s="197"/>
      <c r="C4" s="198"/>
      <c r="D4" s="199"/>
      <c r="E4" s="200"/>
      <c r="F4" s="201"/>
      <c r="G4" s="190">
        <v>3</v>
      </c>
      <c r="H4" s="191" t="s">
        <v>289</v>
      </c>
      <c r="I4" s="192" t="s">
        <v>85</v>
      </c>
      <c r="J4" s="193">
        <v>1</v>
      </c>
      <c r="K4" s="194"/>
      <c r="L4" s="195">
        <v>3</v>
      </c>
    </row>
    <row r="5" ht="27" customHeight="1" spans="1:26">
      <c r="A5" s="196"/>
      <c r="B5" s="197"/>
      <c r="C5" s="198"/>
      <c r="D5" s="199"/>
      <c r="E5" s="202" t="s">
        <v>170</v>
      </c>
      <c r="F5" s="202"/>
      <c r="G5" s="202"/>
      <c r="H5" s="202"/>
      <c r="I5" s="202"/>
      <c r="J5" s="203"/>
      <c r="K5" s="204"/>
      <c r="L5" s="205">
        <f>SUM(L2:L4)</f>
        <v>4.5</v>
      </c>
    </row>
    <row r="6" ht="25.5" customHeight="1" spans="1:26">
      <c r="A6" s="196"/>
      <c r="B6" s="197"/>
      <c r="C6" s="198"/>
      <c r="D6" s="199"/>
      <c r="E6" s="200"/>
      <c r="F6" s="194" t="s">
        <v>73</v>
      </c>
      <c r="G6" s="194">
        <v>1</v>
      </c>
      <c r="H6" s="191" t="s">
        <v>290</v>
      </c>
      <c r="I6" s="190" t="s">
        <v>85</v>
      </c>
      <c r="J6" s="206">
        <v>1</v>
      </c>
      <c r="K6" s="194"/>
      <c r="L6" s="207">
        <v>4</v>
      </c>
    </row>
    <row r="7" ht="26" customHeight="1" spans="1:26">
      <c r="A7" s="179" t="s">
        <v>291</v>
      </c>
      <c r="B7" s="195" t="s">
        <v>85</v>
      </c>
      <c r="C7" s="193">
        <v>0.95</v>
      </c>
      <c r="D7" s="190"/>
      <c r="E7" s="194" t="s">
        <v>157</v>
      </c>
      <c r="F7" s="190" t="s">
        <v>187</v>
      </c>
      <c r="G7" s="190">
        <v>1</v>
      </c>
      <c r="H7" s="208" t="s">
        <v>292</v>
      </c>
      <c r="I7" s="192" t="s">
        <v>293</v>
      </c>
      <c r="J7" s="206">
        <v>1</v>
      </c>
      <c r="K7" s="194"/>
      <c r="L7" s="207">
        <v>4</v>
      </c>
    </row>
    <row r="8" ht="26" customHeight="1" spans="1:26">
      <c r="A8" s="179"/>
      <c r="B8" s="195"/>
      <c r="C8" s="190"/>
      <c r="D8" s="190"/>
      <c r="E8" s="194"/>
      <c r="F8" s="190"/>
      <c r="G8" s="190">
        <v>3</v>
      </c>
      <c r="H8" s="208" t="s">
        <v>294</v>
      </c>
      <c r="I8" s="192" t="s">
        <v>281</v>
      </c>
      <c r="J8" s="206">
        <v>1</v>
      </c>
      <c r="K8" s="194"/>
      <c r="L8" s="207">
        <v>2</v>
      </c>
    </row>
    <row r="9" ht="14.5" customHeight="1" spans="1:26">
      <c r="A9" s="179"/>
      <c r="B9" s="195"/>
      <c r="C9" s="190"/>
      <c r="D9" s="190"/>
      <c r="E9" s="202" t="s">
        <v>170</v>
      </c>
      <c r="F9" s="202"/>
      <c r="G9" s="202"/>
      <c r="H9" s="202"/>
      <c r="I9" s="202"/>
      <c r="J9" s="203"/>
      <c r="K9" s="204"/>
      <c r="L9" s="205">
        <f>SUM(L7:L8)</f>
        <v>6</v>
      </c>
    </row>
    <row r="10" ht="22.5" customHeight="1" spans="1:26">
      <c r="A10" s="179"/>
      <c r="B10" s="195"/>
      <c r="C10" s="190"/>
      <c r="D10" s="190"/>
      <c r="E10" s="194" t="s">
        <v>171</v>
      </c>
      <c r="F10" s="190" t="s">
        <v>187</v>
      </c>
      <c r="G10" s="190">
        <v>1</v>
      </c>
      <c r="H10" s="208" t="s">
        <v>292</v>
      </c>
      <c r="I10" s="192" t="s">
        <v>293</v>
      </c>
      <c r="J10" s="206"/>
      <c r="K10" s="194"/>
      <c r="L10" s="207">
        <v>4</v>
      </c>
    </row>
  </sheetData>
  <mergeCells count="14">
    <mergeCell ref="E5:H5"/>
    <mergeCell ref="E9:H9"/>
    <mergeCell ref="A2:A6"/>
    <mergeCell ref="A7:A10"/>
    <mergeCell ref="B2:B6"/>
    <mergeCell ref="B7:B10"/>
    <mergeCell ref="C2:C6"/>
    <mergeCell ref="C7:C10"/>
    <mergeCell ref="D2:D6"/>
    <mergeCell ref="D7:D10"/>
    <mergeCell ref="E2:E4"/>
    <mergeCell ref="E7:E8"/>
    <mergeCell ref="F2:F4"/>
    <mergeCell ref="F7:F8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L36"/>
  <sheetViews>
    <sheetView workbookViewId="0">
      <selection activeCell="I2" sqref="I2"/>
    </sheetView>
  </sheetViews>
  <sheetFormatPr defaultColWidth="26.9074074074074" defaultRowHeight="13.2"/>
  <cols>
    <col min="1" max="1" width="26.7222222222222" style="120" customWidth="1"/>
    <col min="2" max="3" width="8.5462962962963" style="120" customWidth="1"/>
    <col min="4" max="4" width="12.3611111111111" style="120" customWidth="1"/>
    <col min="5" max="5" width="9.26851851851852" style="120" customWidth="1"/>
    <col min="6" max="6" width="8.5462962962963" style="120" customWidth="1"/>
    <col min="7" max="7" width="4.90740740740741" style="120" customWidth="1"/>
    <col min="8" max="8" width="70.7222222222222" style="120" customWidth="1"/>
    <col min="9" max="9" width="22.1759259259259" style="120" customWidth="1"/>
    <col min="10" max="10" width="6.72222222222222" style="120" customWidth="1"/>
    <col min="11" max="11" width="14.3611111111111" style="120" customWidth="1"/>
    <col min="12" max="12" width="14.3611111111111" style="121" customWidth="1"/>
    <col min="13" max="16384" width="26.9074074074074" style="120"/>
  </cols>
  <sheetData>
    <row r="1" ht="15.6" spans="1:12">
      <c r="A1" s="122" t="s">
        <v>145</v>
      </c>
      <c r="B1" s="123" t="s">
        <v>6</v>
      </c>
      <c r="C1" s="124" t="s">
        <v>146</v>
      </c>
      <c r="D1" s="124" t="s">
        <v>147</v>
      </c>
      <c r="E1" s="123" t="s">
        <v>148</v>
      </c>
      <c r="F1" s="124" t="s">
        <v>149</v>
      </c>
      <c r="G1" s="124" t="s">
        <v>1</v>
      </c>
      <c r="H1" s="125" t="s">
        <v>150</v>
      </c>
      <c r="I1" s="124" t="s">
        <v>151</v>
      </c>
      <c r="J1" s="126" t="s">
        <v>152</v>
      </c>
      <c r="K1" s="124" t="s">
        <v>153</v>
      </c>
      <c r="L1" s="127" t="s">
        <v>154</v>
      </c>
    </row>
    <row r="2" ht="24" spans="1:12">
      <c r="A2" s="128" t="s">
        <v>106</v>
      </c>
      <c r="B2" s="129" t="s">
        <v>107</v>
      </c>
      <c r="C2" s="130" t="s">
        <v>23</v>
      </c>
      <c r="D2" s="130"/>
      <c r="E2" s="131" t="s">
        <v>157</v>
      </c>
      <c r="F2" s="130" t="s">
        <v>73</v>
      </c>
      <c r="G2" s="123">
        <v>1</v>
      </c>
      <c r="H2" s="132" t="s">
        <v>295</v>
      </c>
      <c r="I2" s="133" t="s">
        <v>107</v>
      </c>
      <c r="J2" s="126">
        <v>1</v>
      </c>
      <c r="K2" s="124"/>
      <c r="L2" s="127">
        <v>0.2</v>
      </c>
    </row>
    <row r="3" spans="1:12">
      <c r="A3" s="134"/>
      <c r="B3" s="135"/>
      <c r="C3" s="136"/>
      <c r="D3" s="136"/>
      <c r="E3" s="137"/>
      <c r="F3" s="138"/>
      <c r="G3" s="123">
        <v>2</v>
      </c>
      <c r="H3" s="139"/>
      <c r="I3" s="140"/>
      <c r="J3" s="141"/>
      <c r="K3" s="130"/>
      <c r="L3" s="142"/>
    </row>
    <row r="4" spans="1:12">
      <c r="A4" s="134"/>
      <c r="B4" s="135"/>
      <c r="C4" s="136"/>
      <c r="D4" s="136"/>
      <c r="E4" s="137"/>
      <c r="F4" s="130" t="s">
        <v>181</v>
      </c>
      <c r="G4" s="143">
        <v>1</v>
      </c>
      <c r="H4" s="144" t="s">
        <v>296</v>
      </c>
      <c r="I4" s="133" t="s">
        <v>110</v>
      </c>
      <c r="J4" s="126">
        <v>1</v>
      </c>
      <c r="K4" s="124"/>
      <c r="L4" s="127">
        <v>0.5</v>
      </c>
    </row>
    <row r="5" spans="1:12">
      <c r="A5" s="134"/>
      <c r="B5" s="135"/>
      <c r="C5" s="136"/>
      <c r="D5" s="136"/>
      <c r="E5" s="145"/>
      <c r="F5" s="138"/>
      <c r="G5" s="143">
        <v>2</v>
      </c>
      <c r="H5" s="146"/>
      <c r="I5" s="133"/>
      <c r="J5" s="126"/>
      <c r="K5" s="124"/>
      <c r="L5" s="127"/>
    </row>
    <row r="6" spans="1:12">
      <c r="A6" s="134"/>
      <c r="B6" s="135"/>
      <c r="C6" s="136"/>
      <c r="D6" s="136"/>
      <c r="E6" s="147" t="s">
        <v>170</v>
      </c>
      <c r="F6" s="148"/>
      <c r="G6" s="148"/>
      <c r="H6" s="149"/>
      <c r="I6" s="150"/>
      <c r="J6" s="151"/>
      <c r="K6" s="152"/>
      <c r="L6" s="153">
        <f>SUM(L2:L5)</f>
        <v>0.7</v>
      </c>
    </row>
    <row r="7" spans="1:12">
      <c r="A7" s="154"/>
      <c r="B7" s="155"/>
      <c r="C7" s="138"/>
      <c r="D7" s="138"/>
      <c r="E7" s="123" t="s">
        <v>171</v>
      </c>
      <c r="F7" s="123" t="s">
        <v>73</v>
      </c>
      <c r="G7" s="123">
        <v>1</v>
      </c>
      <c r="H7" s="144"/>
      <c r="I7" s="133"/>
      <c r="J7" s="156"/>
      <c r="K7" s="123"/>
      <c r="L7" s="127"/>
    </row>
    <row r="8" ht="336" spans="1:12">
      <c r="A8" s="128" t="s">
        <v>297</v>
      </c>
      <c r="B8" s="129"/>
      <c r="C8" s="130">
        <v>35</v>
      </c>
      <c r="D8" s="130"/>
      <c r="E8" s="131" t="s">
        <v>157</v>
      </c>
      <c r="F8" s="130" t="s">
        <v>73</v>
      </c>
      <c r="G8" s="123">
        <v>1</v>
      </c>
      <c r="H8" s="132" t="s">
        <v>298</v>
      </c>
      <c r="I8" s="133" t="s">
        <v>299</v>
      </c>
      <c r="J8" s="126">
        <v>1</v>
      </c>
      <c r="K8" s="124"/>
      <c r="L8" s="127">
        <v>4</v>
      </c>
    </row>
    <row r="9" ht="264" spans="1:12">
      <c r="A9" s="134"/>
      <c r="B9" s="135"/>
      <c r="C9" s="136"/>
      <c r="D9" s="136"/>
      <c r="E9" s="137"/>
      <c r="F9" s="136"/>
      <c r="G9" s="123">
        <v>2</v>
      </c>
      <c r="H9" s="157" t="s">
        <v>300</v>
      </c>
      <c r="I9" s="133" t="s">
        <v>301</v>
      </c>
      <c r="J9" s="126">
        <v>1</v>
      </c>
      <c r="K9" s="124"/>
      <c r="L9" s="127">
        <v>4</v>
      </c>
    </row>
    <row r="10" ht="36" spans="1:12">
      <c r="A10" s="134"/>
      <c r="B10" s="135"/>
      <c r="C10" s="136"/>
      <c r="D10" s="136"/>
      <c r="E10" s="137"/>
      <c r="F10" s="136"/>
      <c r="G10" s="123">
        <v>3</v>
      </c>
      <c r="H10" s="132" t="s">
        <v>302</v>
      </c>
      <c r="I10" s="133" t="s">
        <v>303</v>
      </c>
      <c r="J10" s="126">
        <v>1</v>
      </c>
      <c r="K10" s="126"/>
      <c r="L10" s="127">
        <v>3</v>
      </c>
    </row>
    <row r="11" ht="26" customHeight="1" spans="1:12">
      <c r="A11" s="134"/>
      <c r="B11" s="135"/>
      <c r="C11" s="136"/>
      <c r="D11" s="136"/>
      <c r="E11" s="137"/>
      <c r="F11" s="136"/>
      <c r="G11" s="123">
        <v>4</v>
      </c>
      <c r="H11" s="158" t="s">
        <v>304</v>
      </c>
      <c r="I11" s="140" t="s">
        <v>305</v>
      </c>
      <c r="J11" s="141">
        <v>1</v>
      </c>
      <c r="K11" s="130"/>
      <c r="L11" s="142">
        <v>3</v>
      </c>
    </row>
    <row r="12" spans="1:12">
      <c r="A12" s="134"/>
      <c r="B12" s="135"/>
      <c r="C12" s="136"/>
      <c r="D12" s="136"/>
      <c r="E12" s="137"/>
      <c r="F12" s="136"/>
      <c r="G12" s="143">
        <v>5</v>
      </c>
      <c r="H12" s="159"/>
      <c r="I12" s="133" t="s">
        <v>306</v>
      </c>
      <c r="J12" s="160">
        <v>1</v>
      </c>
      <c r="K12" s="161"/>
      <c r="L12" s="162">
        <v>3</v>
      </c>
    </row>
    <row r="13" spans="1:12">
      <c r="A13" s="134"/>
      <c r="B13" s="135"/>
      <c r="C13" s="136"/>
      <c r="D13" s="136"/>
      <c r="E13" s="137"/>
      <c r="F13" s="136"/>
      <c r="G13" s="143">
        <v>6</v>
      </c>
      <c r="H13" s="163"/>
      <c r="I13" s="164"/>
      <c r="J13" s="165"/>
      <c r="K13" s="166"/>
      <c r="L13" s="162"/>
    </row>
    <row r="14" spans="1:12">
      <c r="A14" s="134"/>
      <c r="B14" s="135"/>
      <c r="C14" s="136"/>
      <c r="D14" s="136"/>
      <c r="E14" s="137"/>
      <c r="F14" s="138"/>
      <c r="G14" s="123">
        <v>7</v>
      </c>
      <c r="H14" s="167"/>
      <c r="I14" s="133"/>
      <c r="J14" s="126"/>
      <c r="K14" s="124"/>
      <c r="L14" s="168"/>
    </row>
    <row r="15" spans="1:12">
      <c r="A15" s="134"/>
      <c r="B15" s="135"/>
      <c r="C15" s="136"/>
      <c r="D15" s="136"/>
      <c r="E15" s="137"/>
      <c r="F15" s="131" t="s">
        <v>181</v>
      </c>
      <c r="G15" s="123">
        <v>1</v>
      </c>
      <c r="H15" s="125" t="s">
        <v>307</v>
      </c>
      <c r="I15" s="123" t="s">
        <v>110</v>
      </c>
      <c r="J15" s="169">
        <v>1</v>
      </c>
      <c r="K15" s="170"/>
      <c r="L15" s="127">
        <v>0.5</v>
      </c>
    </row>
    <row r="16" spans="1:12">
      <c r="A16" s="134"/>
      <c r="B16" s="135"/>
      <c r="C16" s="136"/>
      <c r="D16" s="136"/>
      <c r="E16" s="145"/>
      <c r="F16" s="145"/>
      <c r="G16" s="123">
        <v>2</v>
      </c>
      <c r="H16" s="171"/>
      <c r="I16" s="123"/>
      <c r="J16" s="169"/>
      <c r="K16" s="170"/>
      <c r="L16" s="127"/>
    </row>
    <row r="17" spans="1:12">
      <c r="A17" s="134"/>
      <c r="B17" s="135"/>
      <c r="C17" s="136"/>
      <c r="D17" s="136"/>
      <c r="E17" s="147" t="s">
        <v>170</v>
      </c>
      <c r="F17" s="148"/>
      <c r="G17" s="148"/>
      <c r="H17" s="149"/>
      <c r="I17" s="172"/>
      <c r="J17" s="173"/>
      <c r="K17" s="174"/>
      <c r="L17" s="175">
        <f>SUM(L8:L16)</f>
        <v>17.5</v>
      </c>
    </row>
    <row r="18" spans="1:12">
      <c r="A18" s="154"/>
      <c r="B18" s="155"/>
      <c r="C18" s="138"/>
      <c r="D18" s="138"/>
      <c r="E18" s="123" t="s">
        <v>171</v>
      </c>
      <c r="F18" s="123" t="s">
        <v>73</v>
      </c>
      <c r="G18" s="123">
        <v>1</v>
      </c>
      <c r="H18" s="144"/>
      <c r="I18" s="133"/>
      <c r="J18" s="156"/>
      <c r="K18" s="123"/>
      <c r="L18" s="127"/>
    </row>
    <row r="19" spans="1:12">
      <c r="A19" s="128" t="s">
        <v>308</v>
      </c>
      <c r="B19" s="129" t="s">
        <v>107</v>
      </c>
      <c r="C19" s="130">
        <v>15</v>
      </c>
      <c r="D19" s="130"/>
      <c r="E19" s="131" t="s">
        <v>157</v>
      </c>
      <c r="F19" s="130" t="s">
        <v>73</v>
      </c>
      <c r="G19" s="123">
        <v>1</v>
      </c>
      <c r="H19" s="132" t="s">
        <v>309</v>
      </c>
      <c r="I19" s="133" t="s">
        <v>107</v>
      </c>
      <c r="J19" s="126">
        <v>1</v>
      </c>
      <c r="K19" s="124"/>
      <c r="L19" s="127">
        <v>2</v>
      </c>
    </row>
    <row r="20" spans="1:12">
      <c r="A20" s="134"/>
      <c r="B20" s="135"/>
      <c r="C20" s="136"/>
      <c r="D20" s="136"/>
      <c r="E20" s="137"/>
      <c r="F20" s="136"/>
      <c r="G20" s="123">
        <v>2</v>
      </c>
      <c r="H20" s="157" t="s">
        <v>310</v>
      </c>
      <c r="I20" s="133" t="s">
        <v>107</v>
      </c>
      <c r="J20" s="126">
        <v>1</v>
      </c>
      <c r="K20" s="124"/>
      <c r="L20" s="127">
        <v>1</v>
      </c>
    </row>
    <row r="21" spans="1:12">
      <c r="A21" s="134"/>
      <c r="B21" s="135"/>
      <c r="C21" s="136"/>
      <c r="D21" s="136"/>
      <c r="E21" s="137"/>
      <c r="F21" s="136"/>
      <c r="G21" s="123">
        <v>3</v>
      </c>
      <c r="H21" s="132" t="s">
        <v>311</v>
      </c>
      <c r="I21" s="133" t="s">
        <v>107</v>
      </c>
      <c r="J21" s="126">
        <v>1</v>
      </c>
      <c r="K21" s="126"/>
      <c r="L21" s="127">
        <v>1</v>
      </c>
    </row>
    <row r="22" spans="1:12">
      <c r="A22" s="134"/>
      <c r="B22" s="135"/>
      <c r="C22" s="136"/>
      <c r="D22" s="136"/>
      <c r="E22" s="137"/>
      <c r="F22" s="136"/>
      <c r="G22" s="123">
        <v>4</v>
      </c>
      <c r="H22" s="144"/>
      <c r="I22" s="133"/>
      <c r="J22" s="126"/>
      <c r="K22" s="126"/>
      <c r="L22" s="127"/>
    </row>
    <row r="23" spans="1:12">
      <c r="A23" s="134"/>
      <c r="B23" s="135"/>
      <c r="C23" s="136"/>
      <c r="D23" s="136"/>
      <c r="E23" s="137"/>
      <c r="F23" s="136"/>
      <c r="G23" s="123">
        <v>5</v>
      </c>
      <c r="H23" s="144"/>
      <c r="I23" s="133"/>
      <c r="J23" s="126"/>
      <c r="K23" s="124"/>
      <c r="L23" s="127"/>
    </row>
    <row r="24" spans="1:12">
      <c r="A24" s="134"/>
      <c r="B24" s="135"/>
      <c r="C24" s="136"/>
      <c r="D24" s="136"/>
      <c r="E24" s="145"/>
      <c r="F24" s="138"/>
      <c r="G24" s="123">
        <v>6</v>
      </c>
      <c r="H24" s="144"/>
      <c r="I24" s="133"/>
      <c r="J24" s="126"/>
      <c r="K24" s="124"/>
      <c r="L24" s="127"/>
    </row>
    <row r="25" spans="1:12">
      <c r="A25" s="134"/>
      <c r="B25" s="135"/>
      <c r="C25" s="136"/>
      <c r="D25" s="136"/>
      <c r="E25" s="147" t="s">
        <v>170</v>
      </c>
      <c r="F25" s="148"/>
      <c r="G25" s="148"/>
      <c r="H25" s="149"/>
      <c r="I25" s="172"/>
      <c r="J25" s="173"/>
      <c r="K25" s="174"/>
      <c r="L25" s="175">
        <v>4</v>
      </c>
    </row>
    <row r="26" spans="1:12">
      <c r="A26" s="154"/>
      <c r="B26" s="155"/>
      <c r="C26" s="138"/>
      <c r="D26" s="138"/>
      <c r="E26" s="123" t="s">
        <v>171</v>
      </c>
      <c r="F26" s="123" t="s">
        <v>73</v>
      </c>
      <c r="G26" s="123">
        <v>1</v>
      </c>
      <c r="H26" s="144"/>
      <c r="I26" s="133"/>
      <c r="J26" s="156"/>
      <c r="K26" s="123"/>
      <c r="L26" s="127"/>
    </row>
    <row r="27" ht="72" spans="1:12">
      <c r="A27" s="128" t="s">
        <v>312</v>
      </c>
      <c r="B27" s="129" t="s">
        <v>22</v>
      </c>
      <c r="C27" s="130" t="s">
        <v>23</v>
      </c>
      <c r="D27" s="130"/>
      <c r="E27" s="131" t="s">
        <v>157</v>
      </c>
      <c r="F27" s="130" t="s">
        <v>73</v>
      </c>
      <c r="G27" s="123">
        <v>1</v>
      </c>
      <c r="H27" s="132" t="s">
        <v>313</v>
      </c>
      <c r="I27" s="133" t="s">
        <v>104</v>
      </c>
      <c r="J27" s="126">
        <v>1</v>
      </c>
      <c r="K27" s="124"/>
      <c r="L27" s="127">
        <v>4</v>
      </c>
    </row>
    <row r="28" ht="72" spans="1:12">
      <c r="A28" s="134"/>
      <c r="B28" s="135"/>
      <c r="C28" s="136"/>
      <c r="D28" s="136"/>
      <c r="E28" s="137"/>
      <c r="F28" s="136"/>
      <c r="G28" s="123">
        <v>2</v>
      </c>
      <c r="H28" s="157" t="s">
        <v>314</v>
      </c>
      <c r="I28" s="133" t="s">
        <v>315</v>
      </c>
      <c r="J28" s="126">
        <v>1</v>
      </c>
      <c r="K28" s="124"/>
      <c r="L28" s="127">
        <v>4</v>
      </c>
    </row>
    <row r="29" spans="1:12">
      <c r="A29" s="134"/>
      <c r="B29" s="135"/>
      <c r="C29" s="136"/>
      <c r="D29" s="136"/>
      <c r="E29" s="137"/>
      <c r="F29" s="138"/>
      <c r="G29" s="123">
        <v>3</v>
      </c>
      <c r="H29" s="144"/>
      <c r="I29" s="133"/>
      <c r="J29" s="126"/>
      <c r="K29" s="126"/>
      <c r="L29" s="127"/>
    </row>
    <row r="30" spans="1:12">
      <c r="A30" s="134"/>
      <c r="B30" s="135"/>
      <c r="C30" s="136"/>
      <c r="D30" s="136"/>
      <c r="E30" s="137"/>
      <c r="F30" s="123" t="s">
        <v>181</v>
      </c>
      <c r="G30" s="123">
        <v>4</v>
      </c>
      <c r="H30" s="144"/>
      <c r="I30" s="133"/>
      <c r="J30" s="126"/>
      <c r="K30" s="126"/>
      <c r="L30" s="127"/>
    </row>
    <row r="31" spans="1:12">
      <c r="A31" s="134"/>
      <c r="B31" s="135"/>
      <c r="C31" s="136"/>
      <c r="D31" s="136"/>
      <c r="E31" s="147" t="s">
        <v>170</v>
      </c>
      <c r="F31" s="148"/>
      <c r="G31" s="148"/>
      <c r="H31" s="149"/>
      <c r="I31" s="172"/>
      <c r="J31" s="173"/>
      <c r="K31" s="174"/>
      <c r="L31" s="175">
        <v>8</v>
      </c>
    </row>
    <row r="32" spans="1:12">
      <c r="A32" s="154"/>
      <c r="B32" s="155"/>
      <c r="C32" s="138"/>
      <c r="D32" s="138"/>
      <c r="E32" s="123" t="s">
        <v>171</v>
      </c>
      <c r="F32" s="123" t="s">
        <v>73</v>
      </c>
      <c r="G32" s="123">
        <v>1</v>
      </c>
      <c r="H32" s="144"/>
      <c r="I32" s="133"/>
      <c r="J32" s="156"/>
      <c r="K32" s="123"/>
      <c r="L32" s="127"/>
    </row>
    <row r="33" ht="120" spans="1:12">
      <c r="A33" s="128" t="s">
        <v>275</v>
      </c>
      <c r="B33" s="129" t="s">
        <v>67</v>
      </c>
      <c r="C33" s="130" t="s">
        <v>23</v>
      </c>
      <c r="D33" s="130"/>
      <c r="E33" s="131" t="s">
        <v>157</v>
      </c>
      <c r="F33" s="130" t="s">
        <v>181</v>
      </c>
      <c r="G33" s="123">
        <v>1</v>
      </c>
      <c r="H33" s="132" t="s">
        <v>316</v>
      </c>
      <c r="I33" s="133" t="s">
        <v>34</v>
      </c>
      <c r="J33" s="126">
        <v>1</v>
      </c>
      <c r="K33" s="124"/>
      <c r="L33" s="127">
        <v>3.25</v>
      </c>
    </row>
    <row r="34" spans="1:12">
      <c r="A34" s="134"/>
      <c r="B34" s="135"/>
      <c r="C34" s="136"/>
      <c r="D34" s="136"/>
      <c r="E34" s="137"/>
      <c r="F34" s="136"/>
      <c r="G34" s="123">
        <v>2</v>
      </c>
      <c r="H34" s="176"/>
      <c r="I34" s="133"/>
      <c r="J34" s="126"/>
      <c r="K34" s="124"/>
      <c r="L34" s="127"/>
    </row>
    <row r="35" spans="1:12">
      <c r="A35" s="134"/>
      <c r="B35" s="135"/>
      <c r="C35" s="136"/>
      <c r="D35" s="136"/>
      <c r="E35" s="147" t="s">
        <v>170</v>
      </c>
      <c r="F35" s="148"/>
      <c r="G35" s="148"/>
      <c r="H35" s="149"/>
      <c r="I35" s="172"/>
      <c r="J35" s="173"/>
      <c r="K35" s="174"/>
      <c r="L35" s="175">
        <v>3.25</v>
      </c>
    </row>
    <row r="36" spans="1:12">
      <c r="A36" s="154"/>
      <c r="B36" s="155"/>
      <c r="C36" s="138"/>
      <c r="D36" s="138"/>
      <c r="E36" s="123" t="s">
        <v>171</v>
      </c>
      <c r="F36" s="123" t="s">
        <v>73</v>
      </c>
      <c r="G36" s="123">
        <v>1</v>
      </c>
      <c r="H36" s="144"/>
      <c r="I36" s="133"/>
      <c r="J36" s="156"/>
      <c r="K36" s="123"/>
      <c r="L36" s="127"/>
    </row>
  </sheetData>
  <mergeCells count="38">
    <mergeCell ref="E6:H6"/>
    <mergeCell ref="E17:H17"/>
    <mergeCell ref="E25:H25"/>
    <mergeCell ref="E31:H31"/>
    <mergeCell ref="E35:H35"/>
    <mergeCell ref="A2:A7"/>
    <mergeCell ref="A8:A18"/>
    <mergeCell ref="A19:A26"/>
    <mergeCell ref="A27:A32"/>
    <mergeCell ref="A33:A36"/>
    <mergeCell ref="B2:B7"/>
    <mergeCell ref="B8:B18"/>
    <mergeCell ref="B19:B26"/>
    <mergeCell ref="B27:B32"/>
    <mergeCell ref="B33:B36"/>
    <mergeCell ref="C2:C7"/>
    <mergeCell ref="C8:C18"/>
    <mergeCell ref="C19:C26"/>
    <mergeCell ref="C27:C32"/>
    <mergeCell ref="C33:C36"/>
    <mergeCell ref="D2:D7"/>
    <mergeCell ref="D8:D18"/>
    <mergeCell ref="D19:D26"/>
    <mergeCell ref="D27:D32"/>
    <mergeCell ref="D33:D36"/>
    <mergeCell ref="E2:E5"/>
    <mergeCell ref="E8:E16"/>
    <mergeCell ref="E19:E24"/>
    <mergeCell ref="E27:E30"/>
    <mergeCell ref="E33:E34"/>
    <mergeCell ref="F2:F3"/>
    <mergeCell ref="F4:F5"/>
    <mergeCell ref="F8:F14"/>
    <mergeCell ref="F15:F16"/>
    <mergeCell ref="F19:F24"/>
    <mergeCell ref="F27:F29"/>
    <mergeCell ref="F33:F34"/>
    <mergeCell ref="H11:H12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88"/>
  <sheetViews>
    <sheetView workbookViewId="0">
      <pane ySplit="1" topLeftCell="A59" activePane="bottomLeft" state="frozen"/>
      <selection/>
      <selection pane="bottomLeft" activeCell="A2" sqref="A2:L16"/>
    </sheetView>
  </sheetViews>
  <sheetFormatPr defaultColWidth="9.13888888888889" defaultRowHeight="13.8"/>
  <cols>
    <col min="1" max="1" width="22.4259259259259" style="46" customWidth="1"/>
    <col min="2" max="2" width="11.712962962963" style="46" customWidth="1"/>
    <col min="3" max="7" width="9.13888888888889" style="46"/>
    <col min="8" max="8" width="59.712962962963" style="46" customWidth="1"/>
    <col min="9" max="9" width="17.537037037037" style="46" customWidth="1"/>
    <col min="10" max="11" width="9.13888888888889" style="46"/>
    <col min="12" max="12" width="19.5740740740741" style="47" customWidth="1"/>
    <col min="13" max="26" width="9.13888888888889" style="46"/>
    <col min="27" max="16384" width="9.13888888888889" style="48"/>
  </cols>
  <sheetData>
    <row r="1" ht="52.2" spans="1:26">
      <c r="A1" s="49" t="s">
        <v>145</v>
      </c>
      <c r="B1" s="50" t="s">
        <v>6</v>
      </c>
      <c r="C1" s="49" t="s">
        <v>146</v>
      </c>
      <c r="D1" s="49" t="s">
        <v>147</v>
      </c>
      <c r="E1" s="50" t="s">
        <v>148</v>
      </c>
      <c r="F1" s="49" t="s">
        <v>149</v>
      </c>
      <c r="G1" s="49" t="s">
        <v>1</v>
      </c>
      <c r="H1" s="51" t="s">
        <v>150</v>
      </c>
      <c r="I1" s="49" t="s">
        <v>151</v>
      </c>
      <c r="J1" s="52" t="s">
        <v>152</v>
      </c>
      <c r="K1" s="49" t="s">
        <v>153</v>
      </c>
      <c r="L1" s="53" t="s">
        <v>154</v>
      </c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30" spans="1:26">
      <c r="A2" s="49" t="s">
        <v>317</v>
      </c>
      <c r="B2" s="55" t="s">
        <v>118</v>
      </c>
      <c r="C2" s="56">
        <v>0.92</v>
      </c>
      <c r="D2" s="57"/>
      <c r="E2" s="58" t="s">
        <v>157</v>
      </c>
      <c r="F2" s="59" t="s">
        <v>73</v>
      </c>
      <c r="G2" s="57">
        <v>1</v>
      </c>
      <c r="H2" s="60" t="s">
        <v>318</v>
      </c>
      <c r="I2" s="15" t="s">
        <v>319</v>
      </c>
      <c r="J2" s="56">
        <v>1</v>
      </c>
      <c r="K2" s="58"/>
      <c r="L2" s="61">
        <v>0.1</v>
      </c>
    </row>
    <row r="3" ht="15" spans="1:26">
      <c r="A3" s="49"/>
      <c r="B3" s="55"/>
      <c r="C3" s="57"/>
      <c r="D3" s="57"/>
      <c r="E3" s="58"/>
      <c r="F3" s="62"/>
      <c r="G3" s="63">
        <v>2</v>
      </c>
      <c r="H3" s="64"/>
      <c r="I3" s="63"/>
      <c r="J3" s="65"/>
      <c r="K3" s="66"/>
      <c r="L3" s="61"/>
    </row>
    <row r="4" ht="15" spans="1:26">
      <c r="A4" s="49"/>
      <c r="B4" s="55"/>
      <c r="C4" s="57"/>
      <c r="D4" s="57"/>
      <c r="E4" s="58"/>
      <c r="F4" s="62"/>
      <c r="G4" s="63">
        <v>3</v>
      </c>
      <c r="H4" s="67"/>
      <c r="I4" s="63"/>
      <c r="J4" s="65"/>
      <c r="K4" s="66"/>
      <c r="L4" s="61"/>
    </row>
    <row r="5" ht="15" spans="1:26">
      <c r="A5" s="49"/>
      <c r="B5" s="55"/>
      <c r="C5" s="57"/>
      <c r="D5" s="57"/>
      <c r="E5" s="58"/>
      <c r="F5" s="62"/>
      <c r="G5" s="68">
        <v>4</v>
      </c>
      <c r="H5" s="69"/>
      <c r="I5" s="70"/>
      <c r="J5" s="71"/>
      <c r="K5" s="72"/>
      <c r="L5" s="73"/>
    </row>
    <row r="6" ht="20.25" customHeight="1" spans="1:26">
      <c r="A6" s="49"/>
      <c r="B6" s="55"/>
      <c r="C6" s="57"/>
      <c r="D6" s="57"/>
      <c r="E6" s="58"/>
      <c r="F6" s="74"/>
      <c r="G6" s="75">
        <v>5</v>
      </c>
      <c r="H6" s="76"/>
      <c r="I6" s="75"/>
      <c r="J6" s="77"/>
      <c r="K6" s="78"/>
      <c r="L6" s="79"/>
    </row>
    <row r="7" ht="15" spans="1:26">
      <c r="A7" s="49"/>
      <c r="B7" s="55"/>
      <c r="C7" s="57"/>
      <c r="D7" s="57"/>
      <c r="E7" s="58"/>
      <c r="F7" s="74"/>
      <c r="G7" s="75">
        <v>6</v>
      </c>
      <c r="H7" s="80"/>
      <c r="I7" s="75"/>
      <c r="J7" s="77"/>
      <c r="K7" s="78"/>
      <c r="L7" s="79"/>
    </row>
    <row r="8" ht="15" spans="1:26">
      <c r="A8" s="49"/>
      <c r="B8" s="55"/>
      <c r="C8" s="57"/>
      <c r="D8" s="57"/>
      <c r="E8" s="58"/>
      <c r="F8" s="74"/>
      <c r="G8" s="75">
        <v>7</v>
      </c>
      <c r="H8" s="76"/>
      <c r="I8" s="81"/>
      <c r="J8" s="77"/>
      <c r="K8" s="78"/>
      <c r="L8" s="79"/>
    </row>
    <row r="9" ht="15" spans="1:26">
      <c r="A9" s="49"/>
      <c r="B9" s="55"/>
      <c r="C9" s="57"/>
      <c r="D9" s="57"/>
      <c r="E9" s="58"/>
      <c r="F9" s="74"/>
      <c r="G9" s="75">
        <v>8</v>
      </c>
      <c r="H9" s="82"/>
      <c r="I9" s="82"/>
      <c r="J9" s="82"/>
      <c r="K9" s="82"/>
      <c r="L9" s="83"/>
    </row>
    <row r="10" ht="15" spans="1:26">
      <c r="A10" s="49"/>
      <c r="B10" s="55"/>
      <c r="C10" s="57"/>
      <c r="D10" s="57"/>
      <c r="E10" s="58"/>
      <c r="F10" s="74"/>
      <c r="G10" s="75">
        <v>9</v>
      </c>
      <c r="H10" s="84" t="s">
        <v>320</v>
      </c>
      <c r="I10" s="85" t="s">
        <v>288</v>
      </c>
      <c r="J10" s="86">
        <v>1</v>
      </c>
      <c r="K10" s="82"/>
      <c r="L10" s="87">
        <v>2.6</v>
      </c>
    </row>
    <row r="11" ht="15" spans="1:26">
      <c r="A11" s="49"/>
      <c r="B11" s="55"/>
      <c r="C11" s="57"/>
      <c r="D11" s="57"/>
      <c r="E11" s="58"/>
      <c r="F11" s="74"/>
      <c r="G11" s="75">
        <v>10</v>
      </c>
      <c r="H11" s="84" t="s">
        <v>321</v>
      </c>
      <c r="I11" s="85" t="s">
        <v>322</v>
      </c>
      <c r="J11" s="88">
        <v>1</v>
      </c>
      <c r="K11" s="82"/>
      <c r="L11" s="87">
        <v>0.1</v>
      </c>
    </row>
    <row r="12" ht="120" spans="1:26">
      <c r="A12" s="49"/>
      <c r="B12" s="55"/>
      <c r="C12" s="57"/>
      <c r="D12" s="57"/>
      <c r="E12" s="58"/>
      <c r="F12" s="62"/>
      <c r="G12" s="89">
        <v>11</v>
      </c>
      <c r="H12" s="84" t="s">
        <v>323</v>
      </c>
      <c r="I12" s="85" t="s">
        <v>118</v>
      </c>
      <c r="J12" s="88">
        <v>1</v>
      </c>
      <c r="K12" s="90"/>
      <c r="L12" s="87">
        <v>4</v>
      </c>
    </row>
    <row r="13" ht="15" spans="1:26">
      <c r="A13" s="49"/>
      <c r="B13" s="55"/>
      <c r="C13" s="57"/>
      <c r="D13" s="57"/>
      <c r="E13" s="58"/>
      <c r="F13" s="91"/>
      <c r="G13" s="92">
        <v>12</v>
      </c>
      <c r="H13" s="80" t="s">
        <v>324</v>
      </c>
      <c r="I13" s="93" t="s">
        <v>120</v>
      </c>
      <c r="J13" s="77">
        <v>0.6</v>
      </c>
      <c r="K13" s="94"/>
      <c r="L13" s="61">
        <v>1</v>
      </c>
    </row>
    <row r="14" ht="15" spans="1:26">
      <c r="A14" s="49"/>
      <c r="B14" s="55"/>
      <c r="C14" s="57"/>
      <c r="D14" s="57"/>
      <c r="E14" s="38" t="s">
        <v>170</v>
      </c>
      <c r="F14" s="38"/>
      <c r="G14" s="38"/>
      <c r="H14" s="95"/>
      <c r="I14" s="38"/>
      <c r="J14" s="96"/>
      <c r="K14" s="40"/>
      <c r="L14" s="41">
        <f>SUM(L2:L13)</f>
        <v>7.8</v>
      </c>
    </row>
    <row r="15" ht="15.6" spans="1:26">
      <c r="A15" s="49"/>
      <c r="B15" s="55"/>
      <c r="C15" s="57"/>
      <c r="D15" s="57"/>
      <c r="E15" s="58" t="s">
        <v>171</v>
      </c>
      <c r="F15" s="58" t="s">
        <v>73</v>
      </c>
      <c r="G15" s="58">
        <v>1</v>
      </c>
      <c r="H15" s="97"/>
      <c r="I15" s="57"/>
      <c r="J15" s="98"/>
      <c r="K15" s="58"/>
      <c r="L15" s="61"/>
    </row>
    <row r="16" ht="15" spans="1:26">
      <c r="A16" s="49"/>
      <c r="B16" s="55"/>
      <c r="C16" s="57"/>
      <c r="D16" s="57"/>
      <c r="E16" s="58"/>
      <c r="F16" s="58"/>
      <c r="G16" s="58">
        <v>2</v>
      </c>
      <c r="H16" s="60"/>
      <c r="I16" s="58"/>
      <c r="J16" s="98"/>
      <c r="K16" s="58"/>
      <c r="L16" s="61"/>
    </row>
    <row r="17" ht="15" spans="1:12">
      <c r="A17" s="49" t="s">
        <v>325</v>
      </c>
      <c r="B17" s="55" t="s">
        <v>120</v>
      </c>
      <c r="C17" s="56">
        <v>0.96</v>
      </c>
      <c r="D17" s="57"/>
      <c r="E17" s="58" t="s">
        <v>157</v>
      </c>
      <c r="F17" s="57" t="s">
        <v>73</v>
      </c>
      <c r="G17" s="57">
        <v>1</v>
      </c>
      <c r="H17" s="60" t="s">
        <v>326</v>
      </c>
      <c r="I17" s="15" t="s">
        <v>288</v>
      </c>
      <c r="J17" s="56">
        <v>0.05</v>
      </c>
      <c r="K17" s="57"/>
      <c r="L17" s="61">
        <v>0.4</v>
      </c>
    </row>
    <row r="18" ht="15" spans="1:12">
      <c r="A18" s="49"/>
      <c r="B18" s="55"/>
      <c r="C18" s="57"/>
      <c r="D18" s="57"/>
      <c r="E18" s="58"/>
      <c r="F18" s="57"/>
      <c r="G18" s="57">
        <v>2</v>
      </c>
      <c r="H18" s="60" t="s">
        <v>327</v>
      </c>
      <c r="I18" s="15" t="s">
        <v>322</v>
      </c>
      <c r="J18" s="56">
        <v>1</v>
      </c>
      <c r="K18" s="57"/>
      <c r="L18" s="61">
        <v>0.2</v>
      </c>
    </row>
    <row r="19" ht="15" spans="1:12">
      <c r="A19" s="49"/>
      <c r="B19" s="55"/>
      <c r="C19" s="57"/>
      <c r="D19" s="57"/>
      <c r="E19" s="58"/>
      <c r="F19" s="57"/>
      <c r="G19" s="57">
        <v>3</v>
      </c>
      <c r="H19" s="60" t="s">
        <v>328</v>
      </c>
      <c r="I19" s="15" t="s">
        <v>329</v>
      </c>
      <c r="J19" s="56">
        <v>1</v>
      </c>
      <c r="K19" s="57"/>
      <c r="L19" s="61">
        <v>0.5</v>
      </c>
    </row>
    <row r="20" ht="75" spans="1:12">
      <c r="A20" s="49"/>
      <c r="B20" s="55"/>
      <c r="C20" s="57"/>
      <c r="D20" s="57"/>
      <c r="E20" s="58"/>
      <c r="F20" s="57"/>
      <c r="G20" s="57">
        <v>4</v>
      </c>
      <c r="H20" s="60" t="s">
        <v>330</v>
      </c>
      <c r="I20" s="15" t="s">
        <v>331</v>
      </c>
      <c r="J20" s="56">
        <v>0.9</v>
      </c>
      <c r="K20" s="57"/>
      <c r="L20" s="61">
        <v>4</v>
      </c>
    </row>
    <row r="21" ht="135" spans="1:12">
      <c r="A21" s="49"/>
      <c r="B21" s="55"/>
      <c r="C21" s="57"/>
      <c r="D21" s="57"/>
      <c r="E21" s="58"/>
      <c r="F21" s="57"/>
      <c r="G21" s="57">
        <v>5</v>
      </c>
      <c r="H21" s="60" t="s">
        <v>332</v>
      </c>
      <c r="I21" s="15" t="s">
        <v>319</v>
      </c>
      <c r="J21" s="56">
        <v>0.9</v>
      </c>
      <c r="K21" s="57"/>
      <c r="L21" s="61">
        <v>3.9</v>
      </c>
    </row>
    <row r="22" ht="15" spans="1:12">
      <c r="A22" s="49"/>
      <c r="B22" s="55"/>
      <c r="C22" s="57"/>
      <c r="D22" s="57"/>
      <c r="E22" s="58"/>
      <c r="F22" s="57"/>
      <c r="G22" s="57">
        <v>6</v>
      </c>
      <c r="H22" s="99" t="s">
        <v>333</v>
      </c>
      <c r="I22" s="57" t="s">
        <v>334</v>
      </c>
      <c r="J22" s="56">
        <v>0.9</v>
      </c>
      <c r="K22" s="57"/>
      <c r="L22" s="61">
        <v>3</v>
      </c>
    </row>
    <row r="23" ht="15" spans="1:12">
      <c r="A23" s="49"/>
      <c r="B23" s="55"/>
      <c r="C23" s="57"/>
      <c r="D23" s="57"/>
      <c r="E23" s="58"/>
      <c r="F23" s="57"/>
      <c r="G23" s="58">
        <v>7</v>
      </c>
      <c r="H23" s="60" t="s">
        <v>335</v>
      </c>
      <c r="I23" s="57" t="s">
        <v>120</v>
      </c>
      <c r="J23" s="56">
        <v>1</v>
      </c>
      <c r="K23" s="57"/>
      <c r="L23" s="61">
        <v>0.5</v>
      </c>
    </row>
    <row r="24" ht="15" spans="1:12">
      <c r="A24" s="49"/>
      <c r="B24" s="55"/>
      <c r="C24" s="57"/>
      <c r="D24" s="57"/>
      <c r="E24" s="58"/>
      <c r="F24" s="57"/>
      <c r="G24" s="57">
        <v>8</v>
      </c>
      <c r="H24" s="60"/>
      <c r="I24" s="57"/>
      <c r="J24" s="56"/>
      <c r="K24" s="57"/>
      <c r="L24" s="61"/>
    </row>
    <row r="25" ht="15" spans="1:12">
      <c r="A25" s="49"/>
      <c r="B25" s="55"/>
      <c r="C25" s="57"/>
      <c r="D25" s="57"/>
      <c r="E25" s="58"/>
      <c r="F25" s="57"/>
      <c r="G25" s="57">
        <v>9</v>
      </c>
      <c r="H25" s="60"/>
      <c r="I25" s="57"/>
      <c r="J25" s="56"/>
      <c r="K25" s="57"/>
      <c r="L25" s="61"/>
    </row>
    <row r="26" ht="15" spans="1:12">
      <c r="A26" s="49"/>
      <c r="B26" s="55"/>
      <c r="C26" s="57"/>
      <c r="D26" s="57"/>
      <c r="E26" s="38" t="s">
        <v>170</v>
      </c>
      <c r="F26" s="38"/>
      <c r="G26" s="38"/>
      <c r="H26" s="38"/>
      <c r="I26" s="38"/>
      <c r="J26" s="39"/>
      <c r="K26" s="40"/>
      <c r="L26" s="41">
        <f>SUM(L17:L25)</f>
        <v>12.5</v>
      </c>
    </row>
    <row r="27" ht="15.6" spans="1:12">
      <c r="A27" s="49"/>
      <c r="B27" s="55"/>
      <c r="C27" s="57"/>
      <c r="D27" s="57"/>
      <c r="E27" s="58" t="s">
        <v>171</v>
      </c>
      <c r="F27" s="58" t="s">
        <v>73</v>
      </c>
      <c r="G27" s="58">
        <v>1</v>
      </c>
      <c r="H27" s="97"/>
      <c r="I27" s="57"/>
      <c r="J27" s="98"/>
      <c r="K27" s="58"/>
      <c r="L27" s="100"/>
    </row>
    <row r="28" ht="15.6" spans="1:12">
      <c r="A28" s="49"/>
      <c r="B28" s="55"/>
      <c r="C28" s="57"/>
      <c r="D28" s="57"/>
      <c r="E28" s="58"/>
      <c r="F28" s="58"/>
      <c r="G28" s="58">
        <v>2</v>
      </c>
      <c r="H28" s="101"/>
      <c r="I28" s="102"/>
      <c r="J28" s="103"/>
      <c r="K28" s="102"/>
      <c r="L28" s="104"/>
    </row>
    <row r="29" ht="45" spans="1:12">
      <c r="A29" s="49" t="s">
        <v>336</v>
      </c>
      <c r="B29" s="55" t="s">
        <v>120</v>
      </c>
      <c r="C29" s="57" t="s">
        <v>156</v>
      </c>
      <c r="D29" s="57"/>
      <c r="E29" s="58" t="s">
        <v>157</v>
      </c>
      <c r="F29" s="59" t="s">
        <v>73</v>
      </c>
      <c r="G29" s="105">
        <v>1</v>
      </c>
      <c r="H29" s="60" t="s">
        <v>337</v>
      </c>
      <c r="I29" s="15" t="s">
        <v>338</v>
      </c>
      <c r="J29" s="56">
        <v>1</v>
      </c>
      <c r="K29" s="57"/>
      <c r="L29" s="55">
        <v>4</v>
      </c>
    </row>
    <row r="30" ht="15.6" spans="1:12">
      <c r="A30" s="49"/>
      <c r="B30" s="55"/>
      <c r="C30" s="57"/>
      <c r="D30" s="57"/>
      <c r="E30" s="58"/>
      <c r="F30" s="106"/>
      <c r="G30" s="105">
        <v>2</v>
      </c>
      <c r="H30" s="60" t="s">
        <v>339</v>
      </c>
      <c r="I30" s="15" t="s">
        <v>329</v>
      </c>
      <c r="J30" s="56">
        <v>0.8</v>
      </c>
      <c r="K30" s="57"/>
      <c r="L30" s="55">
        <v>2.7</v>
      </c>
    </row>
    <row r="31" ht="45" spans="1:12">
      <c r="A31" s="49"/>
      <c r="B31" s="55"/>
      <c r="C31" s="57"/>
      <c r="D31" s="57"/>
      <c r="E31" s="58"/>
      <c r="F31" s="106"/>
      <c r="G31" s="57">
        <v>3</v>
      </c>
      <c r="H31" s="60" t="s">
        <v>340</v>
      </c>
      <c r="I31" s="15" t="s">
        <v>120</v>
      </c>
      <c r="J31" s="56">
        <v>1</v>
      </c>
      <c r="K31" s="57"/>
      <c r="L31" s="55">
        <v>1.5</v>
      </c>
    </row>
    <row r="32" ht="15.6" spans="1:12">
      <c r="A32" s="49"/>
      <c r="B32" s="55"/>
      <c r="C32" s="57"/>
      <c r="D32" s="57"/>
      <c r="E32" s="58"/>
      <c r="F32" s="106"/>
      <c r="G32" s="57">
        <v>4</v>
      </c>
      <c r="H32" s="60" t="s">
        <v>341</v>
      </c>
      <c r="I32" s="15" t="s">
        <v>322</v>
      </c>
      <c r="J32" s="56">
        <v>1</v>
      </c>
      <c r="K32" s="57"/>
      <c r="L32" s="55">
        <v>0.7</v>
      </c>
    </row>
    <row r="33" ht="15.6" spans="1:12">
      <c r="A33" s="49"/>
      <c r="B33" s="55"/>
      <c r="C33" s="57"/>
      <c r="D33" s="57"/>
      <c r="E33" s="58"/>
      <c r="F33" s="106"/>
      <c r="G33" s="57">
        <v>5</v>
      </c>
      <c r="H33" s="60"/>
      <c r="I33" s="64"/>
      <c r="J33" s="56"/>
      <c r="K33" s="57"/>
      <c r="L33" s="55"/>
    </row>
    <row r="34" ht="15.6" spans="1:12">
      <c r="A34" s="49"/>
      <c r="B34" s="55"/>
      <c r="C34" s="57"/>
      <c r="D34" s="57"/>
      <c r="E34" s="58"/>
      <c r="F34" s="107"/>
      <c r="G34" s="57">
        <v>6</v>
      </c>
      <c r="H34" s="99"/>
      <c r="I34" s="57"/>
      <c r="J34" s="56"/>
      <c r="K34" s="57"/>
      <c r="L34" s="55"/>
    </row>
    <row r="35" ht="15.6" spans="1:12">
      <c r="A35" s="49"/>
      <c r="B35" s="55"/>
      <c r="C35" s="57"/>
      <c r="D35" s="57"/>
      <c r="E35" s="58"/>
      <c r="F35" s="59" t="s">
        <v>342</v>
      </c>
      <c r="G35" s="58">
        <v>1</v>
      </c>
      <c r="H35" s="60"/>
      <c r="I35" s="15"/>
      <c r="J35" s="56"/>
      <c r="K35" s="57"/>
      <c r="L35" s="55"/>
    </row>
    <row r="36" ht="15.6" spans="1:12">
      <c r="A36" s="49"/>
      <c r="B36" s="55"/>
      <c r="C36" s="57"/>
      <c r="D36" s="57"/>
      <c r="E36" s="58"/>
      <c r="F36" s="106"/>
      <c r="G36" s="57">
        <v>2</v>
      </c>
      <c r="H36" s="60"/>
      <c r="I36" s="57"/>
      <c r="J36" s="56"/>
      <c r="K36" s="57"/>
      <c r="L36" s="55"/>
    </row>
    <row r="37" ht="15.6" spans="1:12">
      <c r="A37" s="49"/>
      <c r="B37" s="55"/>
      <c r="C37" s="57"/>
      <c r="D37" s="57"/>
      <c r="E37" s="58"/>
      <c r="F37" s="107"/>
      <c r="G37" s="57">
        <v>3</v>
      </c>
      <c r="H37" s="60"/>
      <c r="I37" s="57"/>
      <c r="J37" s="56"/>
      <c r="K37" s="57"/>
      <c r="L37" s="55"/>
    </row>
    <row r="38" ht="15" spans="1:12">
      <c r="A38" s="49"/>
      <c r="B38" s="55"/>
      <c r="C38" s="57"/>
      <c r="D38" s="57"/>
      <c r="E38" s="38" t="s">
        <v>170</v>
      </c>
      <c r="F38" s="38"/>
      <c r="G38" s="38"/>
      <c r="H38" s="38"/>
      <c r="I38" s="38"/>
      <c r="J38" s="39"/>
      <c r="K38" s="40"/>
      <c r="L38" s="41">
        <f>SUM(L29:L37)</f>
        <v>8.9</v>
      </c>
    </row>
    <row r="39" ht="15.6" spans="1:12">
      <c r="A39" s="49"/>
      <c r="B39" s="55"/>
      <c r="C39" s="57"/>
      <c r="D39" s="57"/>
      <c r="E39" s="58" t="s">
        <v>171</v>
      </c>
      <c r="F39" s="58" t="s">
        <v>73</v>
      </c>
      <c r="G39" s="58">
        <v>1</v>
      </c>
      <c r="H39" s="97"/>
      <c r="I39" s="57"/>
      <c r="J39" s="98"/>
      <c r="K39" s="58"/>
      <c r="L39" s="100"/>
    </row>
    <row r="40" ht="15.6" spans="1:12">
      <c r="A40" s="49"/>
      <c r="B40" s="55"/>
      <c r="C40" s="57"/>
      <c r="D40" s="57"/>
      <c r="E40" s="58"/>
      <c r="F40" s="58"/>
      <c r="G40" s="58">
        <v>2</v>
      </c>
      <c r="H40" s="97"/>
      <c r="I40" s="58"/>
      <c r="J40" s="98"/>
      <c r="K40" s="58"/>
      <c r="L40" s="61"/>
    </row>
    <row r="41" ht="15.6" spans="1:12">
      <c r="A41" s="49" t="s">
        <v>343</v>
      </c>
      <c r="B41" s="55" t="s">
        <v>120</v>
      </c>
      <c r="C41" s="57" t="s">
        <v>156</v>
      </c>
      <c r="D41" s="57"/>
      <c r="E41" s="58" t="s">
        <v>157</v>
      </c>
      <c r="F41" s="59" t="s">
        <v>73</v>
      </c>
      <c r="G41" s="57">
        <v>1</v>
      </c>
      <c r="H41" s="60"/>
      <c r="I41" s="15"/>
      <c r="J41" s="56"/>
      <c r="K41" s="57"/>
      <c r="L41" s="55"/>
    </row>
    <row r="42" ht="15.6" spans="1:12">
      <c r="A42" s="49"/>
      <c r="B42" s="55"/>
      <c r="C42" s="57"/>
      <c r="D42" s="57"/>
      <c r="E42" s="58"/>
      <c r="F42" s="106"/>
      <c r="G42" s="57">
        <v>2</v>
      </c>
      <c r="H42" s="60"/>
      <c r="I42" s="15"/>
      <c r="J42" s="56"/>
      <c r="K42" s="57"/>
      <c r="L42" s="55"/>
    </row>
    <row r="43" ht="15.6" spans="1:12">
      <c r="A43" s="49"/>
      <c r="B43" s="55"/>
      <c r="C43" s="57"/>
      <c r="D43" s="57"/>
      <c r="E43" s="58"/>
      <c r="F43" s="106"/>
      <c r="G43" s="57">
        <v>3</v>
      </c>
      <c r="I43" s="15"/>
      <c r="J43" s="56"/>
      <c r="K43" s="57"/>
      <c r="L43" s="55"/>
    </row>
    <row r="44" ht="15.6" spans="1:12">
      <c r="A44" s="49"/>
      <c r="B44" s="55"/>
      <c r="C44" s="57"/>
      <c r="D44" s="57"/>
      <c r="E44" s="58"/>
      <c r="F44" s="106"/>
      <c r="G44" s="57">
        <v>4</v>
      </c>
      <c r="H44" s="60"/>
      <c r="I44" s="15"/>
      <c r="J44" s="56"/>
      <c r="K44" s="57"/>
      <c r="L44" s="55"/>
    </row>
    <row r="45" ht="15.6" spans="1:12">
      <c r="A45" s="49"/>
      <c r="B45" s="55"/>
      <c r="C45" s="57"/>
      <c r="D45" s="57"/>
      <c r="E45" s="58"/>
      <c r="F45" s="106"/>
      <c r="G45" s="57">
        <v>5</v>
      </c>
      <c r="H45" s="60"/>
      <c r="I45" s="15"/>
      <c r="J45" s="56"/>
      <c r="K45" s="57"/>
      <c r="L45" s="55"/>
    </row>
    <row r="46" ht="15.6" spans="1:12">
      <c r="A46" s="49"/>
      <c r="B46" s="55"/>
      <c r="C46" s="57"/>
      <c r="D46" s="57"/>
      <c r="E46" s="58"/>
      <c r="F46" s="107"/>
      <c r="G46" s="57">
        <v>6</v>
      </c>
      <c r="H46" s="99"/>
      <c r="I46" s="57"/>
      <c r="J46" s="56"/>
      <c r="K46" s="57"/>
      <c r="L46" s="55"/>
    </row>
    <row r="47" ht="15.6" spans="1:12">
      <c r="A47" s="49"/>
      <c r="B47" s="55"/>
      <c r="C47" s="57"/>
      <c r="D47" s="57"/>
      <c r="E47" s="58"/>
      <c r="F47" s="59" t="s">
        <v>187</v>
      </c>
      <c r="G47" s="58">
        <v>1</v>
      </c>
      <c r="H47" s="60" t="s">
        <v>344</v>
      </c>
      <c r="I47" s="15" t="s">
        <v>329</v>
      </c>
      <c r="J47" s="56"/>
      <c r="K47" s="57"/>
      <c r="L47" s="55">
        <v>0.8</v>
      </c>
    </row>
    <row r="48" ht="15.6" spans="1:12">
      <c r="A48" s="49"/>
      <c r="B48" s="55"/>
      <c r="C48" s="57"/>
      <c r="D48" s="57"/>
      <c r="E48" s="58"/>
      <c r="F48" s="106"/>
      <c r="G48" s="57">
        <v>2</v>
      </c>
      <c r="H48" s="60"/>
      <c r="I48" s="57"/>
      <c r="J48" s="56"/>
      <c r="K48" s="57"/>
      <c r="L48" s="55"/>
    </row>
    <row r="49" ht="15.6" spans="1:12">
      <c r="A49" s="49"/>
      <c r="B49" s="55"/>
      <c r="C49" s="57"/>
      <c r="D49" s="57"/>
      <c r="E49" s="58"/>
      <c r="F49" s="107"/>
      <c r="G49" s="57">
        <v>3</v>
      </c>
      <c r="H49" s="60"/>
      <c r="I49" s="57"/>
      <c r="J49" s="56"/>
      <c r="K49" s="57"/>
      <c r="L49" s="55"/>
    </row>
    <row r="50" ht="15" spans="1:12">
      <c r="A50" s="49"/>
      <c r="B50" s="55"/>
      <c r="C50" s="57"/>
      <c r="D50" s="57"/>
      <c r="E50" s="38" t="s">
        <v>170</v>
      </c>
      <c r="F50" s="38"/>
      <c r="G50" s="38"/>
      <c r="H50" s="38"/>
      <c r="I50" s="38"/>
      <c r="J50" s="39"/>
      <c r="K50" s="40"/>
      <c r="L50" s="41">
        <f>SUM(L41:L49)</f>
        <v>0.8</v>
      </c>
    </row>
    <row r="51" ht="15.6" spans="1:12">
      <c r="A51" s="49"/>
      <c r="B51" s="55"/>
      <c r="C51" s="57"/>
      <c r="D51" s="57"/>
      <c r="E51" s="58" t="s">
        <v>171</v>
      </c>
      <c r="F51" s="58" t="s">
        <v>73</v>
      </c>
      <c r="G51" s="58">
        <v>1</v>
      </c>
      <c r="H51" s="97"/>
      <c r="I51" s="57"/>
      <c r="J51" s="98"/>
      <c r="K51" s="58"/>
      <c r="L51" s="100"/>
    </row>
    <row r="52" ht="15.6" spans="1:12">
      <c r="A52" s="49"/>
      <c r="B52" s="55"/>
      <c r="C52" s="57"/>
      <c r="D52" s="57"/>
      <c r="E52" s="58"/>
      <c r="F52" s="58"/>
      <c r="G52" s="58">
        <v>2</v>
      </c>
      <c r="H52" s="97"/>
      <c r="I52" s="58"/>
      <c r="J52" s="98"/>
      <c r="K52" s="58"/>
      <c r="L52" s="61"/>
    </row>
    <row r="53" ht="120" spans="1:12">
      <c r="A53" s="49" t="s">
        <v>345</v>
      </c>
      <c r="B53" s="55" t="s">
        <v>120</v>
      </c>
      <c r="C53" s="56">
        <v>0.96</v>
      </c>
      <c r="D53" s="57"/>
      <c r="E53" s="58" t="s">
        <v>157</v>
      </c>
      <c r="F53" s="59" t="s">
        <v>73</v>
      </c>
      <c r="G53" s="57">
        <v>1</v>
      </c>
      <c r="H53" s="60" t="s">
        <v>346</v>
      </c>
      <c r="I53" s="15" t="s">
        <v>266</v>
      </c>
      <c r="J53" s="56">
        <v>1</v>
      </c>
      <c r="K53" s="57"/>
      <c r="L53" s="61">
        <v>0.5</v>
      </c>
    </row>
    <row r="54" ht="60" spans="1:12">
      <c r="A54" s="49"/>
      <c r="B54" s="55"/>
      <c r="C54" s="57"/>
      <c r="D54" s="57"/>
      <c r="E54" s="58"/>
      <c r="F54" s="62"/>
      <c r="G54" s="57">
        <v>2</v>
      </c>
      <c r="H54" s="60" t="s">
        <v>347</v>
      </c>
      <c r="I54" s="15" t="s">
        <v>120</v>
      </c>
      <c r="J54" s="56">
        <v>1</v>
      </c>
      <c r="K54" s="57"/>
      <c r="L54" s="61">
        <v>1</v>
      </c>
    </row>
    <row r="55" ht="105" spans="1:12">
      <c r="A55" s="49"/>
      <c r="B55" s="55"/>
      <c r="C55" s="57"/>
      <c r="D55" s="57"/>
      <c r="E55" s="58"/>
      <c r="F55" s="62"/>
      <c r="G55" s="57">
        <v>3</v>
      </c>
      <c r="H55" s="108" t="s">
        <v>348</v>
      </c>
      <c r="I55" s="15" t="s">
        <v>349</v>
      </c>
      <c r="J55" s="56">
        <v>1</v>
      </c>
      <c r="K55" s="57"/>
      <c r="L55" s="61">
        <v>2</v>
      </c>
    </row>
    <row r="56" ht="15" spans="1:12">
      <c r="A56" s="49"/>
      <c r="B56" s="55"/>
      <c r="C56" s="57"/>
      <c r="D56" s="57"/>
      <c r="E56" s="58"/>
      <c r="F56" s="62"/>
      <c r="G56" s="57">
        <v>4</v>
      </c>
      <c r="H56" s="60"/>
      <c r="I56" s="15"/>
      <c r="J56" s="56"/>
      <c r="K56" s="57"/>
      <c r="L56" s="61"/>
    </row>
    <row r="57" ht="15" spans="1:12">
      <c r="A57" s="49"/>
      <c r="B57" s="55"/>
      <c r="C57" s="57"/>
      <c r="D57" s="57"/>
      <c r="E57" s="58"/>
      <c r="F57" s="62"/>
      <c r="G57" s="57">
        <v>5</v>
      </c>
      <c r="H57" s="60"/>
      <c r="I57" s="15"/>
      <c r="J57" s="56"/>
      <c r="K57" s="57"/>
      <c r="L57" s="61"/>
    </row>
    <row r="58" ht="15" spans="1:12">
      <c r="A58" s="49"/>
      <c r="B58" s="55"/>
      <c r="C58" s="57"/>
      <c r="D58" s="57"/>
      <c r="E58" s="58"/>
      <c r="F58" s="91"/>
      <c r="G58" s="57">
        <v>6</v>
      </c>
      <c r="H58" s="109"/>
      <c r="I58" s="15"/>
      <c r="J58" s="110"/>
      <c r="K58" s="57"/>
      <c r="L58" s="61"/>
    </row>
    <row r="59" ht="15" spans="1:12">
      <c r="A59" s="49"/>
      <c r="B59" s="55"/>
      <c r="C59" s="57"/>
      <c r="D59" s="57"/>
      <c r="E59" s="58"/>
      <c r="F59" s="59" t="s">
        <v>350</v>
      </c>
      <c r="G59" s="111">
        <v>1</v>
      </c>
      <c r="H59" s="112"/>
      <c r="I59" s="113"/>
      <c r="J59" s="114"/>
      <c r="K59" s="115"/>
      <c r="L59" s="61"/>
    </row>
    <row r="60" ht="15" spans="1:12">
      <c r="A60" s="49"/>
      <c r="B60" s="55"/>
      <c r="C60" s="57"/>
      <c r="D60" s="57"/>
      <c r="E60" s="58"/>
      <c r="F60" s="62"/>
      <c r="G60" s="105">
        <v>2</v>
      </c>
      <c r="H60" s="112"/>
      <c r="I60" s="116"/>
      <c r="J60" s="114"/>
      <c r="K60" s="115"/>
      <c r="L60" s="61"/>
    </row>
    <row r="61" ht="15" spans="1:12">
      <c r="A61" s="49"/>
      <c r="B61" s="55"/>
      <c r="C61" s="57"/>
      <c r="D61" s="57"/>
      <c r="E61" s="58"/>
      <c r="F61" s="91"/>
      <c r="G61" s="57">
        <v>3</v>
      </c>
      <c r="H61" s="117"/>
      <c r="I61" s="57"/>
      <c r="J61" s="118"/>
      <c r="K61" s="57"/>
      <c r="L61" s="61"/>
    </row>
    <row r="62" ht="15" spans="1:12">
      <c r="A62" s="49"/>
      <c r="B62" s="55"/>
      <c r="C62" s="57"/>
      <c r="D62" s="57"/>
      <c r="E62" s="38" t="s">
        <v>170</v>
      </c>
      <c r="F62" s="38"/>
      <c r="G62" s="38"/>
      <c r="H62" s="38"/>
      <c r="I62" s="38"/>
      <c r="J62" s="39"/>
      <c r="K62" s="40"/>
      <c r="L62" s="41">
        <f>SUM(L53:L61)</f>
        <v>3.5</v>
      </c>
    </row>
    <row r="63" ht="15.6" spans="1:12">
      <c r="A63" s="49"/>
      <c r="B63" s="55"/>
      <c r="C63" s="57"/>
      <c r="D63" s="57"/>
      <c r="E63" s="58" t="s">
        <v>171</v>
      </c>
      <c r="F63" s="58" t="s">
        <v>73</v>
      </c>
      <c r="G63" s="58">
        <v>1</v>
      </c>
      <c r="H63" s="97"/>
      <c r="I63" s="57"/>
      <c r="J63" s="98"/>
      <c r="K63" s="58"/>
      <c r="L63" s="100"/>
    </row>
    <row r="64" ht="15.6" spans="1:12">
      <c r="A64" s="49"/>
      <c r="B64" s="55"/>
      <c r="C64" s="57"/>
      <c r="D64" s="57"/>
      <c r="E64" s="58"/>
      <c r="F64" s="58"/>
      <c r="G64" s="58">
        <v>2</v>
      </c>
      <c r="H64" s="97"/>
      <c r="I64" s="58"/>
      <c r="J64" s="98"/>
      <c r="K64" s="58"/>
      <c r="L64" s="100"/>
    </row>
    <row r="65" ht="15" spans="1:12">
      <c r="A65" s="49" t="s">
        <v>351</v>
      </c>
      <c r="B65" s="55" t="s">
        <v>120</v>
      </c>
      <c r="C65" s="57" t="s">
        <v>156</v>
      </c>
      <c r="D65" s="57"/>
      <c r="E65" s="58" t="s">
        <v>157</v>
      </c>
      <c r="F65" s="57" t="s">
        <v>73</v>
      </c>
      <c r="G65" s="57">
        <v>1</v>
      </c>
      <c r="H65" s="60"/>
      <c r="I65" s="15"/>
      <c r="J65" s="56"/>
      <c r="K65" s="57"/>
      <c r="L65" s="61"/>
    </row>
    <row r="66" ht="15" spans="1:12">
      <c r="A66" s="49"/>
      <c r="B66" s="55"/>
      <c r="C66" s="57"/>
      <c r="D66" s="57"/>
      <c r="E66" s="58"/>
      <c r="F66" s="57"/>
      <c r="G66" s="57">
        <v>2</v>
      </c>
      <c r="H66" s="99"/>
      <c r="I66" s="15"/>
      <c r="J66" s="56"/>
      <c r="K66" s="57"/>
      <c r="L66" s="61"/>
    </row>
    <row r="67" ht="15" spans="1:12">
      <c r="A67" s="49"/>
      <c r="B67" s="55"/>
      <c r="C67" s="57"/>
      <c r="D67" s="57"/>
      <c r="E67" s="58"/>
      <c r="F67" s="57"/>
      <c r="G67" s="57">
        <v>3</v>
      </c>
      <c r="H67" s="60"/>
      <c r="I67" s="15"/>
      <c r="J67" s="56"/>
      <c r="K67" s="57"/>
      <c r="L67" s="61"/>
    </row>
    <row r="68" ht="15" spans="1:12">
      <c r="A68" s="49"/>
      <c r="B68" s="55"/>
      <c r="C68" s="57"/>
      <c r="D68" s="57"/>
      <c r="E68" s="58"/>
      <c r="F68" s="57"/>
      <c r="G68" s="57">
        <v>4</v>
      </c>
      <c r="H68" s="60"/>
      <c r="I68" s="15"/>
      <c r="J68" s="56"/>
      <c r="K68" s="57"/>
      <c r="L68" s="61"/>
    </row>
    <row r="69" ht="15" spans="1:12">
      <c r="A69" s="49"/>
      <c r="B69" s="55"/>
      <c r="C69" s="57"/>
      <c r="D69" s="57"/>
      <c r="E69" s="58"/>
      <c r="F69" s="57"/>
      <c r="G69" s="57">
        <v>5</v>
      </c>
      <c r="H69" s="60"/>
      <c r="I69" s="15"/>
      <c r="J69" s="56"/>
      <c r="K69" s="57"/>
      <c r="L69" s="61"/>
    </row>
    <row r="70" ht="15" spans="1:12">
      <c r="A70" s="49"/>
      <c r="B70" s="55"/>
      <c r="C70" s="57"/>
      <c r="D70" s="57"/>
      <c r="E70" s="58"/>
      <c r="F70" s="57"/>
      <c r="G70" s="57">
        <v>6</v>
      </c>
      <c r="H70" s="99"/>
      <c r="I70" s="57"/>
      <c r="J70" s="56"/>
      <c r="K70" s="57"/>
      <c r="L70" s="61"/>
    </row>
    <row r="71" ht="15" spans="1:12">
      <c r="A71" s="49"/>
      <c r="B71" s="55"/>
      <c r="C71" s="57"/>
      <c r="D71" s="57"/>
      <c r="E71" s="58"/>
      <c r="F71" s="57"/>
      <c r="G71" s="58">
        <v>7</v>
      </c>
      <c r="H71" s="60"/>
      <c r="I71" s="57"/>
      <c r="J71" s="56"/>
      <c r="K71" s="57"/>
      <c r="L71" s="61"/>
    </row>
    <row r="72" ht="15" spans="1:12">
      <c r="A72" s="49"/>
      <c r="B72" s="55"/>
      <c r="C72" s="57"/>
      <c r="D72" s="57"/>
      <c r="E72" s="58"/>
      <c r="F72" s="57"/>
      <c r="G72" s="57">
        <v>8</v>
      </c>
      <c r="H72" s="60"/>
      <c r="I72" s="57"/>
      <c r="J72" s="56"/>
      <c r="K72" s="57"/>
      <c r="L72" s="61"/>
    </row>
    <row r="73" ht="15" spans="1:12">
      <c r="A73" s="49"/>
      <c r="B73" s="55"/>
      <c r="C73" s="57"/>
      <c r="D73" s="57"/>
      <c r="E73" s="58"/>
      <c r="F73" s="57"/>
      <c r="G73" s="57">
        <v>9</v>
      </c>
      <c r="H73" s="60"/>
      <c r="I73" s="57"/>
      <c r="J73" s="56"/>
      <c r="K73" s="57"/>
      <c r="L73" s="61"/>
    </row>
    <row r="74" ht="15" spans="1:12">
      <c r="A74" s="49"/>
      <c r="B74" s="55"/>
      <c r="C74" s="57"/>
      <c r="D74" s="57"/>
      <c r="E74" s="38" t="s">
        <v>170</v>
      </c>
      <c r="F74" s="38"/>
      <c r="G74" s="38"/>
      <c r="H74" s="38"/>
      <c r="I74" s="38"/>
      <c r="J74" s="39"/>
      <c r="K74" s="40"/>
      <c r="L74" s="41">
        <f>SUM(L65:L73)</f>
        <v>0</v>
      </c>
    </row>
    <row r="75" ht="15.6" spans="1:12">
      <c r="A75" s="49"/>
      <c r="B75" s="55"/>
      <c r="C75" s="57"/>
      <c r="D75" s="57"/>
      <c r="E75" s="58" t="s">
        <v>171</v>
      </c>
      <c r="F75" s="58" t="s">
        <v>73</v>
      </c>
      <c r="G75" s="58">
        <v>1</v>
      </c>
      <c r="H75" s="97"/>
      <c r="I75" s="57"/>
      <c r="J75" s="98"/>
      <c r="K75" s="58"/>
      <c r="L75" s="61"/>
    </row>
    <row r="76" ht="15.6" spans="1:12">
      <c r="A76" s="49"/>
      <c r="B76" s="55"/>
      <c r="C76" s="57"/>
      <c r="D76" s="57"/>
      <c r="E76" s="58"/>
      <c r="F76" s="58"/>
      <c r="G76" s="58">
        <v>2</v>
      </c>
      <c r="H76" s="97"/>
      <c r="I76" s="58"/>
      <c r="J76" s="98"/>
      <c r="K76" s="58"/>
      <c r="L76" s="61"/>
    </row>
    <row r="77" ht="15" spans="1:12">
      <c r="A77" s="49" t="s">
        <v>352</v>
      </c>
      <c r="B77" s="55" t="s">
        <v>349</v>
      </c>
      <c r="C77" s="57" t="s">
        <v>156</v>
      </c>
      <c r="D77" s="57"/>
      <c r="E77" s="58" t="s">
        <v>157</v>
      </c>
      <c r="F77" s="57" t="s">
        <v>73</v>
      </c>
      <c r="G77" s="57">
        <v>1</v>
      </c>
      <c r="H77" s="119" t="s">
        <v>353</v>
      </c>
      <c r="I77" s="15" t="s">
        <v>349</v>
      </c>
      <c r="J77" s="56">
        <v>1</v>
      </c>
      <c r="K77" s="57"/>
      <c r="L77" s="61">
        <v>2</v>
      </c>
    </row>
    <row r="78" ht="15" spans="1:12">
      <c r="A78" s="49"/>
      <c r="B78" s="55"/>
      <c r="C78" s="57"/>
      <c r="D78" s="57"/>
      <c r="E78" s="58"/>
      <c r="F78" s="57"/>
      <c r="G78" s="57">
        <v>2</v>
      </c>
      <c r="H78" s="99" t="s">
        <v>354</v>
      </c>
      <c r="I78" s="15" t="s">
        <v>322</v>
      </c>
      <c r="J78" s="56">
        <v>1</v>
      </c>
      <c r="K78" s="57"/>
      <c r="L78" s="61">
        <v>3</v>
      </c>
    </row>
    <row r="79" ht="15" spans="1:12">
      <c r="A79" s="49"/>
      <c r="B79" s="55"/>
      <c r="C79" s="57"/>
      <c r="D79" s="57"/>
      <c r="E79" s="58"/>
      <c r="F79" s="57"/>
      <c r="G79" s="57">
        <v>3</v>
      </c>
      <c r="H79" s="60"/>
      <c r="I79" s="15"/>
      <c r="J79" s="56"/>
      <c r="K79" s="57"/>
      <c r="L79" s="61"/>
    </row>
    <row r="80" ht="15" spans="1:12">
      <c r="A80" s="49"/>
      <c r="B80" s="55"/>
      <c r="C80" s="57"/>
      <c r="D80" s="57"/>
      <c r="E80" s="58"/>
      <c r="F80" s="57"/>
      <c r="G80" s="57">
        <v>4</v>
      </c>
      <c r="H80" s="60"/>
      <c r="I80" s="15"/>
      <c r="J80" s="56"/>
      <c r="K80" s="57"/>
      <c r="L80" s="61"/>
    </row>
    <row r="81" ht="15" spans="1:12">
      <c r="A81" s="49"/>
      <c r="B81" s="55"/>
      <c r="C81" s="57"/>
      <c r="D81" s="57"/>
      <c r="E81" s="58"/>
      <c r="F81" s="57"/>
      <c r="G81" s="57">
        <v>5</v>
      </c>
      <c r="H81" s="60"/>
      <c r="I81" s="15"/>
      <c r="J81" s="56"/>
      <c r="K81" s="57"/>
      <c r="L81" s="61"/>
    </row>
    <row r="82" ht="15" spans="1:12">
      <c r="A82" s="49"/>
      <c r="B82" s="55"/>
      <c r="C82" s="57"/>
      <c r="D82" s="57"/>
      <c r="E82" s="58"/>
      <c r="F82" s="57"/>
      <c r="G82" s="57">
        <v>6</v>
      </c>
      <c r="H82" s="99"/>
      <c r="I82" s="57"/>
      <c r="J82" s="56"/>
      <c r="K82" s="57"/>
      <c r="L82" s="61"/>
    </row>
    <row r="83" ht="15" spans="1:12">
      <c r="A83" s="49"/>
      <c r="B83" s="55"/>
      <c r="C83" s="57"/>
      <c r="D83" s="57"/>
      <c r="E83" s="58"/>
      <c r="F83" s="57"/>
      <c r="G83" s="58">
        <v>7</v>
      </c>
      <c r="H83" s="60"/>
      <c r="I83" s="57"/>
      <c r="J83" s="56"/>
      <c r="K83" s="57"/>
      <c r="L83" s="61"/>
    </row>
    <row r="84" ht="15" spans="1:12">
      <c r="A84" s="49"/>
      <c r="B84" s="55"/>
      <c r="C84" s="57"/>
      <c r="D84" s="57"/>
      <c r="E84" s="58"/>
      <c r="F84" s="57"/>
      <c r="G84" s="57">
        <v>8</v>
      </c>
      <c r="H84" s="60"/>
      <c r="I84" s="57"/>
      <c r="J84" s="56"/>
      <c r="K84" s="57"/>
      <c r="L84" s="61"/>
    </row>
    <row r="85" ht="15" spans="1:12">
      <c r="A85" s="49"/>
      <c r="B85" s="55"/>
      <c r="C85" s="57"/>
      <c r="D85" s="57"/>
      <c r="E85" s="58"/>
      <c r="F85" s="57"/>
      <c r="G85" s="57">
        <v>9</v>
      </c>
      <c r="H85" s="60"/>
      <c r="I85" s="57"/>
      <c r="J85" s="56"/>
      <c r="K85" s="57"/>
      <c r="L85" s="61"/>
    </row>
    <row r="86" ht="15" spans="1:12">
      <c r="A86" s="49"/>
      <c r="B86" s="55"/>
      <c r="C86" s="57"/>
      <c r="D86" s="57"/>
      <c r="E86" s="38" t="s">
        <v>170</v>
      </c>
      <c r="F86" s="38"/>
      <c r="G86" s="38"/>
      <c r="H86" s="38"/>
      <c r="I86" s="38"/>
      <c r="J86" s="39"/>
      <c r="K86" s="40"/>
      <c r="L86" s="41">
        <f>SUM(L77:L85)</f>
        <v>5</v>
      </c>
    </row>
    <row r="87" ht="15.6" spans="1:12">
      <c r="A87" s="49"/>
      <c r="B87" s="55"/>
      <c r="C87" s="57"/>
      <c r="D87" s="57"/>
      <c r="E87" s="58" t="s">
        <v>171</v>
      </c>
      <c r="F87" s="58" t="s">
        <v>73</v>
      </c>
      <c r="G87" s="58">
        <v>1</v>
      </c>
      <c r="H87" s="97"/>
      <c r="I87" s="57"/>
      <c r="J87" s="98"/>
      <c r="K87" s="58"/>
      <c r="L87" s="100"/>
    </row>
    <row r="88" ht="15.6" spans="1:12">
      <c r="A88" s="49"/>
      <c r="B88" s="55"/>
      <c r="C88" s="57"/>
      <c r="D88" s="57"/>
      <c r="E88" s="58"/>
      <c r="F88" s="58"/>
      <c r="G88" s="58">
        <v>2</v>
      </c>
      <c r="H88" s="97"/>
      <c r="I88" s="58"/>
      <c r="J88" s="98"/>
      <c r="K88" s="58"/>
      <c r="L88" s="100"/>
    </row>
  </sheetData>
  <autoFilter xmlns:etc="http://www.wps.cn/officeDocument/2017/etCustomData" ref="I1:I56" etc:filterBottomFollowUsedRange="0">
    <extLst/>
  </autoFilter>
  <mergeCells count="66">
    <mergeCell ref="E14:H14"/>
    <mergeCell ref="E26:H26"/>
    <mergeCell ref="E38:H38"/>
    <mergeCell ref="E50:H50"/>
    <mergeCell ref="E62:H62"/>
    <mergeCell ref="E74:H74"/>
    <mergeCell ref="E86:H86"/>
    <mergeCell ref="A2:A16"/>
    <mergeCell ref="A17:A28"/>
    <mergeCell ref="A29:A40"/>
    <mergeCell ref="A41:A52"/>
    <mergeCell ref="A53:A64"/>
    <mergeCell ref="A65:A76"/>
    <mergeCell ref="A77:A88"/>
    <mergeCell ref="B2:B16"/>
    <mergeCell ref="B17:B28"/>
    <mergeCell ref="B29:B40"/>
    <mergeCell ref="B41:B52"/>
    <mergeCell ref="B53:B64"/>
    <mergeCell ref="B65:B76"/>
    <mergeCell ref="B77:B88"/>
    <mergeCell ref="C2:C16"/>
    <mergeCell ref="C17:C28"/>
    <mergeCell ref="C29:C40"/>
    <mergeCell ref="C41:C52"/>
    <mergeCell ref="C53:C64"/>
    <mergeCell ref="C65:C76"/>
    <mergeCell ref="C77:C88"/>
    <mergeCell ref="D2:D16"/>
    <mergeCell ref="D17:D28"/>
    <mergeCell ref="D29:D40"/>
    <mergeCell ref="D41:D52"/>
    <mergeCell ref="D53:D64"/>
    <mergeCell ref="D65:D76"/>
    <mergeCell ref="D77:D88"/>
    <mergeCell ref="E2:E13"/>
    <mergeCell ref="E15:E16"/>
    <mergeCell ref="E17:E25"/>
    <mergeCell ref="E27:E28"/>
    <mergeCell ref="E29:E37"/>
    <mergeCell ref="E39:E40"/>
    <mergeCell ref="E41:E49"/>
    <mergeCell ref="E51:E52"/>
    <mergeCell ref="E53:E61"/>
    <mergeCell ref="E63:E64"/>
    <mergeCell ref="E65:E73"/>
    <mergeCell ref="E75:E76"/>
    <mergeCell ref="E77:E85"/>
    <mergeCell ref="E87:E88"/>
    <mergeCell ref="F2:F13"/>
    <mergeCell ref="F15:F16"/>
    <mergeCell ref="F17:F25"/>
    <mergeCell ref="F27:F28"/>
    <mergeCell ref="F29:F34"/>
    <mergeCell ref="F35:F37"/>
    <mergeCell ref="F39:F40"/>
    <mergeCell ref="F41:F46"/>
    <mergeCell ref="F47:F49"/>
    <mergeCell ref="F51:F52"/>
    <mergeCell ref="F53:F58"/>
    <mergeCell ref="F59:F61"/>
    <mergeCell ref="F63:F64"/>
    <mergeCell ref="F65:F73"/>
    <mergeCell ref="F75:F76"/>
    <mergeCell ref="F77:F85"/>
    <mergeCell ref="F87:F88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40"/>
  <sheetViews>
    <sheetView workbookViewId="0">
      <pane ySplit="1" topLeftCell="A22" activePane="bottomLeft" state="frozen"/>
      <selection/>
      <selection pane="bottomLeft" activeCell="H36" sqref="H36"/>
    </sheetView>
  </sheetViews>
  <sheetFormatPr defaultColWidth="9.13888888888889" defaultRowHeight="13.2"/>
  <cols>
    <col min="1" max="1" width="22.4259259259259" style="1" customWidth="1"/>
    <col min="2" max="2" width="11.712962962963" style="1" customWidth="1"/>
    <col min="3" max="7" width="9.13888888888889" style="1"/>
    <col min="8" max="8" width="59.712962962963" style="1" customWidth="1"/>
    <col min="9" max="11" width="9.13888888888889" style="1"/>
    <col min="12" max="12" width="19.5740740740741" style="2" customWidth="1"/>
    <col min="13" max="16384" width="9.13888888888889" style="1"/>
  </cols>
  <sheetData>
    <row r="1" ht="69.6" spans="1:26">
      <c r="A1" s="3" t="s">
        <v>145</v>
      </c>
      <c r="B1" s="4" t="s">
        <v>6</v>
      </c>
      <c r="C1" s="3" t="s">
        <v>146</v>
      </c>
      <c r="D1" s="3" t="s">
        <v>147</v>
      </c>
      <c r="E1" s="4" t="s">
        <v>148</v>
      </c>
      <c r="F1" s="3" t="s">
        <v>149</v>
      </c>
      <c r="G1" s="3" t="s">
        <v>1</v>
      </c>
      <c r="H1" s="5" t="s">
        <v>150</v>
      </c>
      <c r="I1" s="3" t="s">
        <v>151</v>
      </c>
      <c r="J1" s="6" t="s">
        <v>152</v>
      </c>
      <c r="K1" s="3" t="s">
        <v>153</v>
      </c>
      <c r="L1" s="7" t="s">
        <v>154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6" spans="1:26">
      <c r="A2" s="9" t="s">
        <v>355</v>
      </c>
      <c r="B2" s="10" t="s">
        <v>60</v>
      </c>
      <c r="C2" s="437" t="s">
        <v>156</v>
      </c>
      <c r="D2" s="11"/>
      <c r="E2" s="12" t="s">
        <v>157</v>
      </c>
      <c r="F2" s="11" t="s">
        <v>73</v>
      </c>
      <c r="G2" s="13">
        <v>1</v>
      </c>
      <c r="H2" s="14" t="s">
        <v>356</v>
      </c>
      <c r="I2" s="15" t="s">
        <v>254</v>
      </c>
      <c r="J2" s="16">
        <v>1</v>
      </c>
      <c r="K2" s="13"/>
      <c r="L2" s="17"/>
    </row>
    <row r="3" ht="15.6" spans="1:26">
      <c r="A3" s="18"/>
      <c r="B3" s="19"/>
      <c r="C3" s="20"/>
      <c r="D3" s="20"/>
      <c r="E3" s="21"/>
      <c r="F3" s="20"/>
      <c r="G3" s="13">
        <v>2</v>
      </c>
      <c r="H3" s="22" t="s">
        <v>357</v>
      </c>
      <c r="I3" s="15" t="s">
        <v>358</v>
      </c>
      <c r="J3" s="16">
        <v>1</v>
      </c>
      <c r="K3" s="13" t="s">
        <v>359</v>
      </c>
      <c r="L3" s="17"/>
    </row>
    <row r="4" ht="24" customHeight="1" spans="1:26">
      <c r="A4" s="18"/>
      <c r="B4" s="19"/>
      <c r="C4" s="20"/>
      <c r="D4" s="20"/>
      <c r="E4" s="21"/>
      <c r="F4" s="20"/>
      <c r="G4" s="11">
        <v>3</v>
      </c>
      <c r="H4" s="23" t="s">
        <v>360</v>
      </c>
      <c r="I4" s="15" t="s">
        <v>361</v>
      </c>
      <c r="J4" s="24">
        <v>0.98</v>
      </c>
      <c r="K4" s="11" t="s">
        <v>362</v>
      </c>
      <c r="L4" s="17"/>
    </row>
    <row r="5" ht="22" customHeight="1" spans="1:26">
      <c r="A5" s="18"/>
      <c r="B5" s="19"/>
      <c r="C5" s="20"/>
      <c r="D5" s="20"/>
      <c r="E5" s="21"/>
      <c r="F5" s="20"/>
      <c r="G5" s="20"/>
      <c r="H5" s="25"/>
      <c r="I5" s="15" t="s">
        <v>363</v>
      </c>
      <c r="J5" s="26"/>
      <c r="K5" s="20"/>
      <c r="L5" s="17"/>
    </row>
    <row r="6" ht="22" customHeight="1" spans="1:26">
      <c r="A6" s="18"/>
      <c r="B6" s="19"/>
      <c r="C6" s="20"/>
      <c r="D6" s="20"/>
      <c r="E6" s="21"/>
      <c r="F6" s="20"/>
      <c r="G6" s="27"/>
      <c r="H6" s="28"/>
      <c r="I6" s="15" t="s">
        <v>358</v>
      </c>
      <c r="J6" s="29"/>
      <c r="K6" s="27"/>
      <c r="L6" s="17"/>
    </row>
    <row r="7" ht="22" customHeight="1" spans="1:26">
      <c r="A7" s="18"/>
      <c r="B7" s="19"/>
      <c r="C7" s="20"/>
      <c r="D7" s="20"/>
      <c r="E7" s="21"/>
      <c r="F7" s="20"/>
      <c r="G7" s="13">
        <v>4</v>
      </c>
      <c r="H7" s="14" t="s">
        <v>364</v>
      </c>
      <c r="I7" s="15" t="s">
        <v>363</v>
      </c>
      <c r="J7" s="16">
        <v>1</v>
      </c>
      <c r="K7" s="13" t="s">
        <v>359</v>
      </c>
      <c r="L7" s="17"/>
    </row>
    <row r="8" ht="22" customHeight="1" spans="1:26">
      <c r="A8" s="18"/>
      <c r="B8" s="19"/>
      <c r="C8" s="20"/>
      <c r="D8" s="20"/>
      <c r="E8" s="21"/>
      <c r="F8" s="20"/>
      <c r="G8" s="11">
        <v>5</v>
      </c>
      <c r="H8" s="11" t="s">
        <v>365</v>
      </c>
      <c r="I8" s="15" t="s">
        <v>363</v>
      </c>
      <c r="J8" s="24">
        <v>1</v>
      </c>
      <c r="K8" s="11"/>
      <c r="L8" s="17"/>
    </row>
    <row r="9" ht="15.6" spans="1:26">
      <c r="A9" s="18"/>
      <c r="B9" s="19"/>
      <c r="C9" s="20"/>
      <c r="D9" s="20"/>
      <c r="E9" s="21"/>
      <c r="F9" s="20"/>
      <c r="G9" s="27"/>
      <c r="H9" s="28"/>
      <c r="I9" s="15" t="s">
        <v>361</v>
      </c>
      <c r="J9" s="29"/>
      <c r="K9" s="27"/>
      <c r="L9" s="17"/>
    </row>
    <row r="10" ht="21" customHeight="1" spans="1:26">
      <c r="A10" s="18"/>
      <c r="B10" s="19"/>
      <c r="C10" s="20"/>
      <c r="D10" s="20"/>
      <c r="E10" s="21"/>
      <c r="F10" s="20"/>
      <c r="G10" s="13">
        <v>6</v>
      </c>
      <c r="H10" s="22" t="s">
        <v>366</v>
      </c>
      <c r="I10" s="13" t="s">
        <v>254</v>
      </c>
      <c r="J10" s="16">
        <v>1</v>
      </c>
      <c r="K10" s="13"/>
      <c r="L10" s="17"/>
    </row>
    <row r="11" ht="30" spans="1:26">
      <c r="A11" s="18"/>
      <c r="B11" s="19"/>
      <c r="C11" s="20"/>
      <c r="D11" s="20"/>
      <c r="E11" s="21"/>
      <c r="F11" s="20"/>
      <c r="G11" s="30">
        <v>7</v>
      </c>
      <c r="H11" s="14" t="s">
        <v>367</v>
      </c>
      <c r="I11" s="13" t="s">
        <v>361</v>
      </c>
      <c r="J11" s="16">
        <v>1</v>
      </c>
      <c r="K11" s="13" t="s">
        <v>368</v>
      </c>
      <c r="L11" s="17"/>
    </row>
    <row r="12" ht="33" customHeight="1" spans="1:26">
      <c r="A12" s="18"/>
      <c r="B12" s="19"/>
      <c r="C12" s="20"/>
      <c r="D12" s="20"/>
      <c r="E12" s="21"/>
      <c r="F12" s="20"/>
      <c r="G12" s="13">
        <v>8</v>
      </c>
      <c r="H12" s="14" t="s">
        <v>369</v>
      </c>
      <c r="I12" s="13" t="s">
        <v>358</v>
      </c>
      <c r="J12" s="16">
        <v>1</v>
      </c>
      <c r="K12" s="13" t="s">
        <v>359</v>
      </c>
      <c r="L12" s="17"/>
    </row>
    <row r="13" ht="25" customHeight="1" spans="1:26">
      <c r="A13" s="18"/>
      <c r="B13" s="19"/>
      <c r="C13" s="20"/>
      <c r="D13" s="20"/>
      <c r="E13" s="21"/>
      <c r="F13" s="20"/>
      <c r="G13" s="11">
        <v>9</v>
      </c>
      <c r="H13" s="23" t="s">
        <v>370</v>
      </c>
      <c r="I13" s="13" t="s">
        <v>361</v>
      </c>
      <c r="J13" s="24">
        <v>0.8</v>
      </c>
      <c r="K13" s="11" t="s">
        <v>371</v>
      </c>
      <c r="L13" s="17"/>
    </row>
    <row r="14" ht="23" customHeight="1" spans="1:26">
      <c r="A14" s="18"/>
      <c r="B14" s="19"/>
      <c r="C14" s="20"/>
      <c r="D14" s="20"/>
      <c r="E14" s="21"/>
      <c r="F14" s="20"/>
      <c r="G14" s="27"/>
      <c r="H14" s="28"/>
      <c r="I14" s="13" t="s">
        <v>372</v>
      </c>
      <c r="J14" s="29"/>
      <c r="K14" s="27"/>
      <c r="L14" s="17"/>
    </row>
    <row r="15" ht="23" customHeight="1" spans="1:26">
      <c r="A15" s="18"/>
      <c r="B15" s="19"/>
      <c r="C15" s="20"/>
      <c r="D15" s="20"/>
      <c r="E15" s="21"/>
      <c r="F15" s="20"/>
      <c r="G15" s="20">
        <v>10</v>
      </c>
      <c r="H15" s="25" t="s">
        <v>373</v>
      </c>
      <c r="I15" s="13" t="s">
        <v>254</v>
      </c>
      <c r="J15" s="26">
        <v>0.9</v>
      </c>
      <c r="K15" s="20" t="s">
        <v>374</v>
      </c>
      <c r="L15" s="17"/>
    </row>
    <row r="16" ht="23" customHeight="1" spans="1:26">
      <c r="A16" s="18"/>
      <c r="B16" s="19"/>
      <c r="C16" s="20"/>
      <c r="D16" s="20"/>
      <c r="E16" s="21"/>
      <c r="F16" s="20"/>
      <c r="G16" s="20"/>
      <c r="H16" s="25"/>
      <c r="I16" s="13" t="s">
        <v>375</v>
      </c>
      <c r="J16" s="26"/>
      <c r="K16" s="20"/>
      <c r="L16" s="17"/>
    </row>
    <row r="17" ht="23" customHeight="1" spans="1:12">
      <c r="A17" s="18"/>
      <c r="B17" s="19"/>
      <c r="C17" s="20"/>
      <c r="D17" s="20"/>
      <c r="E17" s="21"/>
      <c r="F17" s="20"/>
      <c r="G17" s="27"/>
      <c r="H17" s="28"/>
      <c r="I17" s="13" t="s">
        <v>252</v>
      </c>
      <c r="J17" s="29"/>
      <c r="K17" s="27"/>
      <c r="L17" s="17"/>
    </row>
    <row r="18" ht="23" customHeight="1" spans="1:12">
      <c r="A18" s="18"/>
      <c r="B18" s="19"/>
      <c r="C18" s="20"/>
      <c r="D18" s="20"/>
      <c r="E18" s="21"/>
      <c r="F18" s="20"/>
      <c r="G18" s="20">
        <v>11</v>
      </c>
      <c r="H18" s="25" t="s">
        <v>376</v>
      </c>
      <c r="I18" s="13" t="s">
        <v>375</v>
      </c>
      <c r="J18" s="26">
        <v>0.8</v>
      </c>
      <c r="K18" s="27" t="s">
        <v>377</v>
      </c>
      <c r="L18" s="17">
        <v>1</v>
      </c>
    </row>
    <row r="19" ht="23" customHeight="1" spans="1:12">
      <c r="A19" s="18"/>
      <c r="B19" s="19"/>
      <c r="C19" s="20"/>
      <c r="D19" s="20"/>
      <c r="E19" s="21"/>
      <c r="F19" s="20"/>
      <c r="G19" s="27"/>
      <c r="H19" s="28"/>
      <c r="I19" s="13" t="s">
        <v>254</v>
      </c>
      <c r="J19" s="29"/>
      <c r="K19" s="27" t="s">
        <v>377</v>
      </c>
      <c r="L19" s="17"/>
    </row>
    <row r="20" ht="23" customHeight="1" spans="1:12">
      <c r="A20" s="18"/>
      <c r="B20" s="19"/>
      <c r="C20" s="20"/>
      <c r="D20" s="20"/>
      <c r="E20" s="21"/>
      <c r="F20" s="20"/>
      <c r="G20" s="31">
        <v>12</v>
      </c>
      <c r="H20" s="32" t="s">
        <v>378</v>
      </c>
      <c r="I20" s="33" t="s">
        <v>254</v>
      </c>
      <c r="J20" s="34">
        <v>0.55</v>
      </c>
      <c r="K20" s="31" t="s">
        <v>379</v>
      </c>
      <c r="L20" s="17">
        <v>3.5</v>
      </c>
    </row>
    <row r="21" ht="23" customHeight="1" spans="1:12">
      <c r="A21" s="18"/>
      <c r="B21" s="19"/>
      <c r="C21" s="20"/>
      <c r="D21" s="20"/>
      <c r="E21" s="21"/>
      <c r="F21" s="20"/>
      <c r="G21" s="31"/>
      <c r="H21" s="32"/>
      <c r="I21" s="33" t="s">
        <v>363</v>
      </c>
      <c r="J21" s="34"/>
      <c r="K21" s="31"/>
      <c r="L21" s="17">
        <v>4</v>
      </c>
    </row>
    <row r="22" ht="23" customHeight="1" spans="1:12">
      <c r="A22" s="18"/>
      <c r="B22" s="19"/>
      <c r="C22" s="20"/>
      <c r="D22" s="20"/>
      <c r="E22" s="21"/>
      <c r="F22" s="20"/>
      <c r="G22" s="31"/>
      <c r="H22" s="32"/>
      <c r="I22" s="33" t="s">
        <v>358</v>
      </c>
      <c r="J22" s="34"/>
      <c r="K22" s="31"/>
      <c r="L22" s="17">
        <v>4</v>
      </c>
    </row>
    <row r="23" ht="23" customHeight="1" spans="1:12">
      <c r="A23" s="18"/>
      <c r="B23" s="19"/>
      <c r="C23" s="20"/>
      <c r="D23" s="20"/>
      <c r="E23" s="21"/>
      <c r="F23" s="20"/>
      <c r="G23" s="31"/>
      <c r="H23" s="32"/>
      <c r="I23" s="33" t="s">
        <v>361</v>
      </c>
      <c r="J23" s="34"/>
      <c r="K23" s="31"/>
      <c r="L23" s="17">
        <v>4</v>
      </c>
    </row>
    <row r="24" ht="23" customHeight="1" spans="1:12">
      <c r="A24" s="18"/>
      <c r="B24" s="19"/>
      <c r="C24" s="20"/>
      <c r="D24" s="20"/>
      <c r="E24" s="21"/>
      <c r="F24" s="20"/>
      <c r="G24" s="31"/>
      <c r="H24" s="32"/>
      <c r="I24" s="33" t="s">
        <v>375</v>
      </c>
      <c r="J24" s="34"/>
      <c r="K24" s="35"/>
      <c r="L24" s="17">
        <v>1</v>
      </c>
    </row>
    <row r="25" ht="23" customHeight="1" spans="1:12">
      <c r="A25" s="18"/>
      <c r="B25" s="19"/>
      <c r="C25" s="20"/>
      <c r="D25" s="20"/>
      <c r="E25" s="21"/>
      <c r="F25" s="13" t="s">
        <v>380</v>
      </c>
      <c r="G25" s="13">
        <v>1</v>
      </c>
      <c r="H25" s="14" t="s">
        <v>381</v>
      </c>
      <c r="I25" s="13" t="s">
        <v>382</v>
      </c>
      <c r="J25" s="16">
        <v>1</v>
      </c>
      <c r="K25" s="13"/>
      <c r="L25" s="17">
        <v>4</v>
      </c>
    </row>
    <row r="26" ht="23" customHeight="1" spans="1:12">
      <c r="A26" s="18"/>
      <c r="B26" s="19"/>
      <c r="C26" s="20"/>
      <c r="D26" s="20"/>
      <c r="E26" s="21"/>
      <c r="F26" s="13"/>
      <c r="G26" s="13">
        <v>2</v>
      </c>
      <c r="H26" s="14" t="s">
        <v>383</v>
      </c>
      <c r="I26" s="13" t="s">
        <v>384</v>
      </c>
      <c r="J26" s="16">
        <v>1</v>
      </c>
      <c r="K26" s="13"/>
      <c r="L26" s="17">
        <v>4</v>
      </c>
    </row>
    <row r="27" ht="23" customHeight="1" spans="1:12">
      <c r="A27" s="18"/>
      <c r="B27" s="19"/>
      <c r="C27" s="20"/>
      <c r="D27" s="20"/>
      <c r="E27" s="21"/>
      <c r="F27" s="13"/>
      <c r="G27" s="13">
        <v>3</v>
      </c>
      <c r="H27" s="14" t="s">
        <v>383</v>
      </c>
      <c r="I27" s="13" t="s">
        <v>385</v>
      </c>
      <c r="J27" s="16">
        <v>1</v>
      </c>
      <c r="K27" s="13"/>
      <c r="L27" s="17">
        <v>4</v>
      </c>
    </row>
    <row r="28" ht="23" customHeight="1" spans="1:12">
      <c r="A28" s="18"/>
      <c r="B28" s="19"/>
      <c r="C28" s="20"/>
      <c r="D28" s="20"/>
      <c r="E28" s="21"/>
      <c r="F28" s="20" t="s">
        <v>386</v>
      </c>
      <c r="G28" s="13">
        <v>1</v>
      </c>
      <c r="H28" s="14" t="s">
        <v>387</v>
      </c>
      <c r="I28" s="13" t="s">
        <v>60</v>
      </c>
      <c r="J28" s="16">
        <v>0.1</v>
      </c>
      <c r="K28" s="13" t="s">
        <v>388</v>
      </c>
      <c r="L28" s="17"/>
    </row>
    <row r="29" ht="24" customHeight="1" spans="1:12">
      <c r="A29" s="18"/>
      <c r="B29" s="19"/>
      <c r="C29" s="20"/>
      <c r="D29" s="20"/>
      <c r="E29" s="21"/>
      <c r="F29" s="20"/>
      <c r="G29" s="13">
        <v>2</v>
      </c>
      <c r="H29" s="14" t="s">
        <v>389</v>
      </c>
      <c r="I29" s="13" t="s">
        <v>60</v>
      </c>
      <c r="J29" s="16">
        <v>0.15</v>
      </c>
      <c r="K29" s="13" t="s">
        <v>390</v>
      </c>
      <c r="L29" s="17"/>
    </row>
    <row r="30" ht="15.6" spans="1:12">
      <c r="A30" s="18"/>
      <c r="B30" s="19"/>
      <c r="C30" s="20"/>
      <c r="D30" s="20"/>
      <c r="E30" s="21"/>
      <c r="F30" s="20"/>
      <c r="G30" s="11">
        <v>3</v>
      </c>
      <c r="H30" s="23" t="s">
        <v>391</v>
      </c>
      <c r="I30" s="11" t="s">
        <v>361</v>
      </c>
      <c r="J30" s="24">
        <v>0.1</v>
      </c>
      <c r="K30" s="11" t="s">
        <v>392</v>
      </c>
      <c r="L30" s="17"/>
    </row>
    <row r="31" spans="1:12">
      <c r="A31" s="18"/>
      <c r="B31" s="19"/>
      <c r="C31" s="20"/>
      <c r="D31" s="20"/>
      <c r="E31" s="21"/>
      <c r="F31" s="20"/>
      <c r="G31" s="11">
        <v>4</v>
      </c>
      <c r="H31" s="23" t="s">
        <v>393</v>
      </c>
      <c r="I31" s="11" t="s">
        <v>60</v>
      </c>
      <c r="J31" s="24">
        <v>0.05</v>
      </c>
      <c r="K31" s="11"/>
      <c r="L31" s="10">
        <v>2</v>
      </c>
    </row>
    <row r="32" spans="1:12">
      <c r="A32" s="18"/>
      <c r="B32" s="19"/>
      <c r="C32" s="20"/>
      <c r="D32" s="20"/>
      <c r="E32" s="21"/>
      <c r="F32" s="20"/>
      <c r="G32" s="27"/>
      <c r="H32" s="28"/>
      <c r="I32" s="27"/>
      <c r="J32" s="29"/>
      <c r="K32" s="27"/>
      <c r="L32" s="36"/>
    </row>
    <row r="33" ht="15.6" spans="1:12">
      <c r="A33" s="18"/>
      <c r="B33" s="19"/>
      <c r="C33" s="20"/>
      <c r="D33" s="20"/>
      <c r="E33" s="37"/>
      <c r="F33" s="27"/>
      <c r="G33" s="11"/>
      <c r="H33" s="23"/>
      <c r="I33" s="11"/>
      <c r="J33" s="24"/>
      <c r="K33" s="11"/>
      <c r="L33" s="10"/>
    </row>
    <row r="34" ht="15" spans="1:12">
      <c r="A34" s="18"/>
      <c r="B34" s="19"/>
      <c r="C34" s="20"/>
      <c r="D34" s="20"/>
      <c r="E34" s="38" t="s">
        <v>170</v>
      </c>
      <c r="F34" s="38"/>
      <c r="G34" s="38"/>
      <c r="H34" s="38"/>
      <c r="I34" s="38"/>
      <c r="J34" s="39"/>
      <c r="K34" s="40"/>
      <c r="L34" s="41">
        <f>SUM(L2:L33)</f>
        <v>31.5</v>
      </c>
    </row>
    <row r="35" ht="62.4" spans="1:12">
      <c r="A35" s="18"/>
      <c r="B35" s="19"/>
      <c r="C35" s="20"/>
      <c r="D35" s="20"/>
      <c r="E35" s="12" t="s">
        <v>171</v>
      </c>
      <c r="F35" s="12" t="s">
        <v>73</v>
      </c>
      <c r="G35" s="30">
        <v>1</v>
      </c>
      <c r="H35" s="42" t="s">
        <v>378</v>
      </c>
      <c r="I35" s="13" t="s">
        <v>254</v>
      </c>
      <c r="J35" s="43">
        <v>0.6</v>
      </c>
      <c r="K35" s="30"/>
      <c r="L35" s="44"/>
    </row>
    <row r="36" ht="17" customHeight="1" spans="1:12">
      <c r="A36" s="18"/>
      <c r="B36" s="19"/>
      <c r="C36" s="20"/>
      <c r="D36" s="20"/>
      <c r="E36" s="21"/>
      <c r="F36" s="21"/>
      <c r="G36" s="30">
        <v>2</v>
      </c>
      <c r="H36" s="42" t="s">
        <v>394</v>
      </c>
      <c r="I36" s="30" t="s">
        <v>372</v>
      </c>
      <c r="J36" s="43">
        <v>1</v>
      </c>
      <c r="K36" s="30"/>
      <c r="L36" s="44"/>
    </row>
    <row r="37" ht="15.6" spans="1:12">
      <c r="A37" s="18"/>
      <c r="B37" s="19"/>
      <c r="C37" s="20"/>
      <c r="D37" s="20"/>
      <c r="E37" s="21"/>
      <c r="F37" s="37"/>
      <c r="G37" s="30">
        <v>3</v>
      </c>
      <c r="H37" s="42" t="s">
        <v>395</v>
      </c>
      <c r="I37" s="13" t="s">
        <v>361</v>
      </c>
      <c r="J37" s="43">
        <v>0.9</v>
      </c>
      <c r="K37" s="30"/>
      <c r="L37" s="44"/>
    </row>
    <row r="38" ht="15.6" spans="1:12">
      <c r="A38" s="18"/>
      <c r="B38" s="19"/>
      <c r="C38" s="20"/>
      <c r="D38" s="20"/>
      <c r="E38" s="21"/>
      <c r="F38" s="45" t="s">
        <v>386</v>
      </c>
      <c r="G38" s="30">
        <v>1</v>
      </c>
      <c r="H38" s="42" t="s">
        <v>396</v>
      </c>
      <c r="I38" s="13" t="s">
        <v>60</v>
      </c>
      <c r="J38" s="43">
        <v>1</v>
      </c>
      <c r="K38" s="30"/>
      <c r="L38" s="44"/>
    </row>
    <row r="39" ht="15.6" spans="1:12">
      <c r="A39" s="18"/>
      <c r="B39" s="19"/>
      <c r="C39" s="20"/>
      <c r="D39" s="20"/>
      <c r="E39" s="21"/>
      <c r="F39" s="45"/>
      <c r="G39" s="30">
        <v>2</v>
      </c>
      <c r="H39" s="42" t="s">
        <v>397</v>
      </c>
      <c r="I39" s="13" t="s">
        <v>361</v>
      </c>
      <c r="J39" s="43">
        <v>1</v>
      </c>
      <c r="K39" s="30"/>
      <c r="L39" s="44"/>
    </row>
    <row r="40" ht="21" customHeight="1" spans="1:12">
      <c r="A40" s="18"/>
      <c r="B40" s="19"/>
      <c r="C40" s="20"/>
      <c r="D40" s="20"/>
      <c r="E40" s="21"/>
      <c r="F40" s="45"/>
      <c r="G40" s="30">
        <v>3</v>
      </c>
      <c r="H40" s="42" t="s">
        <v>398</v>
      </c>
      <c r="I40" s="13" t="s">
        <v>254</v>
      </c>
      <c r="J40" s="43">
        <v>1</v>
      </c>
      <c r="K40" s="30"/>
      <c r="L40" s="44"/>
    </row>
  </sheetData>
  <autoFilter xmlns:etc="http://www.wps.cn/officeDocument/2017/etCustomData" ref="A1:Z40" etc:filterBottomFollowUsedRange="0">
    <extLst/>
  </autoFilter>
  <mergeCells count="41">
    <mergeCell ref="E34:H34"/>
    <mergeCell ref="A2:A40"/>
    <mergeCell ref="B2:B40"/>
    <mergeCell ref="C2:C40"/>
    <mergeCell ref="D2:D40"/>
    <mergeCell ref="E2:E33"/>
    <mergeCell ref="E35:E40"/>
    <mergeCell ref="F2:F24"/>
    <mergeCell ref="F25:F27"/>
    <mergeCell ref="F28:F33"/>
    <mergeCell ref="F35:F37"/>
    <mergeCell ref="F38:F40"/>
    <mergeCell ref="G4:G6"/>
    <mergeCell ref="G8:G9"/>
    <mergeCell ref="G13:G14"/>
    <mergeCell ref="G15:G17"/>
    <mergeCell ref="G18:G19"/>
    <mergeCell ref="G20:G24"/>
    <mergeCell ref="G31:G32"/>
    <mergeCell ref="H4:H6"/>
    <mergeCell ref="H8:H9"/>
    <mergeCell ref="H13:H14"/>
    <mergeCell ref="H15:H17"/>
    <mergeCell ref="H18:H19"/>
    <mergeCell ref="H20:H24"/>
    <mergeCell ref="H31:H32"/>
    <mergeCell ref="I31:I32"/>
    <mergeCell ref="J4:J6"/>
    <mergeCell ref="J8:J9"/>
    <mergeCell ref="J13:J14"/>
    <mergeCell ref="J15:J17"/>
    <mergeCell ref="J18:J19"/>
    <mergeCell ref="J20:J24"/>
    <mergeCell ref="J31:J32"/>
    <mergeCell ref="K4:K6"/>
    <mergeCell ref="K8:K9"/>
    <mergeCell ref="K13:K14"/>
    <mergeCell ref="K15:K17"/>
    <mergeCell ref="K20:K24"/>
    <mergeCell ref="K31:K32"/>
    <mergeCell ref="L31:L3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项目汇总</vt:lpstr>
      <vt:lpstr>交付-不动产组</vt:lpstr>
      <vt:lpstr>交付-房产组</vt:lpstr>
      <vt:lpstr>交付-物业组</vt:lpstr>
      <vt:lpstr>交付-AI大数据组</vt:lpstr>
      <vt:lpstr>交付-JD组</vt:lpstr>
      <vt:lpstr>产品研发部</vt:lpstr>
      <vt:lpstr>汇房智选部</vt:lpstr>
      <vt:lpstr>软件项目部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王壮-leo</dc:creator>
  <cp:lastModifiedBy>阐述者 ~</cp:lastModifiedBy>
  <dcterms:created xsi:type="dcterms:W3CDTF">2015-06-05T18:19:00Z</dcterms:created>
  <dcterms:modified xsi:type="dcterms:W3CDTF">2026-04-30T12:00:51Z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8CE315F449C943B0A03441FAB45BFA52_13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