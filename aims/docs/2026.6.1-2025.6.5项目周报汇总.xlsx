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codeName="ThisWorkbook"/>
  <mc:AlternateContent xmlns:mc="http://schemas.openxmlformats.org/markup-compatibility/2006">
    <mc:Choice Requires="x15">
      <x15ac:absPath xmlns:x15ac="http://schemas.microsoft.com/office/spreadsheetml/2010/11/ac" url="/Users/gavin/Dev/huizhi-yun/aims/docs/"/>
    </mc:Choice>
  </mc:AlternateContent>
  <xr:revisionPtr revIDLastSave="0" documentId="8_{1F6D526C-C7C8-4641-A584-64C6AD1CC01F}" xr6:coauthVersionLast="47" xr6:coauthVersionMax="47" xr10:uidLastSave="{00000000-0000-0000-0000-000000000000}"/>
  <bookViews>
    <workbookView xWindow="0" yWindow="580" windowWidth="25600" windowHeight="16060" tabRatio="761" activeTab="4" xr2:uid="{00000000-000D-0000-FFFF-FFFF00000000}"/>
  </bookViews>
  <sheets>
    <sheet name="项目汇总" sheetId="1" r:id="rId1"/>
    <sheet name="交付-不动产组" sheetId="2" r:id="rId2"/>
    <sheet name="交付-房产组" sheetId="3" r:id="rId3"/>
    <sheet name="交付-物业组" sheetId="4" r:id="rId4"/>
    <sheet name="交付-AI大数据组" sheetId="5" r:id="rId5"/>
    <sheet name="交付-JD组" sheetId="6" r:id="rId6"/>
    <sheet name="产品研发部" sheetId="7" r:id="rId7"/>
    <sheet name="汇房智选部" sheetId="8" r:id="rId8"/>
    <sheet name="软件项目部" sheetId="9" r:id="rId9"/>
  </sheets>
  <definedNames>
    <definedName name="_xlnm._FilterDatabase" localSheetId="6" hidden="1">产品研发部!#REF!</definedName>
    <definedName name="_xlnm._FilterDatabase" localSheetId="7" hidden="1">汇房智选部!$I$1:$I$56</definedName>
    <definedName name="_xlnm._FilterDatabase" localSheetId="4" hidden="1">#REF!</definedName>
    <definedName name="_xlnm._FilterDatabase" localSheetId="5" hidden="1">#REF!</definedName>
    <definedName name="_xlnm._FilterDatabase" localSheetId="1" hidden="1">'交付-不动产组'!$A$1:$L$27</definedName>
    <definedName name="_xlnm._FilterDatabase" localSheetId="2" hidden="1">#REF!</definedName>
    <definedName name="_xlnm._FilterDatabase" localSheetId="3" hidden="1">#REF!</definedName>
    <definedName name="_xlnm._FilterDatabase" localSheetId="8" hidden="1">软件项目部!$A$1:$Z$44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9" i="9" l="1"/>
  <c r="L94" i="8"/>
  <c r="L86" i="8"/>
  <c r="L74" i="8"/>
  <c r="L62" i="8"/>
  <c r="L50" i="8"/>
  <c r="L38" i="8"/>
  <c r="L26" i="8"/>
  <c r="L14" i="8"/>
  <c r="L10" i="6"/>
  <c r="L5" i="6"/>
  <c r="L25" i="5"/>
  <c r="L19" i="5"/>
  <c r="L13" i="5"/>
  <c r="L5" i="5"/>
  <c r="L14" i="4"/>
  <c r="L6" i="4"/>
  <c r="L3" i="4"/>
  <c r="L65" i="3"/>
  <c r="L59" i="3"/>
  <c r="L48" i="3"/>
  <c r="L38" i="3"/>
  <c r="L28" i="3"/>
  <c r="L22" i="3"/>
  <c r="L11" i="3"/>
  <c r="L5" i="3"/>
  <c r="L33" i="2"/>
  <c r="L19" i="2"/>
  <c r="L14" i="2"/>
  <c r="L8" i="2"/>
  <c r="R45" i="1"/>
  <c r="O45" i="1"/>
  <c r="N45" i="1"/>
  <c r="P44" i="1"/>
  <c r="P43" i="1"/>
  <c r="R42" i="1"/>
  <c r="O42" i="1"/>
  <c r="N42" i="1"/>
  <c r="P41" i="1"/>
  <c r="P36" i="1"/>
  <c r="P35" i="1"/>
  <c r="P34" i="1"/>
  <c r="P33" i="1"/>
  <c r="P32" i="1"/>
  <c r="R31" i="1"/>
  <c r="O31" i="1"/>
  <c r="N31" i="1"/>
  <c r="P30" i="1"/>
  <c r="P29" i="1"/>
  <c r="P28" i="1"/>
  <c r="P27" i="1"/>
  <c r="P26" i="1"/>
  <c r="R24" i="1"/>
  <c r="O24" i="1"/>
  <c r="N24" i="1"/>
  <c r="P23" i="1"/>
  <c r="P22" i="1"/>
  <c r="P21" i="1"/>
  <c r="P20" i="1"/>
  <c r="P19" i="1"/>
  <c r="P18" i="1"/>
  <c r="P17" i="1"/>
  <c r="P15" i="1"/>
  <c r="P14" i="1"/>
  <c r="P12" i="1"/>
  <c r="P11" i="1"/>
  <c r="P10" i="1"/>
  <c r="P9" i="1"/>
  <c r="P8" i="1"/>
  <c r="P4" i="1"/>
  <c r="P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王壮-leo</author>
  </authors>
  <commentList>
    <comment ref="N2" authorId="0" shapeId="0" xr:uid="{00000000-0006-0000-0000-000001000000}">
      <text>
        <r>
          <rPr>
            <b/>
            <sz val="9"/>
            <rFont val="宋体"/>
            <family val="3"/>
            <charset val="134"/>
          </rPr>
          <t>王壮-leo:</t>
        </r>
        <r>
          <rPr>
            <sz val="9"/>
            <rFont val="宋体"/>
            <family val="3"/>
            <charset val="134"/>
          </rPr>
          <t xml:space="preserve">
按照每周各项目成员填报工时累计之和除以8计算</t>
        </r>
      </text>
    </comment>
    <comment ref="M3" authorId="0" shapeId="0" xr:uid="{00000000-0006-0000-0000-000002000000}">
      <text>
        <r>
          <rPr>
            <b/>
            <sz val="9"/>
            <rFont val="宋体"/>
            <family val="3"/>
            <charset val="134"/>
          </rPr>
          <t>王壮-leo:</t>
        </r>
        <r>
          <rPr>
            <sz val="9"/>
            <rFont val="宋体"/>
            <family val="3"/>
            <charset val="134"/>
          </rPr>
          <t xml:space="preserve">
</t>
        </r>
        <r>
          <rPr>
            <sz val="12"/>
            <rFont val="宋体"/>
            <family val="3"/>
            <charset val="134"/>
          </rPr>
          <t>本年度</t>
        </r>
      </text>
    </comment>
    <comment ref="M7" authorId="0" shapeId="0" xr:uid="{00000000-0006-0000-0000-000003000000}">
      <text>
        <r>
          <rPr>
            <b/>
            <sz val="9"/>
            <rFont val="宋体"/>
            <family val="3"/>
            <charset val="134"/>
          </rPr>
          <t>王壮-leo:</t>
        </r>
        <r>
          <rPr>
            <sz val="9"/>
            <rFont val="宋体"/>
            <family val="3"/>
            <charset val="134"/>
          </rPr>
          <t xml:space="preserve">
本年度</t>
        </r>
      </text>
    </comment>
    <comment ref="M8" authorId="0" shapeId="0" xr:uid="{00000000-0006-0000-0000-000004000000}">
      <text>
        <r>
          <rPr>
            <b/>
            <sz val="9"/>
            <rFont val="宋体"/>
            <family val="3"/>
            <charset val="134"/>
          </rPr>
          <t>王壮-leo:</t>
        </r>
        <r>
          <rPr>
            <sz val="9"/>
            <rFont val="宋体"/>
            <family val="3"/>
            <charset val="134"/>
          </rPr>
          <t xml:space="preserve">
成本超支</t>
        </r>
      </text>
    </comment>
    <comment ref="M18" authorId="0" shapeId="0" xr:uid="{00000000-0006-0000-0000-000005000000}">
      <text>
        <r>
          <rPr>
            <b/>
            <sz val="9"/>
            <rFont val="宋体"/>
            <family val="3"/>
            <charset val="134"/>
          </rPr>
          <t>王壮-leo:</t>
        </r>
        <r>
          <rPr>
            <sz val="9"/>
            <rFont val="宋体"/>
            <family val="3"/>
            <charset val="134"/>
          </rPr>
          <t xml:space="preserve">
本年度
含ZB维修、基层财务、住房贷款项目售后</t>
        </r>
      </text>
    </comment>
    <comment ref="M19" authorId="0" shapeId="0" xr:uid="{00000000-0006-0000-0000-000006000000}">
      <text>
        <r>
          <rPr>
            <b/>
            <sz val="9"/>
            <rFont val="宋体"/>
            <family val="3"/>
            <charset val="134"/>
          </rPr>
          <t>王壮-leo:</t>
        </r>
        <r>
          <rPr>
            <sz val="9"/>
            <rFont val="宋体"/>
            <family val="3"/>
            <charset val="134"/>
          </rPr>
          <t xml:space="preserve">
本年度</t>
        </r>
      </text>
    </comment>
    <comment ref="M20" authorId="0" shapeId="0" xr:uid="{00000000-0006-0000-0000-000007000000}">
      <text>
        <r>
          <rPr>
            <b/>
            <sz val="9"/>
            <rFont val="宋体"/>
            <family val="3"/>
            <charset val="134"/>
          </rPr>
          <t>王壮-leo:</t>
        </r>
        <r>
          <rPr>
            <sz val="9"/>
            <rFont val="宋体"/>
            <family val="3"/>
            <charset val="134"/>
          </rPr>
          <t xml:space="preserve">
本年度
</t>
        </r>
      </text>
    </comment>
    <comment ref="M21" authorId="0" shapeId="0" xr:uid="{00000000-0006-0000-0000-000008000000}">
      <text>
        <r>
          <rPr>
            <b/>
            <sz val="9"/>
            <rFont val="宋体"/>
            <family val="3"/>
            <charset val="134"/>
          </rPr>
          <t>王壮-leo:</t>
        </r>
        <r>
          <rPr>
            <sz val="9"/>
            <rFont val="宋体"/>
            <family val="3"/>
            <charset val="134"/>
          </rPr>
          <t xml:space="preserve">
本年度</t>
        </r>
      </text>
    </comment>
    <comment ref="M22" authorId="0" shapeId="0" xr:uid="{00000000-0006-0000-0000-000009000000}">
      <text>
        <r>
          <rPr>
            <b/>
            <sz val="9"/>
            <rFont val="宋体"/>
            <family val="3"/>
            <charset val="134"/>
          </rPr>
          <t>王壮-leo:</t>
        </r>
        <r>
          <rPr>
            <sz val="9"/>
            <rFont val="宋体"/>
            <family val="3"/>
            <charset val="134"/>
          </rPr>
          <t xml:space="preserve">
本年度</t>
        </r>
      </text>
    </comment>
    <comment ref="M23" authorId="0" shapeId="0" xr:uid="{00000000-0006-0000-0000-00000A000000}">
      <text>
        <r>
          <rPr>
            <b/>
            <sz val="9"/>
            <rFont val="宋体"/>
            <family val="3"/>
            <charset val="134"/>
          </rPr>
          <t>王壮-leo:</t>
        </r>
        <r>
          <rPr>
            <sz val="9"/>
            <rFont val="宋体"/>
            <family val="3"/>
            <charset val="134"/>
          </rPr>
          <t xml:space="preserve">
本年度</t>
        </r>
      </text>
    </comment>
    <comment ref="M32" authorId="0" shapeId="0" xr:uid="{00000000-0006-0000-0000-00000B000000}">
      <text>
        <r>
          <rPr>
            <b/>
            <sz val="9"/>
            <rFont val="宋体"/>
            <family val="3"/>
            <charset val="134"/>
          </rPr>
          <t>王壮-leo:</t>
        </r>
        <r>
          <rPr>
            <sz val="9"/>
            <rFont val="宋体"/>
            <family val="3"/>
            <charset val="134"/>
          </rPr>
          <t xml:space="preserve">
成本超支</t>
        </r>
      </text>
    </comment>
    <comment ref="M34" authorId="0" shapeId="0" xr:uid="{00000000-0006-0000-0000-00000C000000}">
      <text>
        <r>
          <rPr>
            <b/>
            <sz val="9"/>
            <rFont val="宋体"/>
            <family val="3"/>
            <charset val="134"/>
          </rPr>
          <t>王壮-leo:</t>
        </r>
        <r>
          <rPr>
            <sz val="9"/>
            <rFont val="宋体"/>
            <family val="3"/>
            <charset val="134"/>
          </rPr>
          <t xml:space="preserve">
成本超支</t>
        </r>
      </text>
    </comment>
    <comment ref="M35" authorId="0" shapeId="0" xr:uid="{00000000-0006-0000-0000-00000D000000}">
      <text>
        <r>
          <rPr>
            <b/>
            <sz val="9"/>
            <rFont val="宋体"/>
            <family val="3"/>
            <charset val="134"/>
          </rPr>
          <t>王壮-leo:</t>
        </r>
        <r>
          <rPr>
            <sz val="9"/>
            <rFont val="宋体"/>
            <family val="3"/>
            <charset val="134"/>
          </rPr>
          <t xml:space="preserve">
成本超支</t>
        </r>
      </text>
    </comment>
    <comment ref="M41" authorId="0" shapeId="0" xr:uid="{00000000-0006-0000-0000-00000E000000}">
      <text>
        <r>
          <rPr>
            <b/>
            <sz val="9"/>
            <rFont val="宋体"/>
            <family val="3"/>
            <charset val="134"/>
          </rPr>
          <t>王壮-leo:</t>
        </r>
        <r>
          <rPr>
            <sz val="9"/>
            <rFont val="宋体"/>
            <family val="3"/>
            <charset val="134"/>
          </rPr>
          <t xml:space="preserve">
本年度
</t>
        </r>
      </text>
    </comment>
    <comment ref="M43" authorId="0" shapeId="0" xr:uid="{00000000-0006-0000-0000-00000F000000}">
      <text>
        <r>
          <rPr>
            <b/>
            <sz val="9"/>
            <rFont val="宋体"/>
            <family val="3"/>
            <charset val="134"/>
          </rPr>
          <t>王壮-leo:</t>
        </r>
        <r>
          <rPr>
            <sz val="9"/>
            <rFont val="宋体"/>
            <family val="3"/>
            <charset val="134"/>
          </rPr>
          <t xml:space="preserve">
本年度</t>
        </r>
      </text>
    </comment>
  </commentList>
</comments>
</file>

<file path=xl/sharedStrings.xml><?xml version="1.0" encoding="utf-8"?>
<sst xmlns="http://schemas.openxmlformats.org/spreadsheetml/2006/main" count="942" uniqueCount="384">
  <si>
    <t>项目周报汇总（2026.6.1-2025.6.5）</t>
  </si>
  <si>
    <t>序号</t>
  </si>
  <si>
    <t>隶属部门</t>
  </si>
  <si>
    <t>项目类型</t>
  </si>
  <si>
    <t>项目编号</t>
  </si>
  <si>
    <t>项目名称</t>
  </si>
  <si>
    <t>项目经理</t>
  </si>
  <si>
    <t>立项情况</t>
  </si>
  <si>
    <t>当前阶段</t>
  </si>
  <si>
    <t>进度情况</t>
  </si>
  <si>
    <t>总体完成进度</t>
  </si>
  <si>
    <t>合同状态
（合同额）</t>
  </si>
  <si>
    <t>回款情况</t>
  </si>
  <si>
    <t>累计人力成本
（截止到4.30）</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</si>
  <si>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</si>
  <si>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</si>
  <si>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</si>
  <si>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</si>
  <si>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</si>
  <si>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</si>
  <si>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</si>
  <si>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</si>
  <si>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</si>
  <si>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</si>
  <si>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</si>
  <si>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</si>
  <si>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</si>
  <si>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</si>
  <si>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不动产登记信息平台信创升级改造项目</t>
  </si>
  <si>
    <t>已立项</t>
  </si>
  <si>
    <t>验收</t>
  </si>
  <si>
    <t>完成初验，目前处于各子系统陆续切换过程中，分好多系统需要信创上线  最后一个系统上线是今年10月份；4.17那周电子监督和电子证照本周上线，4.24周云柜台、智能审核、律师查询系统上线，5月底会迁移网上抵押项目，截止5月22这周新进展：
（1）正式发布reissDzpjQuartz(电子票据开具定时任务)、reissQuartz(预受理业务自动处理定时任务)程序，已正常运行，原X86服务已停掉。
（2）正式发布reiss_sdqrlb 图纸、水电气热联办定时任务，已正常运行，原X86服务已停掉。
（3）信创环境正式发布reissClient 建委定时任务程序，已正常运行，原X86服务已停掉。
（4）正式发布rerip_dsqtjk 电子证照、税务定时任务，已正常运行，原X86服务已停掉。
5.29本周：正式发布reissClient定时任务主程序项目、信创迁移网上抵押系统</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</si>
  <si>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</si>
  <si>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</si>
  <si>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</si>
  <si>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</si>
  <si>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</si>
  <si>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</si>
  <si>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</si>
  <si>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</si>
  <si>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</si>
  <si>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济南房产交易与租赁服务平台</t>
  </si>
  <si>
    <t>李宪鹏</t>
  </si>
  <si>
    <t>严重延迟</t>
  </si>
  <si>
    <t>进度延迟严重</t>
  </si>
  <si>
    <t>2025年12月完成初验，目前调整及测试中，甲方暂定5月份上线，服务器资源预计5月中旬能够到位
5.29周：6月初第一周开始按照模块形式依次上线</t>
  </si>
  <si>
    <t>21250606J</t>
  </si>
  <si>
    <t>山东省机关事务局职工房改管理系统适配改造项目</t>
  </si>
  <si>
    <t>付艳芳</t>
  </si>
  <si>
    <t>维护</t>
  </si>
  <si>
    <t>2025年12月完成终验，现在处于3年免费运维中</t>
  </si>
  <si>
    <t>宿松房产一体化平台</t>
  </si>
  <si>
    <t>刘存山</t>
  </si>
  <si>
    <t>开发</t>
  </si>
  <si>
    <t>未验收，验收后收104.85</t>
  </si>
  <si>
    <t>5月15日周：维修资金系统开发完成，迁移程序完成；5月22日周：去现场演示系统，需要协调人力进行对账，截止6月5日周，梳理对账情况</t>
  </si>
  <si>
    <t>经过详细了解：当前客户  2021年之前的 档案是纸质的，和银行以及业务都要核对，21年之后有u8财务系统，财务和银行账务是符合的，需要财务和业务系统进行对账；工作展开需要我由公司负责对账，房管局和银行配合 ；</t>
  </si>
  <si>
    <t>物业组
（袁畅）</t>
  </si>
  <si>
    <t>日照市三平台融合、智慧物业、住宅专项维修资金系统信创改造项目</t>
  </si>
  <si>
    <t>王成</t>
  </si>
  <si>
    <t>已回全款</t>
  </si>
  <si>
    <t>还没组织验收，现在是上线配合推广阶段</t>
  </si>
  <si>
    <t>滨州智慧物业</t>
  </si>
  <si>
    <t>王壮</t>
  </si>
  <si>
    <t>实施</t>
  </si>
  <si>
    <t>有合同</t>
  </si>
  <si>
    <t>尾款追讨，公积金已初步答应拨付</t>
  </si>
  <si>
    <t>下周配合客户对试点区县进行推广（滨城、沾化、博兴）</t>
  </si>
  <si>
    <t>AI大数据组
（李朔刚）</t>
  </si>
  <si>
    <t>济南市不动产登记全量数据汇交及比对系统</t>
  </si>
  <si>
    <t>李朔刚</t>
  </si>
  <si>
    <t>0</t>
  </si>
  <si>
    <t>一直有新需求，持续开发</t>
  </si>
  <si>
    <t>济南市不动产登记电子监督系统功能拓展</t>
  </si>
  <si>
    <t>一直有新需求，交房即办证也有合同，还在执行中</t>
  </si>
  <si>
    <t>不动产登记人工智能数字人(一期)项目</t>
  </si>
  <si>
    <t>延迟</t>
  </si>
  <si>
    <t>已申报</t>
  </si>
  <si>
    <t>1、大汉平台对接不动产接口有问题，大汉一直在解决，这个还影响进度
2、缺少中级以上开发人员，毕彦信技术能力不足</t>
  </si>
  <si>
    <t>21250313J</t>
  </si>
  <si>
    <t>电子监督系统标准化产品改造</t>
  </si>
  <si>
    <t>佟丽</t>
  </si>
  <si>
    <t>发布</t>
  </si>
  <si>
    <t>无合同</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</si>
  <si>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</si>
  <si>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</si>
  <si>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</si>
  <si>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</si>
  <si>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</si>
  <si>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</si>
  <si>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</si>
  <si>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</si>
  <si>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</si>
  <si>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</si>
  <si>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</si>
  <si>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</si>
  <si>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房产项目运维</t>
  </si>
  <si>
    <t>维修资金项目运维</t>
  </si>
  <si>
    <t>智慧物业运维</t>
  </si>
  <si>
    <t>人力小计：</t>
  </si>
  <si>
    <t>人力饱和度</t>
  </si>
  <si>
    <t>袁畅借调软件项目部</t>
  </si>
  <si>
    <t>产品研发部
（曹倩）</t>
  </si>
  <si>
    <t>研发项目</t>
  </si>
  <si>
    <t>21250925HF</t>
  </si>
  <si>
    <t>汇房智慧住房租赁综合管理与服务平台</t>
  </si>
  <si>
    <t>魏山明</t>
  </si>
  <si>
    <t>立项</t>
  </si>
  <si>
    <t>技术支撑平台</t>
  </si>
  <si>
    <t>石伟佳</t>
  </si>
  <si>
    <t>原基础平台更名为技术支撑平台</t>
  </si>
  <si>
    <t>智慧房产产品线项目</t>
  </si>
  <si>
    <t>曹倩</t>
  </si>
  <si>
    <t>数据治理平台</t>
  </si>
  <si>
    <t>截止6月5日本周数据治理平台没变化了，一期交付了，现在就是配合使用，二期等需求评审后再开始开发</t>
  </si>
  <si>
    <t>济南市不动产登记系统功能拓展(研发支持)</t>
  </si>
  <si>
    <t>不动产电子监督系统功能拓展(研发支持)</t>
  </si>
  <si>
    <t>汇房智选部
（任建伟）</t>
  </si>
  <si>
    <t>22250903HF</t>
  </si>
  <si>
    <t>济南市联合资产交易公示平台</t>
  </si>
  <si>
    <t>王帅</t>
  </si>
  <si>
    <t>已签订</t>
  </si>
  <si>
    <t>一直有小范围需求增加，进度会出现未增长状态</t>
  </si>
  <si>
    <t>汇房云经纪人</t>
  </si>
  <si>
    <t>任建伟</t>
  </si>
  <si>
    <t>多合同，运营</t>
  </si>
  <si>
    <t>22250829HF</t>
  </si>
  <si>
    <t>车位使用权公证备案平台</t>
  </si>
  <si>
    <t>截止6月5日，本周上线试运行了</t>
  </si>
  <si>
    <t>22251028HFJ</t>
  </si>
  <si>
    <t>卓识网安业务平台系统</t>
  </si>
  <si>
    <t>3月底左右验收</t>
  </si>
  <si>
    <t>21250516HF</t>
  </si>
  <si>
    <t>汇房云培训考试（汇房考试培训系统）</t>
  </si>
  <si>
    <t>21250801J</t>
  </si>
  <si>
    <t>公司内部系统维护升级项目</t>
  </si>
  <si>
    <t>房源超市SaaS产品化改造(新房超市SaaS)</t>
  </si>
  <si>
    <t>李昱江</t>
  </si>
  <si>
    <t>卓识网安业务平台系统-知识库</t>
  </si>
  <si>
    <t>售前</t>
  </si>
  <si>
    <t>价格未谈拢</t>
  </si>
  <si>
    <t>房屋租赁管理系统(汇房云租)</t>
  </si>
  <si>
    <t>待立项</t>
  </si>
  <si>
    <t>挂起</t>
  </si>
  <si>
    <t>阳信房产超市运维&amp;乐居乳山</t>
  </si>
  <si>
    <t>安震、王帅</t>
  </si>
  <si>
    <t>软件项目部
(王成)</t>
  </si>
  <si>
    <t>日照银行智慧社区维护与升级</t>
  </si>
  <si>
    <t>泉农通二期销售售前支持</t>
  </si>
  <si>
    <t>刘传祥</t>
  </si>
  <si>
    <t>销售立项</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</si>
  <si>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</si>
  <si>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</si>
  <si>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</si>
  <si>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</si>
  <si>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</si>
  <si>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</si>
  <si>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</si>
  <si>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</si>
  <si>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</si>
  <si>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</si>
  <si>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济南市不动产登记系统功能拓展
项目编号：22220901</t>
  </si>
  <si>
    <t xml:space="preserve">统计任务：12条
1、统计5月份受理涉税业务月报。
2、统计2026年5月1日至5月31日云柜台业务，申请人人脸识别相似度为0%或无相似度的业务明细。
3、根据五月审核业务月报，补充人脸识别信息。
4、北京银行股份有限公司抵押和预告抵押统计。
5、更新统计附件中开发建设单位名称（抵押人）名下所有有效的抵押登记信息
6、补充编目数据按档案部要求区分各项类型。
7、统计山东圣凯置业有限公司开发建设的坐落于历下区泺源大街29号圣凯财富广场项目相关情况。
8、宗地压盖补充属性数据。
9、统计26年1-5月涉及企业购置不动产相关明细。
10、统计档案部调度对外共享各项数据。
11、国有建设用地使用权宗地，有效查封业务明细。
12、
</t>
  </si>
  <si>
    <t>李国强</t>
  </si>
  <si>
    <t>不动产登记中心参加会议：与济南市大数据局及各数据需求方讨论“前店后厂”相应数据需求。</t>
  </si>
  <si>
    <t>不动产登记系统：法院与不动产面对面联办需求。
1、开发查询查封逻辑以及展示页面/业务跳转。
2、开发查封登记临期业务查询菜单。
3、审核法院面对面业务退回。</t>
  </si>
  <si>
    <t>张志鹏</t>
  </si>
  <si>
    <t>农房系统数据导入，问题处理等日常运维工作。</t>
  </si>
  <si>
    <t>李中正</t>
  </si>
  <si>
    <t>增量数据汇交日常补报重报，迁移信创环境准备</t>
  </si>
  <si>
    <t>合计</t>
  </si>
  <si>
    <t>下周计划</t>
  </si>
  <si>
    <t xml:space="preserve">济南市不动产登记中心不动产登记信息平台信创升级改造项目
项目编号：22250226
</t>
  </si>
  <si>
    <t>本周工作</t>
  </si>
  <si>
    <t>信创-登记系统</t>
  </si>
  <si>
    <t>1、调整reiss_hmd、reiss_ywtb接口项目，并已完成发布测试，随时可作信创切换。
2、调整reiss_ltsspxt接口项目，并已完成发布测试，随时可作信创切换。
3、调整reiss主接口项目，做调用接口的信创地址切换。</t>
  </si>
  <si>
    <t xml:space="preserve"> 1、优化电子证照生成任务增加多次调用失败，不再重复调用
 2、全链条接口项目人脸识别接口，密钥加密失败，原因使用了tomcat自带的base64加密方法，信创tomcat版本不一致导致的 ，更换为非tomcat 的base64加密JAR包 解决。
 3、部署不动产登记信息分析子系统信创 无法部署到单独服务器，由于使用了登录的Cookie 导致应用获取不到，只能放到集群里面。
 3、优化发证查询SQL，增加联合索引
 4、前端转调标准化失败，待优化</t>
  </si>
  <si>
    <t>信创-网上抵押系统</t>
  </si>
  <si>
    <t>抵押系统信创迁移问题处理。</t>
  </si>
  <si>
    <t>济南市不动产登记云柜台（线上移动)系统
项目编号：22220202</t>
  </si>
  <si>
    <t>运维</t>
  </si>
  <si>
    <t>济南市不动产预受理系统
项目编号：22220701</t>
  </si>
  <si>
    <t>jnbdcdjzx.cn域名使用情况沟通、预受理系统首页添加ICP备案号链接</t>
  </si>
  <si>
    <t>济南不动产登记平台运行维护
项目编号：41221101</t>
  </si>
  <si>
    <t>不动产软件运维</t>
  </si>
  <si>
    <t>处理登记系统、抵押系统等业务问题，共计 381 件，详情见附件1。
增量数据汇交每日巡检。</t>
  </si>
  <si>
    <t>李猛</t>
  </si>
  <si>
    <t>杨森</t>
  </si>
  <si>
    <t>不动产系统运维</t>
  </si>
  <si>
    <t>每日数据巡检问题数据汇交。 
每日不动产增量数据汇交系统查看。
数据汇交：大数据用前置机访问62的报文端口不通原因排查。
联系自规局，重置一个零信任密码。
网上抵押信创瀚高库用浪潮堡垒机访问直接打不开界面问题优化。
不动产登记电子监督信创85机器访问城市大脑地址，但是85上telnet不通问题对接。
在不动产登记信创数据共享服务器上安装配置tomcat7.109，jar包跟73上面接口tomcat保持一致。
不动产调房改接口的策略已打通。
不动产信创机器89上面安装瀚高库连接工具和谷歌浏览器连接工具，并联系添加应用和用户授权。
申请93.142访问通不动产信创数据共享机器72的一网通办接口和失信档案接口的地址，再从142上代理。
将93.171上面瀚高库刷瀚高库脚本。
数据汇交：关于省厅前置机到数据汇交信创行政域测试机器62上面报文端口telnet不通的进度讨论。
不动产信创行政域堡垒机地址变更，跟云天安全沟通，对方把映射地址改成10段的直接就能访问了。
在93.179上安装jdk17版本。
整理策略申请文档，申请打通电子监督信创机器85到城市大脑信创地址的网络。
在93.160上代理超图提取图纸的信创地址，93.179需要调用。
电子监督信创访问城市大脑信创地址发邮件不给打通，重新把申请文档发给不动产盖章向数据局走流程。
在不动产信创机器71上部署reiss的tomcat。</t>
  </si>
  <si>
    <t>杨真真</t>
  </si>
  <si>
    <t>祝席成</t>
  </si>
  <si>
    <t xml:space="preserve">济南市房产交易管理平台拓展项目编号:22221201
</t>
  </si>
  <si>
    <t>对接信创版本档案、测绘电子证照提交生成功能</t>
  </si>
  <si>
    <t>对接信创电子证照下载功能</t>
  </si>
  <si>
    <t>新平台增加查询不动产登记簿接口</t>
  </si>
  <si>
    <t xml:space="preserve">山东省机关事务局职工房改管理系统适配改造项目：21250606J
</t>
  </si>
  <si>
    <t>1.解决于主任反馈综合查询工作量统计打印无法显示打印详情的问题解决                                                                   2.配合葛秀乐出马新宁的退房汉峪出售房受理单                3.省直房改房系统发版                                                     4.编写2025-2026年度运维文档                                       5.帮邵主任切换汉峪配租适配瀚高库后的访问地址            6.跟史科长沟通运维方案如何编写以及运维合同相关问题，以及运维方案优化调整                                                    7.跟信心中心赵科长沟通跟济南市接口交互的网络打通问题 8.参加住房中心黄主任召开的办公会议（汇报关于省市上市交易工作进度 ）                                                                 9.跟史科长和鲁杰沟通运维方案和运维合同的相关事宜     10.济南市房改房系统加密登录不进去的问题解决  11.编写省大数据局要求的系统业务使用情况表</t>
  </si>
  <si>
    <t>1.修改一至三期老房改系统表超标准面积价款计算公式；
修改老房改系统，获取住房地段二期及以上超标倍数错误；
2.修改根据房屋编号查询不动产接口数据，接口内容房屋编号无法保存问题；
3.给李真处理砖混二等非毗邻附属房屋，房源挂接不出来问题，处理房屋信息管理，待补充房屋信息无法保存问题，4.处理砖混二等非毗邻主附房屋挂接大证号变更问题；
5.给张凤处理老房改系统登录不上问题；
6.和保障中心王兵讨论老房改计价表，超标20%以上获取住房地段参数问题；</t>
  </si>
  <si>
    <t>宋雯雯</t>
  </si>
  <si>
    <t>省直机关职工住房管理系统升级优化（省市上市交易复审审批表打印模块功能编码）</t>
  </si>
  <si>
    <t>济南房产交易运维</t>
  </si>
  <si>
    <t>房管监测平台维护:
更新26年5月实时表、变更表数据
统计导出26年5月二手房网签明细
更新26年5月份住建数据房产证号、是否贷款及渠道数据</t>
  </si>
  <si>
    <t>1.按要求配合导出历下区盛福兰园小区（所有楼栋）数据
2.编码对接档案证明、数据挂接电子证照新接口，交易管理调用端代码，并发布测试
3.重新对接外网服务大厅信证明查询接口</t>
  </si>
  <si>
    <t>老系统房产交易运维:
1、给财务整理监管银行业务流水明细
2、存量房网签及资金监管日常运维问题处理</t>
  </si>
  <si>
    <t>张杨</t>
  </si>
  <si>
    <t xml:space="preserve">处理测绘挂接、网签备案等业务问题，共计 44 件，详情件附件2。
检测平台每日巡检。
交易接口日志每日巡检。
到天桥、站前街、市中政务大厅和贝壳签约中心 测试交易新系统和硬件匹配 </t>
  </si>
  <si>
    <t>每日数据迁移的查看日志并删除多余备份。
房改办要不动产调房改接口盖不动产中心章的pdf扫描件，已发送。
在91.36上将一个jar包的端口对36防火墙添加白名单。
将91.46上面数字化存储解除挂载重新挂载。
楼下的受理窗口15台机器给安装插件和适配签字屏。
三楼上档案室的机器的扫描仪有问题给处理。
去市中，站前街，天桥的政务中心给自助设备调试网址和安装相应的插件。
去各个区统计存量房交易部统计主机型号以及各个设备的外设型号，比如打印机，签字屏等。</t>
  </si>
  <si>
    <t>与爱山东沟通房屋交易信息查询服务升级；
协助嘉友在爱山东中台审核接口及应用；
优化系统、修改bug：添加判断公证处网签合同预览、修改加载中弹框样式、授权管理拆分成9个页面等；</t>
  </si>
  <si>
    <t>董文超</t>
  </si>
  <si>
    <t>1、受理科问题台账中的问题处理（完成95%）
2、二楼窗口检查和调试业务所需硬件设备(完成100%)
3、测试资金监管银行端接口程序（完成50%）</t>
  </si>
  <si>
    <t>1.迁移同步库存量房数据到新数据库
2.每日参加新平台上线工作对接会
3.参加档案科、数据挂接科、受理科系统上线工作安排对接讨论会</t>
  </si>
  <si>
    <t>备案证打印联调</t>
  </si>
  <si>
    <t>郇正基</t>
  </si>
  <si>
    <t>商品房测试调整</t>
  </si>
  <si>
    <t>景旭</t>
  </si>
  <si>
    <t>学习使用数据治理平台，已完成企业信息迁移</t>
  </si>
  <si>
    <t>时守杰</t>
  </si>
  <si>
    <t>宿松对账</t>
  </si>
  <si>
    <t>许建飞</t>
  </si>
  <si>
    <t>宿松住房小程序原型设计</t>
  </si>
  <si>
    <t>袁畅</t>
  </si>
  <si>
    <t>宿松住房小程序webviewH5页面配置，小程序测试环境配置</t>
  </si>
  <si>
    <t>段佑轩</t>
  </si>
  <si>
    <t>维修资金数据整理</t>
  </si>
  <si>
    <t>房产一体化项目：阳信、滨州、无棣、沾化、乳山维护；</t>
  </si>
  <si>
    <t>万德跃</t>
  </si>
  <si>
    <t>房产一体化：安徽地区、五莲、滨州维护</t>
  </si>
  <si>
    <t>滨州销售统计查询优化</t>
  </si>
  <si>
    <t>滨州、诸城维护</t>
  </si>
  <si>
    <t>牛丽君</t>
  </si>
  <si>
    <t>滨州维护</t>
  </si>
  <si>
    <t>滨州房产一体化驻场维护</t>
  </si>
  <si>
    <t>吴胜傲</t>
  </si>
  <si>
    <t>维修资金系统维护：东营地区区、滨州地区维护；
无棣维修资金调账；</t>
  </si>
  <si>
    <t>1维修资金系统维护：高唐、滨州、东营、兖州、莱芜、潍坊滨海等地区维护
2 惠民维修资金网络调试</t>
  </si>
  <si>
    <t>赵衍峰</t>
  </si>
  <si>
    <t>日照维系资金驻场维护</t>
  </si>
  <si>
    <t>马睿</t>
  </si>
  <si>
    <t>无棣维修资金对账</t>
  </si>
  <si>
    <t>王德智</t>
  </si>
  <si>
    <t xml:space="preserve"> </t>
  </si>
  <si>
    <t>路红林</t>
  </si>
  <si>
    <t>无棣：对账</t>
  </si>
  <si>
    <t>孙达</t>
  </si>
  <si>
    <t>各地维修资金维护</t>
  </si>
  <si>
    <t>日照智慧物业维护</t>
  </si>
  <si>
    <t>日照市三平台融合、智慧物业、住宅专项维修资金系统信创改造项目
项目编号：22240822</t>
  </si>
  <si>
    <t>无</t>
  </si>
  <si>
    <t>日照维修资金运维</t>
  </si>
  <si>
    <t>潘春蕾</t>
  </si>
  <si>
    <t>滨州智慧物业
项目编号：23251211</t>
  </si>
  <si>
    <t>维修资金公积金对接测试</t>
  </si>
  <si>
    <t>业务功能测试</t>
  </si>
  <si>
    <t>各区县试点企业现场培训，推动试点工作</t>
  </si>
  <si>
    <t>泉农通二期销售售前支持
项目编号：
121018</t>
  </si>
  <si>
    <t>网信办-数字乡村平台系统开发，大屏优化，现场沟通汇报</t>
  </si>
  <si>
    <t>王延磊</t>
  </si>
  <si>
    <t>梁超</t>
  </si>
  <si>
    <t>韩华斌</t>
  </si>
  <si>
    <t>网信办-数字乡村平台大屏优化</t>
  </si>
  <si>
    <t>农业局-泉农通小程序集成优化，做好局长汇报准备</t>
  </si>
  <si>
    <t>济南市不动产登记全量数据汇交及比对系统
项目编号：222201001</t>
  </si>
  <si>
    <t>99%</t>
  </si>
  <si>
    <t>济南市不动产登记电子监督系统功能拓展
项目编号：22220905</t>
  </si>
  <si>
    <t>90%</t>
  </si>
  <si>
    <t>1）优化营商环境预警问题：抵押系统上线信创后插入信创数据表，需要同步到电子监督系统。
2）山东通接入信创电子监督系统：解决单点登录时弹出密码过期的问题。配置正式环境参数，调整使用说明内容，正式上线。
3）山东通消息推送：山东通上线电子监督信创后，调整山东通消息推送功能。
4）山东通滚动条问题：显示大约2秒就消失，定制 Element 表格滚动条样式、固定横向滚动条常驻显示。
5）交房即办证：国有土地房屋征收安置项目“交房即办证”预警的需求，针对目前有数据的环节，实现其中4个预警。
6）退件情况-退件量统计：取值电子监置系统中部门管理内各部门对应的关联机构下的人员，实现动态取值。
7）统计导出企业有效房产土地登记信息。
8）统计受理时间大于登簿时间业务并导出明细。
9）统计导出企业商品房、二手房买卖及买卖转抵同步明细；二手房带押过户明细；土地转移、转抵明细。
10）统计莱芜区2024、2025年莱芜区国有建设用地使用权、集体建设用地使用权登记业务，含权利人、义务人、坐落、用途、面积、登记类型、业务号。
11）电子监督信创推送城市大脑5项数据，重新申请打通双方的信创网络。</t>
  </si>
  <si>
    <t>闫元泉</t>
  </si>
  <si>
    <t>不动产登记人工智能数字人(一期)项目
项目编号：21250326</t>
  </si>
  <si>
    <t>85%</t>
  </si>
  <si>
    <t>1）语义检索：在原有关键字检索基础上，开发语义检索与知识库向量化处理。
2）新增AI交互功能：开发AI问答模块，结合混合检索和重排序优化结果，提升知识库的智能化响应质量与用户体验。
3）MCP开发：本地环境智能咨询的买房、卖房、抵押等个性化咨询，增加mcp接口调用
4）LLM Wiki：为弥补语义检索的知识碎片化、逻辑断裂、无法积累等缺陷，知识库检索引入LLM Wiki技术，进行本地测试。</t>
  </si>
  <si>
    <t>电子监督系统标准化产品改造
项目编号：21250313J</t>
  </si>
  <si>
    <t>住房贷款项目国产化集成调试</t>
  </si>
  <si>
    <t>卢波</t>
  </si>
  <si>
    <t>维修资金数据比对</t>
  </si>
  <si>
    <t>基层经费监管系统升级研发（二期）
项目编号：
210123ZHJJ02</t>
  </si>
  <si>
    <t>系统运维管理</t>
  </si>
  <si>
    <t>王晓阳</t>
  </si>
  <si>
    <t>经费监管系统代码-python整合</t>
  </si>
  <si>
    <t>梳理三大平台，初步整理汇房平台、Eland、Egret 平台统一治理与轻量化改造方案</t>
  </si>
  <si>
    <t>其他</t>
  </si>
  <si>
    <t>技术委员会、工作协调、工作汇报、产品规划沟通等</t>
  </si>
  <si>
    <t>整理公司产品台账，6大产品线，50余个系统现状与功能</t>
  </si>
  <si>
    <t>智慧房产产品线项目
项目编号：21260422</t>
  </si>
  <si>
    <t>1、测试问题修复、部分代码优化 - 已完成
2、销售许可流程审批 自定义办理和查看页面，前端开发及接口对接 - 已完成
3、房产平台系统 - 配置管理 - 业务类别配置管理，代码迁移整合并重新联调新增、编辑接口 - 已完成
4、档案管理系统 - 详情页接口对接、列表页导出功能loading提示优化 - 已完成
5、商品房预售资金监管交易模块 前端页面迁移 - 已完成，待接口联调
6、商品房日终对账前端页面迁移 - 已完成，待接口联调</t>
  </si>
  <si>
    <t>王光辉</t>
  </si>
  <si>
    <t>1、测试问题打印等修复、优化代码
2、档案管理系统
    宿松档案库 数据查询-已完成
    宿松档案库  档案详情，照片展示等-已完成
    宿松档案库  列表数据导出 已完成
3、下周计划 分析宿松 交易库数据，确认数据源和表范围（需要源码 山哥在协调处理 ）</t>
  </si>
  <si>
    <t>郭培培</t>
  </si>
  <si>
    <t>1.参与宿松相关会议
2.测试限制保存业务数据
3.测试完善销售许可审批功能
4.测试使用dolphinscheduler定时调用接口
5.商品房资金监管银行客户端接口功能开发完善
6.创建uums工程，用于C端登录认证，并梳理功能</t>
  </si>
  <si>
    <t>彭步坤</t>
  </si>
  <si>
    <t>宿松房产：
1.小程序需求梳理
2.与相关项目人员进行需求细节对接</t>
  </si>
  <si>
    <t>张燕</t>
  </si>
  <si>
    <t>宿松房产：原型设计</t>
  </si>
  <si>
    <t>调度会议，比对招标功能</t>
  </si>
  <si>
    <t>数据治理平台
项目编号：21260423</t>
  </si>
  <si>
    <t>二期需求、整体架构设计扩充、二期详细设计调整</t>
  </si>
  <si>
    <t>数据治理平台系统介绍以及详解功能</t>
  </si>
  <si>
    <t>优化数据治理平台一期功能，以及协助处理映射问题</t>
  </si>
  <si>
    <t>执行计划（任务编排）：修复/migration/migration-node/preview 的 sourceRecord序列化oracle blob错误问题</t>
  </si>
  <si>
    <t>1、搭建预受理前端项目
2、预受理测试数据库报错处理
3、关于新预受理业务的需求的相关讨论
4、预受理屏蔽预受理授权功能开发
5、协助同事处理OFD处理PDF转换异常问题</t>
  </si>
  <si>
    <t>1.预量化推送接口，预量化删除接口，提取测绘数据接口改造
2.量化登记系统部署测试问题整改
3.量化登记操作文档编写
4.预受理二手房程序搭建</t>
  </si>
  <si>
    <t>窦延群</t>
  </si>
  <si>
    <t>招标要求沟通、权籍数据批量处理、测绘数据问题配合排查</t>
  </si>
  <si>
    <t>了解电子监督系统知识库相关需求，了解现状与遇到问题；
本地部署dify平台，服务器离线部署平台；
大数据局模型调用接口、向量模型、重排模型接口调用测试；
了解dify插件机制，本地安装（后续对接大数据接口准备）；</t>
  </si>
  <si>
    <t xml:space="preserve">济南市联合资产交易公示平台
项目编号：22250903HF
</t>
  </si>
  <si>
    <t>贝壳小区数据爬取</t>
  </si>
  <si>
    <t>许兴欣</t>
  </si>
  <si>
    <t>设计联合资产小程序端的关于我们的页面。包括图标/版本/简介/地址信息等。</t>
  </si>
  <si>
    <t>冯庆召</t>
  </si>
  <si>
    <t>1. 不动产交易公益性平台申报材料方案、预算表等调整并提交不动产申报材料至相关负责人；
2. 联合资产微信小程序关于我们页面设计优化推进；
3. 车位备案平台版本发布与功能测试，功能优化进度推进；
4. 申请人全流程操作指引文档编写；
5. 与公证处客户沟通名片需求，实现功能并版本发布；
6. 评估功能对接功能需求整理；
7. 公证处现场与客户沟通对接不动产评估系统需求以及车位备案、联合资产交易公示平台优化调整进度汇报；</t>
  </si>
  <si>
    <t xml:space="preserve">车位使用权公证备案平台
项目编号：22250829HF
</t>
  </si>
  <si>
    <t>1.生产环境功能测试；
2.法信回调问题调查修改；
3.车位备案物业确认函与交费记录数字档案拆分上传修改；
4.备案证书样式内容修改；</t>
  </si>
  <si>
    <t>设计调整济南车位使用权公证备案平台的车位使用权备案证书页。</t>
  </si>
  <si>
    <t xml:space="preserve">汇房云经纪人
项目编号：21250418
</t>
  </si>
  <si>
    <t>--</t>
  </si>
  <si>
    <t>银联C扫B对接
房源特色标签，装修模块审批接口开发
整理处理合同问题</t>
  </si>
  <si>
    <t>蔡高情</t>
  </si>
  <si>
    <t>房源特色标签，装修模块审批页面开发，接口对接，app发布</t>
  </si>
  <si>
    <t>赵旺</t>
  </si>
  <si>
    <t>房源特色标签，装修模块审批需求梳理，开发推进，整体测试</t>
  </si>
  <si>
    <t>设计</t>
  </si>
  <si>
    <t xml:space="preserve">汇房云培训考试
项目编号：
</t>
  </si>
  <si>
    <t>枣庄、滨州考试运维处理，经纪人备案推送</t>
  </si>
  <si>
    <t>卓识网安业务平台系统
项目编号：22251028HFJ</t>
  </si>
  <si>
    <t>验收整改清单剩余缺陷修复，相关问题沟通，验收与会回款推进</t>
  </si>
  <si>
    <t>安震</t>
  </si>
  <si>
    <t>测试</t>
  </si>
  <si>
    <t>公司内部系统维护升级项目
项目编号：21250801J</t>
  </si>
  <si>
    <t>阳信房产超市运维</t>
  </si>
  <si>
    <t>（支持）
泉农通二期销售售前支持
项目编号：
121018</t>
  </si>
  <si>
    <t>给前端沟通昨天汇报前未调整的其余的大屏页面。包括每页里的功能模块背景样式、字体样式、数据图配图样式等。
和前端沟通智慧农业大屏里数字富民的配图显示问题；数字乡村试点重点的地图大小、背景显示、重点项目概览配色的问题；乡村数字治理的村级5G数字平台的展示问题；智慧绿色乡村的公共文化数字化建设的样式调整及切图的问题。
配合前端切图智慧农业大屏切图并沟通实现的页面。</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</si>
  <si>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</si>
  <si>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</si>
  <si>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</si>
  <si>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</si>
  <si>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</si>
  <si>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</si>
  <si>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</si>
  <si>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王德贤</t>
  </si>
  <si>
    <t>优化调整</t>
  </si>
  <si>
    <t>孙丁华</t>
  </si>
  <si>
    <t>行内闲置资产共享平台前端配合改造项目</t>
  </si>
  <si>
    <t>智惠e家”智慧餐厅、智慧社区系统功能优化（智惠e家增加寻车功能及对接碳惠日照）</t>
  </si>
  <si>
    <t>使用问题优化</t>
  </si>
  <si>
    <t>菜品优选二期</t>
  </si>
  <si>
    <t>“智惠e家”智慧餐厅、智慧社区系统功能优化（即墨区机关事务服务中心智慧餐厅项目系统功能优化-第三批次）</t>
  </si>
  <si>
    <t>识别性能优化</t>
  </si>
  <si>
    <t>智慧场景优化项目群（日照市人民医院本部餐厅、莒县人民法院智慧餐厅功能优化）</t>
  </si>
  <si>
    <t>智惠e家社区对接大华ICC社区通行设备</t>
  </si>
  <si>
    <t>正常开发推进</t>
  </si>
  <si>
    <t>智惠e家移动端备案漏洞、服务漏洞修复整改</t>
  </si>
  <si>
    <t>配合银行扫码测试</t>
  </si>
  <si>
    <t>潘春雷</t>
  </si>
  <si>
    <t>智惠e家漏洞修复、测试、发版、数据运维、系统运维</t>
  </si>
  <si>
    <t>三方复测</t>
  </si>
  <si>
    <r>
      <rPr>
        <sz val="10"/>
        <color theme="9"/>
        <rFont val="微软雅黑"/>
        <family val="2"/>
        <charset val="134"/>
      </rPr>
      <t>智慧餐厅离线支付项目（先享后付）</t>
    </r>
    <r>
      <rPr>
        <sz val="10"/>
        <color theme="5" tint="0.39997558519241921"/>
        <rFont val="微软雅黑"/>
        <family val="2"/>
        <charset val="134"/>
      </rPr>
      <t xml:space="preserve">
</t>
    </r>
    <r>
      <rPr>
        <sz val="10"/>
        <color theme="9"/>
        <rFont val="微软雅黑"/>
        <family val="2"/>
        <charset val="134"/>
      </rPr>
      <t>“一家人大食堂”等智慧餐厅相关系统功能优化需求</t>
    </r>
    <r>
      <rPr>
        <sz val="10"/>
        <color theme="5" tint="0.39997558519241921"/>
        <rFont val="微软雅黑"/>
        <family val="2"/>
        <charset val="134"/>
      </rPr>
      <t xml:space="preserve">
</t>
    </r>
    <r>
      <rPr>
        <sz val="10"/>
        <color theme="9"/>
        <rFont val="微软雅黑"/>
        <family val="2"/>
        <charset val="134"/>
      </rPr>
      <t>智惠e家宜当生活物业缴费功能改造</t>
    </r>
    <r>
      <rPr>
        <sz val="10"/>
        <color theme="5" tint="0.39997558519241921"/>
        <rFont val="微软雅黑"/>
        <family val="2"/>
        <charset val="134"/>
      </rPr>
      <t xml:space="preserve">
</t>
    </r>
    <r>
      <rPr>
        <sz val="10"/>
        <color theme="9"/>
        <rFont val="微软雅黑"/>
        <family val="2"/>
        <charset val="134"/>
      </rPr>
      <t>社区访客通行以及押金缴费退款需求</t>
    </r>
    <r>
      <rPr>
        <sz val="10"/>
        <color theme="5" tint="0.39997558519241921"/>
        <rFont val="微软雅黑"/>
        <family val="2"/>
        <charset val="134"/>
      </rPr>
      <t xml:space="preserve">
</t>
    </r>
    <r>
      <rPr>
        <sz val="10"/>
        <color theme="9"/>
        <rFont val="微软雅黑"/>
        <family val="2"/>
        <charset val="134"/>
      </rPr>
      <t>济宁联民广场（浙江五联智能电力科技有限公司）智能电表对接</t>
    </r>
    <r>
      <rPr>
        <sz val="10"/>
        <color theme="5" tint="0.39997558519241921"/>
        <rFont val="微软雅黑"/>
        <family val="2"/>
        <charset val="134"/>
      </rPr>
      <t xml:space="preserve">
智惠e家餐厅餐补规则改造（新加需求，已确认需求，推进开发中）</t>
    </r>
  </si>
  <si>
    <t>正常开发
需求验收（新加需求加急）部分功能发版</t>
  </si>
  <si>
    <t>银行运营</t>
  </si>
  <si>
    <t>银行网络金融部驻场银行业务运营</t>
  </si>
  <si>
    <t>穆德坤</t>
  </si>
  <si>
    <t>银行场景金融中心驻场银行业务运营</t>
  </si>
  <si>
    <t>赵文斌</t>
  </si>
  <si>
    <t>郑家洋</t>
  </si>
  <si>
    <t>需求</t>
  </si>
  <si>
    <t>安全保卫部智慧园区功能优化、2026年行政管理部“行政后勤管理平台”（推进）</t>
  </si>
  <si>
    <t>需求推进</t>
  </si>
  <si>
    <t>智慧餐厅移动端全量接入宜当生活、智慧物业公共收益项目推进</t>
  </si>
  <si>
    <t>需求推进，部分功能集成</t>
  </si>
  <si>
    <t>运营中心需求方案对接工时推进、工单验收回款推进，运营人员运营方案、运营协议投标跟进（运营资料、评估报告）</t>
  </si>
  <si>
    <t>提交流程，回款跟进</t>
  </si>
  <si>
    <t>智惠e家宜餐厅认证API对接宜当生活（需求对接完成）</t>
  </si>
  <si>
    <t>确认工作量</t>
  </si>
  <si>
    <t>日照高新支行关于日照“新发地”智慧市场项目需求对接</t>
  </si>
  <si>
    <t>概要需求讨论、推进详细需求讨论</t>
  </si>
  <si>
    <t>智惠e家信用积分需求对接</t>
  </si>
  <si>
    <t>需求确认</t>
  </si>
  <si>
    <t>“智惠e家”智慧餐厅、智慧社区系统功能优化（智惠e家后管端运营数据统计改造）</t>
  </si>
  <si>
    <t>需求已确认完毕</t>
  </si>
  <si>
    <t>智慧餐厅离线支付项目（先享后付）
“一家人大食堂”等智慧餐厅相关系统功能优化需求
智惠e家宜当生活物业缴费功能改造
社区访客通行以及押金缴费退款需求
济宁联民广场（浙江五联智能电力科技有限公司）智能电表对接
智惠e家餐厅餐补规则改造（新加需求，已确认需求，推进开发中）</t>
  </si>
  <si>
    <t>（临时增加开发需求）</t>
  </si>
  <si>
    <t>智慧餐厅移动端全量接入宜当生活（推进）</t>
  </si>
  <si>
    <t>安全保卫部智慧园区功能优化（推进需求提报）</t>
  </si>
  <si>
    <t>2026年行政管理部“行政后勤管理平台”（推进）</t>
  </si>
  <si>
    <t>智惠e家宜餐厅认证API对接宜当生活（设计方案确认完毕，推进开发）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</si>
</sst>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80" formatCode="[$-F800]dddd\,\ mmmm\ dd\,\ yyyy"/>
    <numFmt numFmtId="181" formatCode="0.00_);[Red]\(0.00\)"/>
    <numFmt numFmtId="182" formatCode="yyyy/m/d;@"/>
    <numFmt numFmtId="183" formatCode="0.00_ "/>
  </numFmts>
  <fonts count="35">
    <font>
      <sz val="11"/>
      <color theme="1"/>
      <name val="等线"/>
      <charset val="134"/>
      <scheme val="minor"/>
    </font>
    <font>
      <sz val="10"/>
      <color theme="1"/>
      <name val="等线"/>
      <family val="4"/>
      <charset val="134"/>
      <scheme val="minor"/>
    </font>
    <font>
      <sz val="12"/>
      <color rgb="FF000000"/>
      <name val="微软雅黑"/>
      <family val="2"/>
      <charset val="134"/>
    </font>
    <font>
      <sz val="10"/>
      <color rgb="FF000000"/>
      <name val="等线"/>
      <family val="4"/>
      <charset val="134"/>
      <scheme val="minor"/>
    </font>
    <font>
      <sz val="11"/>
      <color rgb="FF000000"/>
      <name val="微软雅黑"/>
      <family val="2"/>
      <charset val="134"/>
    </font>
    <font>
      <sz val="10"/>
      <color rgb="FF000000"/>
      <name val="微软雅黑"/>
      <family val="2"/>
      <charset val="134"/>
    </font>
    <font>
      <sz val="10"/>
      <color theme="5" tint="0.39997558519241921"/>
      <name val="微软雅黑"/>
      <family val="2"/>
      <charset val="134"/>
    </font>
    <font>
      <sz val="10"/>
      <color theme="9"/>
      <name val="微软雅黑"/>
      <family val="2"/>
      <charset val="134"/>
    </font>
    <font>
      <sz val="11"/>
      <name val="等线"/>
      <family val="4"/>
      <charset val="134"/>
      <scheme val="minor"/>
    </font>
    <font>
      <sz val="10"/>
      <color theme="1"/>
      <name val="等线"/>
      <family val="4"/>
      <charset val="134"/>
    </font>
    <font>
      <sz val="10"/>
      <name val="等线"/>
      <family val="4"/>
      <charset val="134"/>
    </font>
    <font>
      <sz val="11"/>
      <color rgb="FF060A26"/>
      <name val="等线"/>
      <family val="4"/>
      <charset val="134"/>
      <scheme val="minor"/>
    </font>
    <font>
      <sz val="10"/>
      <color theme="1"/>
      <name val="等线"/>
      <family val="4"/>
      <charset val="134"/>
      <scheme val="minor"/>
    </font>
    <font>
      <sz val="12"/>
      <color rgb="FF000000"/>
      <name val="等线"/>
      <family val="4"/>
      <charset val="134"/>
      <scheme val="minor"/>
    </font>
    <font>
      <sz val="10"/>
      <color rgb="FF000000"/>
      <name val="等线"/>
      <family val="4"/>
      <charset val="134"/>
      <scheme val="minor"/>
    </font>
    <font>
      <sz val="9"/>
      <color rgb="FF000000"/>
      <name val="等线"/>
      <family val="4"/>
      <charset val="134"/>
      <scheme val="minor"/>
    </font>
    <font>
      <sz val="10"/>
      <color rgb="FF000000"/>
      <name val="宋体"/>
      <family val="3"/>
      <charset val="134"/>
    </font>
    <font>
      <sz val="10"/>
      <color rgb="FF000000"/>
      <name val="SimSun"/>
      <family val="3"/>
      <charset val="134"/>
    </font>
    <font>
      <sz val="10"/>
      <color theme="1"/>
      <name val="等线"/>
      <family val="4"/>
      <charset val="134"/>
      <scheme val="minor"/>
    </font>
    <font>
      <sz val="12"/>
      <color rgb="FF000000"/>
      <name val="微软雅黑"/>
      <family val="2"/>
      <charset val="134"/>
    </font>
    <font>
      <sz val="11"/>
      <color rgb="FF000000"/>
      <name val="微软雅黑"/>
      <family val="2"/>
      <charset val="134"/>
    </font>
    <font>
      <sz val="10"/>
      <color rgb="FF000000"/>
      <name val="微软雅黑"/>
      <family val="2"/>
      <charset val="134"/>
    </font>
    <font>
      <sz val="10"/>
      <color rgb="FFFF0000"/>
      <name val="等线"/>
      <family val="4"/>
      <charset val="134"/>
      <scheme val="minor"/>
    </font>
    <font>
      <sz val="11"/>
      <color rgb="FF000000"/>
      <name val="等线"/>
      <family val="4"/>
      <charset val="134"/>
      <scheme val="minor"/>
    </font>
    <font>
      <b/>
      <sz val="14"/>
      <color theme="1"/>
      <name val="微软雅黑"/>
      <family val="2"/>
      <charset val="134"/>
    </font>
    <font>
      <sz val="12"/>
      <color theme="1"/>
      <name val="微软雅黑"/>
      <family val="2"/>
      <charset val="134"/>
    </font>
    <font>
      <sz val="11"/>
      <color rgb="FFFF0000"/>
      <name val="微软雅黑"/>
      <family val="2"/>
      <charset val="134"/>
    </font>
    <font>
      <sz val="11"/>
      <color theme="1"/>
      <name val="微软雅黑"/>
      <family val="2"/>
      <charset val="134"/>
    </font>
    <font>
      <sz val="11"/>
      <color theme="1"/>
      <name val="宋体"/>
      <family val="3"/>
      <charset val="134"/>
    </font>
    <font>
      <sz val="11"/>
      <name val="宋体"/>
      <family val="3"/>
      <charset val="134"/>
    </font>
    <font>
      <b/>
      <sz val="9"/>
      <name val="宋体"/>
      <family val="3"/>
      <charset val="134"/>
    </font>
    <font>
      <sz val="9"/>
      <name val="宋体"/>
      <family val="3"/>
      <charset val="134"/>
    </font>
    <font>
      <sz val="12"/>
      <name val="宋体"/>
      <family val="3"/>
      <charset val="134"/>
    </font>
    <font>
      <sz val="11"/>
      <color theme="1"/>
      <name val="等线"/>
      <family val="4"/>
      <charset val="134"/>
      <scheme val="minor"/>
    </font>
    <font>
      <sz val="9"/>
      <name val="等线"/>
      <family val="4"/>
      <charset val="134"/>
      <scheme val="minor"/>
    </font>
  </fonts>
  <fills count="11">
    <fill>
      <patternFill patternType="none"/>
    </fill>
    <fill>
      <patternFill patternType="gray125"/>
    </fill>
    <fill>
      <patternFill patternType="solid">
        <fgColor indexed="65"/>
        <bgColor indexed="64"/>
      </patternFill>
    </fill>
    <fill>
      <patternFill patternType="solid">
        <fgColor theme="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
      <patternFill patternType="solid">
        <fgColor theme="0" tint="-0.14999847407452621"/>
        <bgColor indexed="64"/>
      </patternFill>
    </fill>
    <fill>
      <patternFill patternType="solid">
        <fgColor theme="1" tint="0.89999084444715716"/>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style="thin">
        <color rgb="FF000000"/>
      </left>
      <right style="thin">
        <color rgb="FF000000"/>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rgb="FF000000"/>
      </top>
      <bottom/>
      <diagonal/>
    </border>
  </borders>
  <cellStyleXfs count="16">
    <xf numFmtId="180" fontId="0" fillId="0" borderId="0"/>
    <xf numFmtId="9" fontId="28" fillId="0" borderId="0" applyFont="0" applyFill="0" applyBorder="0" applyAlignment="0" applyProtection="0">
      <alignment vertical="center"/>
    </xf>
    <xf numFmtId="9" fontId="33" fillId="0" borderId="0" applyFont="0" applyFill="0" applyBorder="0" applyAlignment="0" applyProtection="0">
      <alignment vertical="center"/>
    </xf>
    <xf numFmtId="180" fontId="28" fillId="0" borderId="0">
      <alignment vertical="center"/>
    </xf>
    <xf numFmtId="180" fontId="28" fillId="0" borderId="0">
      <alignment vertical="center"/>
    </xf>
    <xf numFmtId="180" fontId="1" fillId="0" borderId="0">
      <alignment vertical="center"/>
    </xf>
    <xf numFmtId="0" fontId="1" fillId="0" borderId="0">
      <alignment vertical="center"/>
    </xf>
    <xf numFmtId="0" fontId="28" fillId="0" borderId="0">
      <alignment vertical="center"/>
    </xf>
    <xf numFmtId="180" fontId="28" fillId="0" borderId="0">
      <alignment vertical="center"/>
    </xf>
    <xf numFmtId="180" fontId="28" fillId="0" borderId="0">
      <alignment vertical="center"/>
    </xf>
    <xf numFmtId="180" fontId="28" fillId="0" borderId="0">
      <alignment vertical="center"/>
    </xf>
    <xf numFmtId="180" fontId="29" fillId="0" borderId="0">
      <alignment vertical="center"/>
    </xf>
    <xf numFmtId="180" fontId="28" fillId="0" borderId="0">
      <alignment vertical="center"/>
    </xf>
    <xf numFmtId="180" fontId="28" fillId="0" borderId="0">
      <alignment vertical="center"/>
    </xf>
    <xf numFmtId="180" fontId="28" fillId="0" borderId="0">
      <alignment vertical="center"/>
    </xf>
    <xf numFmtId="180" fontId="28" fillId="0" borderId="0" applyBorder="0">
      <alignment vertical="center"/>
    </xf>
  </cellStyleXfs>
  <cellXfs count="415">
    <xf numFmtId="180" fontId="0" fillId="0" borderId="0" xfId="0"/>
    <xf numFmtId="0" fontId="1" fillId="0" borderId="0" xfId="0" applyNumberFormat="1" applyFont="1" applyAlignment="1">
      <alignment vertical="center" wrapText="1"/>
    </xf>
    <xf numFmtId="0" fontId="1" fillId="0" borderId="0" xfId="0" applyNumberFormat="1" applyFont="1" applyAlignment="1">
      <alignment horizontal="center" vertical="center" wrapText="1"/>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81"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0" fontId="5" fillId="0" borderId="1" xfId="0" applyNumberFormat="1" applyFont="1" applyBorder="1" applyAlignment="1">
      <alignment horizontal="center" vertical="center" wrapText="1"/>
    </xf>
    <xf numFmtId="0" fontId="5" fillId="0" borderId="2"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Border="1" applyAlignment="1">
      <alignment horizontal="center" vertical="center" wrapText="1"/>
    </xf>
    <xf numFmtId="0" fontId="5" fillId="0" borderId="3" xfId="0" applyNumberFormat="1" applyFont="1" applyBorder="1" applyAlignment="1">
      <alignment horizontal="center" vertical="center" wrapText="1"/>
    </xf>
    <xf numFmtId="0" fontId="5" fillId="0" borderId="1" xfId="0" applyNumberFormat="1" applyFont="1" applyBorder="1" applyAlignment="1">
      <alignment horizontal="left" vertical="center"/>
    </xf>
    <xf numFmtId="9" fontId="5" fillId="0" borderId="2" xfId="0" applyNumberFormat="1" applyFont="1" applyBorder="1" applyAlignment="1">
      <alignment horizontal="center" vertical="center" wrapText="1"/>
    </xf>
    <xf numFmtId="9" fontId="5" fillId="0" borderId="3" xfId="0" applyNumberFormat="1" applyFont="1" applyBorder="1" applyAlignment="1">
      <alignment horizontal="center" vertical="center" wrapText="1"/>
    </xf>
    <xf numFmtId="9" fontId="5" fillId="0" borderId="4" xfId="0" applyNumberFormat="1" applyFont="1" applyBorder="1" applyAlignment="1">
      <alignment horizontal="center" vertical="center" wrapText="1"/>
    </xf>
    <xf numFmtId="0" fontId="5" fillId="0" borderId="4" xfId="0" applyNumberFormat="1" applyFont="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wrapText="1"/>
    </xf>
    <xf numFmtId="9"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xf>
    <xf numFmtId="0" fontId="5" fillId="3" borderId="1" xfId="0" applyNumberFormat="1" applyFont="1" applyFill="1" applyBorder="1" applyAlignment="1">
      <alignment horizontal="center" vertical="center"/>
    </xf>
    <xf numFmtId="0" fontId="6" fillId="0" borderId="1" xfId="0" applyNumberFormat="1" applyFont="1" applyBorder="1" applyAlignment="1">
      <alignment horizontal="center" vertical="center" wrapText="1"/>
    </xf>
    <xf numFmtId="0" fontId="5" fillId="4" borderId="1" xfId="0" applyNumberFormat="1" applyFont="1" applyFill="1" applyBorder="1" applyAlignment="1">
      <alignment horizontal="center" vertical="center" wrapText="1"/>
    </xf>
    <xf numFmtId="0" fontId="5" fillId="4" borderId="1" xfId="0" applyNumberFormat="1" applyFont="1" applyFill="1" applyBorder="1" applyAlignment="1">
      <alignment horizontal="left" vertical="center" wrapText="1"/>
    </xf>
    <xf numFmtId="0" fontId="4" fillId="0" borderId="2" xfId="0" applyNumberFormat="1" applyFont="1" applyBorder="1" applyAlignment="1">
      <alignment horizontal="center" vertical="center"/>
    </xf>
    <xf numFmtId="0" fontId="4" fillId="0" borderId="3" xfId="0" applyNumberFormat="1" applyFont="1" applyBorder="1" applyAlignment="1">
      <alignment horizontal="center" vertical="center"/>
    </xf>
    <xf numFmtId="0" fontId="5" fillId="5" borderId="1" xfId="0" applyNumberFormat="1" applyFont="1" applyFill="1" applyBorder="1" applyAlignment="1">
      <alignment horizontal="center" vertical="center"/>
    </xf>
    <xf numFmtId="9" fontId="5" fillId="5" borderId="1" xfId="0" applyNumberFormat="1" applyFont="1" applyFill="1" applyBorder="1" applyAlignment="1">
      <alignment vertical="center"/>
    </xf>
    <xf numFmtId="0" fontId="5" fillId="5" borderId="1" xfId="0" applyNumberFormat="1" applyFont="1" applyFill="1" applyBorder="1" applyAlignment="1">
      <alignment vertical="center"/>
    </xf>
    <xf numFmtId="181" fontId="5" fillId="5" borderId="1" xfId="0" applyNumberFormat="1" applyFont="1" applyFill="1" applyBorder="1" applyAlignment="1">
      <alignment horizontal="center" vertical="center"/>
    </xf>
    <xf numFmtId="0" fontId="5" fillId="0" borderId="1" xfId="0" applyNumberFormat="1" applyFont="1" applyBorder="1" applyAlignment="1">
      <alignment horizontal="center" vertical="center"/>
    </xf>
    <xf numFmtId="0" fontId="5" fillId="0" borderId="1" xfId="0" applyNumberFormat="1" applyFont="1" applyBorder="1" applyAlignment="1">
      <alignment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181" fontId="5" fillId="0" borderId="1" xfId="0" applyNumberFormat="1" applyFont="1" applyBorder="1" applyAlignment="1">
      <alignment horizontal="center" vertical="center"/>
    </xf>
    <xf numFmtId="0" fontId="0" fillId="0" borderId="0" xfId="0" applyNumberFormat="1" applyAlignment="1">
      <alignment vertical="center"/>
    </xf>
    <xf numFmtId="182" fontId="5" fillId="0" borderId="1" xfId="0" applyNumberFormat="1" applyFont="1" applyBorder="1" applyAlignment="1">
      <alignment horizontal="left" vertical="center" wrapText="1"/>
    </xf>
    <xf numFmtId="181"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0" fontId="8" fillId="0" borderId="0" xfId="0" applyNumberFormat="1" applyFont="1" applyAlignment="1">
      <alignment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0" fontId="5" fillId="2" borderId="2" xfId="0" applyNumberFormat="1" applyFont="1" applyFill="1" applyBorder="1" applyAlignment="1">
      <alignment horizontal="left" vertical="center" wrapText="1"/>
    </xf>
    <xf numFmtId="0" fontId="5" fillId="2" borderId="2" xfId="0" applyNumberFormat="1" applyFont="1" applyFill="1" applyBorder="1" applyAlignment="1">
      <alignment horizontal="center" vertical="center"/>
    </xf>
    <xf numFmtId="0" fontId="5" fillId="2" borderId="5" xfId="0" applyNumberFormat="1" applyFont="1" applyFill="1" applyBorder="1" applyAlignment="1">
      <alignment horizontal="left" vertical="center" wrapText="1"/>
    </xf>
    <xf numFmtId="0" fontId="5" fillId="2" borderId="6" xfId="0" applyNumberFormat="1" applyFont="1" applyFill="1" applyBorder="1" applyAlignment="1">
      <alignment horizontal="center" vertical="center"/>
    </xf>
    <xf numFmtId="9" fontId="5" fillId="2" borderId="2" xfId="0" applyNumberFormat="1" applyFont="1" applyFill="1" applyBorder="1" applyAlignment="1">
      <alignment horizontal="center" vertical="center"/>
    </xf>
    <xf numFmtId="0" fontId="5" fillId="2" borderId="2" xfId="0" applyNumberFormat="1" applyFont="1" applyFill="1" applyBorder="1" applyAlignment="1">
      <alignment vertical="center"/>
    </xf>
    <xf numFmtId="181" fontId="5" fillId="2" borderId="2" xfId="0" applyNumberFormat="1" applyFont="1" applyFill="1" applyBorder="1" applyAlignment="1">
      <alignment horizontal="center" vertical="center"/>
    </xf>
    <xf numFmtId="0" fontId="5" fillId="2" borderId="8" xfId="0" applyNumberFormat="1" applyFont="1" applyFill="1" applyBorder="1" applyAlignment="1">
      <alignment horizontal="center" vertical="center"/>
    </xf>
    <xf numFmtId="0" fontId="5" fillId="2" borderId="8" xfId="0" applyNumberFormat="1" applyFont="1" applyFill="1" applyBorder="1" applyAlignment="1">
      <alignment horizontal="left" vertical="center" wrapText="1"/>
    </xf>
    <xf numFmtId="9" fontId="5" fillId="2" borderId="8" xfId="0" applyNumberFormat="1" applyFont="1" applyFill="1" applyBorder="1" applyAlignment="1">
      <alignment horizontal="center" vertical="center"/>
    </xf>
    <xf numFmtId="0" fontId="5" fillId="2" borderId="8" xfId="0" applyNumberFormat="1" applyFont="1" applyFill="1" applyBorder="1" applyAlignment="1">
      <alignment vertical="center"/>
    </xf>
    <xf numFmtId="181" fontId="5" fillId="2" borderId="8" xfId="0" applyNumberFormat="1" applyFont="1" applyFill="1" applyBorder="1" applyAlignment="1">
      <alignment horizontal="center" vertical="center"/>
    </xf>
    <xf numFmtId="0" fontId="5" fillId="2" borderId="8" xfId="0" applyNumberFormat="1" applyFont="1" applyFill="1" applyBorder="1"/>
    <xf numFmtId="0" fontId="5" fillId="2" borderId="8" xfId="0" applyNumberFormat="1" applyFont="1" applyFill="1" applyBorder="1" applyAlignment="1">
      <alignment horizontal="center" vertical="center" wrapText="1"/>
    </xf>
    <xf numFmtId="0" fontId="9" fillId="0" borderId="8" xfId="0" applyNumberFormat="1" applyFont="1" applyBorder="1" applyAlignment="1">
      <alignment vertical="center" wrapText="1"/>
    </xf>
    <xf numFmtId="0" fontId="9" fillId="0" borderId="8" xfId="0" applyNumberFormat="1" applyFont="1" applyBorder="1" applyAlignment="1">
      <alignment horizontal="center" vertical="center" wrapText="1"/>
    </xf>
    <xf numFmtId="0" fontId="5" fillId="2" borderId="9" xfId="0" applyNumberFormat="1" applyFont="1" applyFill="1" applyBorder="1" applyAlignment="1">
      <alignment horizontal="left" vertical="center" wrapText="1"/>
    </xf>
    <xf numFmtId="0" fontId="5" fillId="2" borderId="10" xfId="0" applyNumberFormat="1" applyFont="1" applyFill="1" applyBorder="1" applyAlignment="1">
      <alignment horizontal="center" vertical="center"/>
    </xf>
    <xf numFmtId="9" fontId="9" fillId="0" borderId="8" xfId="0" applyNumberFormat="1" applyFont="1" applyBorder="1" applyAlignment="1">
      <alignment horizontal="center" vertical="center" wrapText="1"/>
    </xf>
    <xf numFmtId="181" fontId="5" fillId="2" borderId="4" xfId="0" applyNumberFormat="1" applyFont="1" applyFill="1" applyBorder="1" applyAlignment="1">
      <alignment horizontal="center" vertical="center"/>
    </xf>
    <xf numFmtId="0" fontId="5" fillId="2" borderId="11" xfId="0" applyNumberFormat="1" applyFont="1" applyFill="1" applyBorder="1" applyAlignment="1">
      <alignment horizontal="left" vertical="center" wrapText="1"/>
    </xf>
    <xf numFmtId="0" fontId="5" fillId="2" borderId="0" xfId="0" applyNumberFormat="1" applyFont="1" applyFill="1" applyAlignment="1">
      <alignment horizontal="center" vertical="center"/>
    </xf>
    <xf numFmtId="9" fontId="5" fillId="2" borderId="11" xfId="0" applyNumberFormat="1" applyFont="1" applyFill="1" applyBorder="1" applyAlignment="1">
      <alignment horizontal="center" vertical="center"/>
    </xf>
    <xf numFmtId="0" fontId="9" fillId="0" borderId="5" xfId="0" applyNumberFormat="1" applyFont="1" applyBorder="1" applyAlignment="1">
      <alignment vertical="center" wrapText="1"/>
    </xf>
    <xf numFmtId="181" fontId="5" fillId="2" borderId="3" xfId="0" applyNumberFormat="1" applyFont="1" applyFill="1" applyBorder="1" applyAlignment="1">
      <alignment horizontal="center" vertical="center"/>
    </xf>
    <xf numFmtId="0" fontId="5" fillId="2" borderId="12" xfId="0" applyNumberFormat="1" applyFont="1" applyFill="1" applyBorder="1" applyAlignment="1">
      <alignment horizontal="center" vertical="center"/>
    </xf>
    <xf numFmtId="0" fontId="10" fillId="0" borderId="0" xfId="0" applyNumberFormat="1" applyFont="1" applyAlignment="1">
      <alignment vertical="center" wrapText="1"/>
    </xf>
    <xf numFmtId="0" fontId="5" fillId="2" borderId="13" xfId="0" applyNumberFormat="1" applyFont="1" applyFill="1" applyBorder="1" applyAlignment="1">
      <alignment horizontal="center" vertical="center"/>
    </xf>
    <xf numFmtId="0" fontId="5" fillId="2" borderId="8" xfId="0" applyNumberFormat="1" applyFont="1" applyFill="1" applyBorder="1" applyAlignment="1">
      <alignment wrapText="1"/>
    </xf>
    <xf numFmtId="0" fontId="5" fillId="5" borderId="4" xfId="0" applyNumberFormat="1" applyFont="1" applyFill="1" applyBorder="1" applyAlignment="1">
      <alignment horizontal="center" vertical="center"/>
    </xf>
    <xf numFmtId="9" fontId="5" fillId="5" borderId="4" xfId="0" applyNumberFormat="1" applyFont="1" applyFill="1" applyBorder="1" applyAlignment="1">
      <alignment vertical="center"/>
    </xf>
    <xf numFmtId="0" fontId="5" fillId="5" borderId="4" xfId="0" applyNumberFormat="1" applyFont="1" applyFill="1" applyBorder="1" applyAlignment="1">
      <alignment vertical="center"/>
    </xf>
    <xf numFmtId="181" fontId="5" fillId="5" borderId="4" xfId="0" applyNumberFormat="1" applyFont="1" applyFill="1" applyBorder="1" applyAlignment="1">
      <alignment horizontal="center" vertical="center"/>
    </xf>
    <xf numFmtId="0" fontId="4" fillId="0" borderId="2" xfId="0" applyNumberFormat="1" applyFont="1" applyBorder="1" applyAlignment="1">
      <alignment horizontal="left" vertical="center" wrapText="1"/>
    </xf>
    <xf numFmtId="9" fontId="5" fillId="0" borderId="2" xfId="0" applyNumberFormat="1" applyFont="1" applyBorder="1" applyAlignment="1">
      <alignment horizontal="center" vertical="center"/>
    </xf>
    <xf numFmtId="181" fontId="5" fillId="0" borderId="2" xfId="0" applyNumberFormat="1" applyFont="1" applyBorder="1" applyAlignment="1">
      <alignment horizontal="center" vertical="center"/>
    </xf>
    <xf numFmtId="0" fontId="5" fillId="0" borderId="13" xfId="0" applyNumberFormat="1" applyFont="1" applyBorder="1" applyAlignment="1">
      <alignment horizontal="center" vertical="center" wrapText="1"/>
    </xf>
    <xf numFmtId="0" fontId="5" fillId="0" borderId="2" xfId="0" applyNumberFormat="1" applyFont="1" applyBorder="1" applyAlignment="1">
      <alignment horizontal="left" vertical="center" wrapText="1"/>
    </xf>
    <xf numFmtId="0" fontId="5" fillId="0" borderId="8" xfId="0" applyNumberFormat="1" applyFont="1" applyBorder="1" applyAlignment="1">
      <alignment horizontal="left" vertical="center" wrapText="1"/>
    </xf>
    <xf numFmtId="0" fontId="5" fillId="2" borderId="14" xfId="0" applyNumberFormat="1" applyFont="1" applyFill="1" applyBorder="1" applyAlignment="1">
      <alignment horizontal="center" vertical="center" wrapText="1"/>
    </xf>
    <xf numFmtId="0" fontId="5" fillId="0" borderId="8" xfId="0" applyNumberFormat="1" applyFont="1" applyBorder="1"/>
    <xf numFmtId="0" fontId="5" fillId="0" borderId="4" xfId="0" applyNumberFormat="1" applyFont="1" applyBorder="1" applyAlignment="1">
      <alignment horizontal="left" vertical="center" wrapText="1"/>
    </xf>
    <xf numFmtId="0" fontId="5" fillId="2" borderId="1" xfId="0" applyNumberFormat="1" applyFont="1" applyFill="1" applyBorder="1" applyAlignment="1">
      <alignment horizontal="left" vertical="center" wrapText="1"/>
    </xf>
    <xf numFmtId="0" fontId="5" fillId="2" borderId="4" xfId="0" applyNumberFormat="1" applyFont="1" applyFill="1" applyBorder="1" applyAlignment="1">
      <alignment horizontal="center" vertical="center" wrapText="1"/>
    </xf>
    <xf numFmtId="0" fontId="5" fillId="0" borderId="2" xfId="0" applyNumberFormat="1" applyFont="1" applyBorder="1" applyAlignment="1">
      <alignment horizontal="left" vertical="center"/>
    </xf>
    <xf numFmtId="0" fontId="5" fillId="0" borderId="13" xfId="0" applyNumberFormat="1" applyFont="1" applyBorder="1" applyAlignment="1">
      <alignment horizontal="center" vertical="center"/>
    </xf>
    <xf numFmtId="9" fontId="5" fillId="0" borderId="8" xfId="0" applyNumberFormat="1" applyFont="1" applyBorder="1" applyAlignment="1">
      <alignment horizontal="center" vertical="center" wrapText="1"/>
    </xf>
    <xf numFmtId="0" fontId="5" fillId="0" borderId="14" xfId="0" applyNumberFormat="1" applyFont="1" applyBorder="1" applyAlignment="1">
      <alignment horizontal="center" vertical="center" wrapText="1"/>
    </xf>
    <xf numFmtId="0" fontId="5" fillId="0" borderId="15" xfId="0" applyNumberFormat="1" applyFont="1" applyBorder="1" applyAlignment="1">
      <alignment horizontal="left" vertical="center" wrapText="1"/>
    </xf>
    <xf numFmtId="0" fontId="11" fillId="0" borderId="0" xfId="0" applyNumberFormat="1" applyFont="1" applyAlignment="1">
      <alignment wrapText="1"/>
    </xf>
    <xf numFmtId="0" fontId="5" fillId="0" borderId="1" xfId="0" applyNumberFormat="1" applyFont="1" applyBorder="1" applyAlignment="1">
      <alignment vertical="center" wrapText="1"/>
    </xf>
    <xf numFmtId="9" fontId="5" fillId="0" borderId="1" xfId="0" applyNumberFormat="1" applyFont="1" applyBorder="1" applyAlignment="1">
      <alignment vertical="center" wrapText="1"/>
    </xf>
    <xf numFmtId="0" fontId="12" fillId="0" borderId="0" xfId="0" applyNumberFormat="1" applyFont="1" applyAlignment="1">
      <alignment vertical="center" wrapText="1"/>
    </xf>
    <xf numFmtId="0" fontId="12" fillId="0" borderId="0" xfId="0" applyNumberFormat="1" applyFont="1" applyAlignment="1">
      <alignment horizontal="center" vertical="center" wrapText="1"/>
    </xf>
    <xf numFmtId="0" fontId="13" fillId="0" borderId="8" xfId="0" applyNumberFormat="1" applyFont="1" applyBorder="1" applyAlignment="1">
      <alignment horizontal="center" vertical="center" wrapText="1"/>
    </xf>
    <xf numFmtId="0" fontId="14" fillId="0" borderId="8" xfId="0" applyNumberFormat="1" applyFont="1" applyBorder="1" applyAlignment="1">
      <alignment horizontal="center" vertical="center"/>
    </xf>
    <xf numFmtId="0" fontId="14" fillId="0" borderId="8" xfId="0" applyNumberFormat="1" applyFont="1" applyBorder="1" applyAlignment="1">
      <alignment horizontal="center" vertical="center" wrapText="1"/>
    </xf>
    <xf numFmtId="0" fontId="14" fillId="0" borderId="8" xfId="0" applyNumberFormat="1" applyFont="1" applyBorder="1" applyAlignment="1">
      <alignment horizontal="left" vertical="center" wrapText="1"/>
    </xf>
    <xf numFmtId="9" fontId="14" fillId="0" borderId="8" xfId="0" applyNumberFormat="1" applyFont="1" applyBorder="1" applyAlignment="1">
      <alignment horizontal="center" vertical="center" wrapText="1"/>
    </xf>
    <xf numFmtId="181" fontId="14" fillId="0" borderId="8" xfId="0" applyNumberFormat="1" applyFont="1" applyBorder="1" applyAlignment="1">
      <alignment horizontal="center" vertical="center"/>
    </xf>
    <xf numFmtId="0" fontId="14" fillId="0" borderId="5" xfId="0" applyNumberFormat="1" applyFont="1" applyBorder="1" applyAlignment="1">
      <alignment horizontal="center" vertical="center" wrapText="1"/>
    </xf>
    <xf numFmtId="0" fontId="16" fillId="0" borderId="8" xfId="0" applyNumberFormat="1" applyFont="1" applyBorder="1" applyAlignment="1">
      <alignment horizontal="left" vertical="center" wrapText="1"/>
    </xf>
    <xf numFmtId="0" fontId="16" fillId="0" borderId="8" xfId="0" applyNumberFormat="1" applyFont="1" applyBorder="1" applyAlignment="1">
      <alignment horizontal="center" vertical="center" wrapText="1"/>
    </xf>
    <xf numFmtId="0" fontId="16" fillId="0" borderId="5" xfId="0" applyNumberFormat="1" applyFont="1" applyBorder="1" applyAlignment="1">
      <alignment vertical="center" wrapText="1"/>
    </xf>
    <xf numFmtId="0" fontId="16" fillId="0" borderId="5" xfId="0" applyNumberFormat="1" applyFont="1" applyBorder="1" applyAlignment="1">
      <alignment horizontal="center" vertical="center" wrapText="1"/>
    </xf>
    <xf numFmtId="181" fontId="14" fillId="0" borderId="5" xfId="0" applyNumberFormat="1" applyFont="1" applyBorder="1" applyAlignment="1">
      <alignment horizontal="center" vertical="center"/>
    </xf>
    <xf numFmtId="0" fontId="14" fillId="0" borderId="16" xfId="0" applyNumberFormat="1" applyFont="1" applyBorder="1" applyAlignment="1">
      <alignment horizontal="center" vertical="center"/>
    </xf>
    <xf numFmtId="0" fontId="14" fillId="5" borderId="9" xfId="0" applyNumberFormat="1" applyFont="1" applyFill="1" applyBorder="1" applyAlignment="1">
      <alignment horizontal="center" vertical="center"/>
    </xf>
    <xf numFmtId="9" fontId="14" fillId="5" borderId="9" xfId="0" applyNumberFormat="1" applyFont="1" applyFill="1" applyBorder="1" applyAlignment="1">
      <alignment vertical="center"/>
    </xf>
    <xf numFmtId="0" fontId="14" fillId="5" borderId="9" xfId="0" applyNumberFormat="1" applyFont="1" applyFill="1" applyBorder="1" applyAlignment="1">
      <alignment vertical="center"/>
    </xf>
    <xf numFmtId="181" fontId="14" fillId="5" borderId="9" xfId="0" applyNumberFormat="1" applyFont="1" applyFill="1" applyBorder="1" applyAlignment="1">
      <alignment horizontal="center" vertical="center"/>
    </xf>
    <xf numFmtId="0" fontId="16" fillId="0" borderId="8" xfId="0" applyNumberFormat="1" applyFont="1" applyBorder="1" applyAlignment="1">
      <alignment vertical="center" wrapText="1"/>
    </xf>
    <xf numFmtId="9" fontId="14" fillId="0" borderId="8" xfId="0" applyNumberFormat="1" applyFont="1" applyBorder="1" applyAlignment="1">
      <alignment horizontal="center" vertical="center"/>
    </xf>
    <xf numFmtId="0" fontId="17" fillId="0" borderId="8" xfId="0" applyNumberFormat="1" applyFont="1" applyBorder="1" applyAlignment="1">
      <alignment horizontal="left" vertical="center" wrapText="1"/>
    </xf>
    <xf numFmtId="0" fontId="16" fillId="0" borderId="16" xfId="0" applyNumberFormat="1" applyFont="1" applyBorder="1" applyAlignment="1">
      <alignment horizontal="center" vertical="center" wrapText="1"/>
    </xf>
    <xf numFmtId="0" fontId="16" fillId="0" borderId="19" xfId="0" applyNumberFormat="1" applyFont="1" applyBorder="1" applyAlignment="1">
      <alignment horizontal="center" vertical="center" wrapText="1"/>
    </xf>
    <xf numFmtId="0" fontId="16" fillId="0" borderId="19" xfId="0" applyNumberFormat="1" applyFont="1" applyBorder="1" applyAlignment="1">
      <alignment vertical="center" wrapText="1"/>
    </xf>
    <xf numFmtId="0" fontId="14" fillId="0" borderId="8" xfId="0" applyNumberFormat="1" applyFont="1" applyBorder="1" applyAlignment="1">
      <alignment vertical="center"/>
    </xf>
    <xf numFmtId="0" fontId="14" fillId="0" borderId="8" xfId="0" applyNumberFormat="1" applyFont="1" applyBorder="1" applyAlignment="1">
      <alignment vertical="center" wrapText="1"/>
    </xf>
    <xf numFmtId="0" fontId="16" fillId="0" borderId="20" xfId="0" applyNumberFormat="1" applyFont="1" applyBorder="1" applyAlignment="1">
      <alignment horizontal="center" vertical="center" wrapText="1"/>
    </xf>
    <xf numFmtId="0" fontId="16" fillId="0" borderId="9" xfId="0" applyNumberFormat="1" applyFont="1" applyBorder="1" applyAlignment="1">
      <alignment vertical="center" wrapText="1"/>
    </xf>
    <xf numFmtId="9" fontId="14" fillId="0" borderId="9" xfId="0" applyNumberFormat="1" applyFont="1" applyBorder="1" applyAlignment="1">
      <alignment horizontal="right" vertical="center"/>
    </xf>
    <xf numFmtId="0" fontId="14" fillId="0" borderId="9" xfId="0" applyNumberFormat="1" applyFont="1" applyBorder="1" applyAlignment="1">
      <alignment vertical="center"/>
    </xf>
    <xf numFmtId="181" fontId="14" fillId="0" borderId="9" xfId="0" applyNumberFormat="1" applyFont="1" applyBorder="1" applyAlignment="1">
      <alignment horizontal="center" vertical="center"/>
    </xf>
    <xf numFmtId="0" fontId="14" fillId="5" borderId="8" xfId="0" applyNumberFormat="1" applyFont="1" applyFill="1" applyBorder="1" applyAlignment="1">
      <alignment horizontal="center" vertical="center"/>
    </xf>
    <xf numFmtId="9" fontId="14" fillId="5" borderId="8" xfId="0" applyNumberFormat="1" applyFont="1" applyFill="1" applyBorder="1" applyAlignment="1">
      <alignment vertical="center"/>
    </xf>
    <xf numFmtId="0" fontId="14" fillId="5" borderId="8" xfId="0" applyNumberFormat="1" applyFont="1" applyFill="1" applyBorder="1" applyAlignment="1">
      <alignment vertical="center"/>
    </xf>
    <xf numFmtId="181" fontId="14" fillId="5" borderId="8" xfId="0" applyNumberFormat="1" applyFont="1" applyFill="1" applyBorder="1" applyAlignment="1">
      <alignment horizontal="center" vertical="center"/>
    </xf>
    <xf numFmtId="0" fontId="17" fillId="0" borderId="8" xfId="0" applyNumberFormat="1" applyFont="1" applyBorder="1" applyAlignment="1">
      <alignment vertical="center" wrapText="1"/>
    </xf>
    <xf numFmtId="0" fontId="18" fillId="0" borderId="0" xfId="0" applyNumberFormat="1" applyFont="1" applyAlignment="1">
      <alignment vertical="center" wrapText="1"/>
    </xf>
    <xf numFmtId="0" fontId="18" fillId="0" borderId="0" xfId="0" applyNumberFormat="1" applyFont="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NumberFormat="1" applyFont="1" applyBorder="1" applyAlignment="1">
      <alignment horizontal="center" vertical="center"/>
    </xf>
    <xf numFmtId="0" fontId="19" fillId="0" borderId="1" xfId="0" applyNumberFormat="1" applyFont="1" applyBorder="1" applyAlignment="1">
      <alignment horizontal="left" vertical="center" wrapText="1"/>
    </xf>
    <xf numFmtId="9" fontId="19" fillId="0" borderId="1" xfId="0" applyNumberFormat="1" applyFont="1" applyBorder="1" applyAlignment="1">
      <alignment horizontal="center" vertical="center" wrapText="1"/>
    </xf>
    <xf numFmtId="181" fontId="19" fillId="0" borderId="1" xfId="0" applyNumberFormat="1" applyFont="1" applyBorder="1" applyAlignment="1">
      <alignment horizontal="center" vertical="center"/>
    </xf>
    <xf numFmtId="0" fontId="14" fillId="0" borderId="0" xfId="0" applyNumberFormat="1" applyFont="1" applyAlignment="1">
      <alignment vertical="center"/>
    </xf>
    <xf numFmtId="0" fontId="21" fillId="0" borderId="2" xfId="0" applyNumberFormat="1" applyFont="1" applyBorder="1" applyAlignment="1">
      <alignment horizontal="center" vertical="center" wrapText="1"/>
    </xf>
    <xf numFmtId="0" fontId="21" fillId="0" borderId="1" xfId="0" applyNumberFormat="1" applyFont="1" applyBorder="1" applyAlignment="1">
      <alignment horizontal="center" vertical="center" wrapText="1"/>
    </xf>
    <xf numFmtId="0" fontId="21" fillId="0" borderId="1" xfId="0" applyNumberFormat="1" applyFont="1" applyBorder="1" applyAlignment="1">
      <alignment horizontal="left" vertical="center" wrapText="1"/>
    </xf>
    <xf numFmtId="0" fontId="21" fillId="2" borderId="1" xfId="0" applyNumberFormat="1" applyFont="1" applyFill="1" applyBorder="1" applyAlignment="1">
      <alignment horizontal="center" vertical="center" wrapText="1"/>
    </xf>
    <xf numFmtId="9" fontId="21" fillId="0" borderId="1" xfId="0" applyNumberFormat="1" applyFont="1" applyBorder="1" applyAlignment="1">
      <alignment horizontal="center" vertical="center" wrapText="1"/>
    </xf>
    <xf numFmtId="0" fontId="21" fillId="0" borderId="1" xfId="0" applyNumberFormat="1" applyFont="1" applyBorder="1" applyAlignment="1">
      <alignment horizontal="center" vertical="center"/>
    </xf>
    <xf numFmtId="181" fontId="21" fillId="6" borderId="1" xfId="0" applyNumberFormat="1" applyFont="1" applyFill="1" applyBorder="1" applyAlignment="1">
      <alignment horizontal="center" vertical="center"/>
    </xf>
    <xf numFmtId="0" fontId="21" fillId="5" borderId="1" xfId="0" applyNumberFormat="1" applyFont="1" applyFill="1" applyBorder="1" applyAlignment="1">
      <alignment horizontal="center" vertical="center"/>
    </xf>
    <xf numFmtId="9" fontId="21" fillId="5" borderId="1" xfId="0" applyNumberFormat="1" applyFont="1" applyFill="1" applyBorder="1" applyAlignment="1">
      <alignment vertical="center"/>
    </xf>
    <xf numFmtId="0" fontId="21" fillId="5" borderId="1" xfId="0" applyNumberFormat="1" applyFont="1" applyFill="1" applyBorder="1" applyAlignment="1">
      <alignment vertical="center"/>
    </xf>
    <xf numFmtId="181" fontId="21" fillId="5" borderId="1" xfId="0" applyNumberFormat="1" applyFont="1" applyFill="1" applyBorder="1" applyAlignment="1">
      <alignment horizontal="center" vertical="center"/>
    </xf>
    <xf numFmtId="9" fontId="21" fillId="0" borderId="1" xfId="0" applyNumberFormat="1" applyFont="1" applyBorder="1" applyAlignment="1">
      <alignment horizontal="center" vertical="center"/>
    </xf>
    <xf numFmtId="181" fontId="21" fillId="0" borderId="1" xfId="0" applyNumberFormat="1" applyFont="1" applyBorder="1" applyAlignment="1">
      <alignment horizontal="center" vertical="center"/>
    </xf>
    <xf numFmtId="0" fontId="20" fillId="0" borderId="1" xfId="0" applyNumberFormat="1" applyFont="1" applyBorder="1" applyAlignment="1">
      <alignment horizontal="center" vertical="center"/>
    </xf>
    <xf numFmtId="0" fontId="21" fillId="0" borderId="1" xfId="0" applyNumberFormat="1" applyFont="1" applyBorder="1" applyAlignment="1">
      <alignment vertical="center" wrapText="1"/>
    </xf>
    <xf numFmtId="0" fontId="5" fillId="0" borderId="21" xfId="0" applyNumberFormat="1" applyFont="1" applyBorder="1" applyAlignment="1">
      <alignment horizontal="center" vertical="center" wrapText="1"/>
    </xf>
    <xf numFmtId="180" fontId="5" fillId="0" borderId="8" xfId="0" applyFont="1" applyBorder="1" applyAlignment="1">
      <alignment horizontal="center" vertical="center" wrapText="1"/>
    </xf>
    <xf numFmtId="181" fontId="5" fillId="0" borderId="8" xfId="0" applyNumberFormat="1" applyFont="1" applyBorder="1" applyAlignment="1">
      <alignment horizontal="center" vertical="center"/>
    </xf>
    <xf numFmtId="180" fontId="5" fillId="0" borderId="8" xfId="0" applyFont="1" applyBorder="1" applyAlignment="1">
      <alignment horizontal="center" vertical="center"/>
    </xf>
    <xf numFmtId="180" fontId="5" fillId="5" borderId="5" xfId="0" applyFont="1" applyFill="1" applyBorder="1" applyAlignment="1">
      <alignment horizontal="center" vertical="center"/>
    </xf>
    <xf numFmtId="9" fontId="5" fillId="5" borderId="8" xfId="0" applyNumberFormat="1" applyFont="1" applyFill="1" applyBorder="1" applyAlignment="1">
      <alignment vertical="center"/>
    </xf>
    <xf numFmtId="180" fontId="5" fillId="5" borderId="8" xfId="0" applyFont="1" applyFill="1" applyBorder="1" applyAlignment="1">
      <alignment vertical="center"/>
    </xf>
    <xf numFmtId="181" fontId="5" fillId="5" borderId="8" xfId="0" applyNumberFormat="1" applyFont="1" applyFill="1" applyBorder="1" applyAlignment="1">
      <alignment horizontal="center" vertical="center"/>
    </xf>
    <xf numFmtId="180" fontId="4" fillId="0" borderId="9" xfId="0" applyFont="1" applyBorder="1" applyAlignment="1">
      <alignment horizontal="left" vertical="center" wrapText="1"/>
    </xf>
    <xf numFmtId="9" fontId="5" fillId="0" borderId="18" xfId="0" applyNumberFormat="1" applyFont="1" applyBorder="1" applyAlignment="1">
      <alignment horizontal="center" vertical="center"/>
    </xf>
    <xf numFmtId="180" fontId="4" fillId="0" borderId="8" xfId="0" applyFont="1" applyBorder="1" applyAlignment="1">
      <alignment vertical="center"/>
    </xf>
    <xf numFmtId="180" fontId="5" fillId="0" borderId="18" xfId="0" applyFont="1" applyBorder="1" applyAlignment="1">
      <alignment horizontal="center" vertical="center" wrapText="1"/>
    </xf>
    <xf numFmtId="180" fontId="5" fillId="0" borderId="1" xfId="0" applyFont="1" applyBorder="1" applyAlignment="1">
      <alignment horizontal="left" vertical="center" wrapText="1"/>
    </xf>
    <xf numFmtId="180" fontId="5" fillId="0" borderId="26" xfId="0" applyFont="1" applyBorder="1" applyAlignment="1">
      <alignment vertical="center" wrapText="1"/>
    </xf>
    <xf numFmtId="180" fontId="5" fillId="5" borderId="8" xfId="0" applyFont="1" applyFill="1" applyBorder="1" applyAlignment="1">
      <alignment horizontal="center" vertical="center"/>
    </xf>
    <xf numFmtId="0" fontId="5" fillId="0" borderId="8" xfId="0" applyNumberFormat="1" applyFont="1" applyBorder="1" applyAlignment="1">
      <alignment vertical="center" wrapText="1"/>
    </xf>
    <xf numFmtId="9" fontId="5" fillId="0" borderId="8" xfId="0" applyNumberFormat="1" applyFont="1" applyBorder="1" applyAlignment="1">
      <alignment horizontal="center" vertical="center"/>
    </xf>
    <xf numFmtId="0" fontId="5" fillId="0" borderId="8" xfId="0" applyNumberFormat="1" applyFont="1" applyBorder="1" applyAlignment="1">
      <alignment vertical="center"/>
    </xf>
    <xf numFmtId="180" fontId="5" fillId="0" borderId="1" xfId="0" applyFont="1" applyBorder="1" applyAlignment="1">
      <alignment horizontal="center" vertical="center"/>
    </xf>
    <xf numFmtId="180" fontId="5" fillId="0" borderId="1" xfId="0" applyFont="1" applyBorder="1" applyAlignment="1">
      <alignment vertical="center"/>
    </xf>
    <xf numFmtId="180" fontId="5" fillId="5" borderId="1" xfId="0" applyFont="1" applyFill="1" applyBorder="1" applyAlignment="1">
      <alignment vertical="center"/>
    </xf>
    <xf numFmtId="0" fontId="5" fillId="0" borderId="1" xfId="0" applyNumberFormat="1" applyFont="1" applyBorder="1" applyAlignment="1">
      <alignment vertical="top" wrapText="1"/>
    </xf>
    <xf numFmtId="0" fontId="4" fillId="5" borderId="1" xfId="0" applyNumberFormat="1" applyFont="1" applyFill="1" applyBorder="1" applyAlignment="1">
      <alignment horizontal="center" vertical="center"/>
    </xf>
    <xf numFmtId="0" fontId="14" fillId="0" borderId="1" xfId="0" applyNumberFormat="1" applyFont="1" applyBorder="1" applyAlignment="1">
      <alignment horizontal="center" vertical="center" wrapText="1"/>
    </xf>
    <xf numFmtId="0" fontId="14" fillId="0" borderId="1" xfId="0" applyNumberFormat="1" applyFont="1" applyBorder="1" applyAlignment="1">
      <alignment horizontal="left" vertical="center" wrapText="1"/>
    </xf>
    <xf numFmtId="0" fontId="14" fillId="2" borderId="1" xfId="0" applyNumberFormat="1" applyFont="1" applyFill="1" applyBorder="1" applyAlignment="1">
      <alignment horizontal="center" vertical="center" wrapText="1"/>
    </xf>
    <xf numFmtId="9" fontId="14" fillId="0" borderId="1" xfId="0" applyNumberFormat="1" applyFont="1" applyBorder="1" applyAlignment="1">
      <alignment horizontal="center" vertical="center" wrapText="1"/>
    </xf>
    <xf numFmtId="0" fontId="14" fillId="0" borderId="1" xfId="0" applyNumberFormat="1" applyFont="1" applyBorder="1" applyAlignment="1">
      <alignment horizontal="center" vertical="center"/>
    </xf>
    <xf numFmtId="181" fontId="22" fillId="0" borderId="1" xfId="0" applyNumberFormat="1" applyFont="1" applyBorder="1" applyAlignment="1">
      <alignment horizontal="center" vertical="center"/>
    </xf>
    <xf numFmtId="181" fontId="14" fillId="0" borderId="1" xfId="0" applyNumberFormat="1" applyFont="1" applyBorder="1" applyAlignment="1">
      <alignment horizontal="center" vertical="center"/>
    </xf>
    <xf numFmtId="0" fontId="5" fillId="2" borderId="2" xfId="0" applyNumberFormat="1" applyFont="1" applyFill="1" applyBorder="1" applyAlignment="1">
      <alignment horizontal="center" vertical="center" wrapText="1"/>
    </xf>
    <xf numFmtId="0" fontId="21" fillId="2" borderId="1" xfId="0" applyNumberFormat="1" applyFont="1" applyFill="1" applyBorder="1" applyAlignment="1">
      <alignment horizontal="left" vertical="center" wrapText="1"/>
    </xf>
    <xf numFmtId="0" fontId="21" fillId="2" borderId="1" xfId="0" applyNumberFormat="1" applyFont="1" applyFill="1" applyBorder="1" applyAlignment="1">
      <alignment horizontal="left" vertical="top" wrapText="1"/>
    </xf>
    <xf numFmtId="0" fontId="21" fillId="0" borderId="2" xfId="0" applyNumberFormat="1" applyFont="1" applyBorder="1" applyAlignment="1">
      <alignment horizontal="left" vertical="top" wrapText="1"/>
    </xf>
    <xf numFmtId="0" fontId="20" fillId="0" borderId="1" xfId="0" applyNumberFormat="1" applyFont="1" applyBorder="1" applyAlignment="1">
      <alignment horizontal="left" vertical="center" wrapText="1"/>
    </xf>
    <xf numFmtId="0" fontId="21" fillId="0" borderId="2" xfId="0" applyNumberFormat="1" applyFont="1" applyBorder="1" applyAlignment="1">
      <alignment horizontal="left" vertical="center" wrapText="1"/>
    </xf>
    <xf numFmtId="0" fontId="21" fillId="2" borderId="1" xfId="0" applyNumberFormat="1" applyFont="1" applyFill="1" applyBorder="1" applyAlignment="1">
      <alignment horizontal="center" vertical="center"/>
    </xf>
    <xf numFmtId="9" fontId="21" fillId="2" borderId="1" xfId="0" applyNumberFormat="1" applyFont="1" applyFill="1" applyBorder="1" applyAlignment="1">
      <alignment horizontal="center" vertical="center"/>
    </xf>
    <xf numFmtId="0" fontId="21" fillId="2" borderId="1" xfId="0" applyNumberFormat="1" applyFont="1" applyFill="1" applyBorder="1" applyAlignment="1">
      <alignment vertical="center"/>
    </xf>
    <xf numFmtId="181" fontId="21" fillId="2" borderId="1" xfId="0" applyNumberFormat="1" applyFont="1" applyFill="1" applyBorder="1" applyAlignment="1">
      <alignment horizontal="center" vertical="center"/>
    </xf>
    <xf numFmtId="0" fontId="14" fillId="5" borderId="1" xfId="0" applyNumberFormat="1" applyFont="1" applyFill="1" applyBorder="1" applyAlignment="1">
      <alignment horizontal="center" vertical="center"/>
    </xf>
    <xf numFmtId="9" fontId="14" fillId="5" borderId="1" xfId="0" applyNumberFormat="1" applyFont="1" applyFill="1" applyBorder="1" applyAlignment="1">
      <alignment vertical="center"/>
    </xf>
    <xf numFmtId="0" fontId="14" fillId="5" borderId="1" xfId="0" applyNumberFormat="1" applyFont="1" applyFill="1" applyBorder="1" applyAlignment="1">
      <alignment vertical="center"/>
    </xf>
    <xf numFmtId="181" fontId="14" fillId="5" borderId="1" xfId="0" applyNumberFormat="1" applyFont="1" applyFill="1" applyBorder="1" applyAlignment="1">
      <alignment horizontal="center" vertical="center"/>
    </xf>
    <xf numFmtId="0" fontId="13" fillId="0" borderId="1" xfId="0" applyNumberFormat="1" applyFont="1" applyBorder="1" applyAlignment="1">
      <alignment vertical="center" wrapText="1"/>
    </xf>
    <xf numFmtId="0" fontId="15" fillId="0" borderId="1" xfId="0" applyNumberFormat="1" applyFont="1" applyBorder="1" applyAlignment="1">
      <alignment vertical="center"/>
    </xf>
    <xf numFmtId="0" fontId="14" fillId="0" borderId="1" xfId="0" applyNumberFormat="1" applyFont="1" applyBorder="1" applyAlignment="1">
      <alignment vertical="center" wrapText="1"/>
    </xf>
    <xf numFmtId="0" fontId="23" fillId="0" borderId="1" xfId="0" applyNumberFormat="1" applyFont="1" applyBorder="1" applyAlignment="1">
      <alignment horizontal="left" vertical="center" wrapText="1"/>
    </xf>
    <xf numFmtId="9" fontId="14" fillId="0" borderId="1" xfId="0" applyNumberFormat="1" applyFont="1" applyBorder="1" applyAlignment="1">
      <alignment horizontal="center" vertical="center"/>
    </xf>
    <xf numFmtId="0" fontId="0" fillId="0" borderId="0" xfId="0" applyNumberFormat="1"/>
    <xf numFmtId="9" fontId="0" fillId="0" borderId="0" xfId="0" applyNumberFormat="1"/>
    <xf numFmtId="183" fontId="0" fillId="0" borderId="0" xfId="0" applyNumberFormat="1"/>
    <xf numFmtId="49" fontId="0" fillId="0" borderId="0" xfId="0" applyNumberFormat="1"/>
    <xf numFmtId="180" fontId="0" fillId="0" borderId="0" xfId="0" applyAlignment="1">
      <alignment horizontal="left"/>
    </xf>
    <xf numFmtId="180" fontId="0" fillId="0" borderId="0" xfId="0" applyAlignment="1">
      <alignment wrapText="1"/>
    </xf>
    <xf numFmtId="0" fontId="25" fillId="7" borderId="3" xfId="0" applyNumberFormat="1" applyFont="1" applyFill="1" applyBorder="1" applyAlignment="1">
      <alignment horizontal="center" vertical="center"/>
    </xf>
    <xf numFmtId="180" fontId="25" fillId="7" borderId="3" xfId="0" applyFont="1" applyFill="1" applyBorder="1" applyAlignment="1">
      <alignment horizontal="center" vertical="center"/>
    </xf>
    <xf numFmtId="9" fontId="25" fillId="7" borderId="3" xfId="0" applyNumberFormat="1" applyFont="1" applyFill="1" applyBorder="1" applyAlignment="1">
      <alignment horizontal="center" vertical="center"/>
    </xf>
    <xf numFmtId="0" fontId="25" fillId="7" borderId="3" xfId="0" applyNumberFormat="1" applyFont="1" applyFill="1" applyBorder="1" applyAlignment="1">
      <alignment horizontal="center" vertical="center" wrapText="1"/>
    </xf>
    <xf numFmtId="183" fontId="25" fillId="7" borderId="3" xfId="0" applyNumberFormat="1" applyFont="1" applyFill="1" applyBorder="1" applyAlignment="1">
      <alignment horizontal="center" vertical="center"/>
    </xf>
    <xf numFmtId="183" fontId="25" fillId="7" borderId="3" xfId="0" applyNumberFormat="1" applyFont="1" applyFill="1" applyBorder="1" applyAlignment="1">
      <alignment horizontal="center" vertical="center" wrapText="1"/>
    </xf>
    <xf numFmtId="49" fontId="25" fillId="7" borderId="3" xfId="0" applyNumberFormat="1" applyFont="1" applyFill="1" applyBorder="1" applyAlignment="1">
      <alignment horizontal="center" vertical="center" wrapText="1"/>
    </xf>
    <xf numFmtId="180" fontId="25" fillId="7" borderId="3" xfId="0" applyFont="1" applyFill="1" applyBorder="1" applyAlignment="1">
      <alignment horizontal="center" vertical="center" wrapText="1"/>
    </xf>
    <xf numFmtId="0" fontId="4" fillId="8" borderId="1" xfId="0" applyNumberFormat="1" applyFont="1" applyFill="1" applyBorder="1" applyAlignment="1">
      <alignment horizontal="center" vertical="center"/>
    </xf>
    <xf numFmtId="180" fontId="4" fillId="8" borderId="1" xfId="0" applyFont="1" applyFill="1" applyBorder="1" applyAlignment="1">
      <alignment horizontal="center" vertical="center" wrapText="1"/>
    </xf>
    <xf numFmtId="180" fontId="4" fillId="8" borderId="1" xfId="0" applyFont="1" applyFill="1" applyBorder="1" applyAlignment="1">
      <alignment vertical="center"/>
    </xf>
    <xf numFmtId="180" fontId="4" fillId="8" borderId="1" xfId="0" applyFont="1" applyFill="1" applyBorder="1" applyAlignment="1">
      <alignment horizontal="center" vertical="center"/>
    </xf>
    <xf numFmtId="9" fontId="4" fillId="8" borderId="1" xfId="0" applyNumberFormat="1" applyFont="1" applyFill="1" applyBorder="1" applyAlignment="1">
      <alignment horizontal="center" vertical="center"/>
    </xf>
    <xf numFmtId="183" fontId="4" fillId="8" borderId="1" xfId="0" applyNumberFormat="1" applyFont="1" applyFill="1" applyBorder="1" applyAlignment="1">
      <alignment horizontal="center" vertical="center"/>
    </xf>
    <xf numFmtId="0" fontId="4" fillId="8" borderId="1" xfId="0" applyNumberFormat="1" applyFont="1" applyFill="1" applyBorder="1" applyAlignment="1">
      <alignment horizontal="center" vertical="center" wrapText="1"/>
    </xf>
    <xf numFmtId="180" fontId="4" fillId="8" borderId="1" xfId="0" applyFont="1" applyFill="1" applyBorder="1" applyAlignment="1">
      <alignment vertical="center" wrapText="1"/>
    </xf>
    <xf numFmtId="180" fontId="4" fillId="8" borderId="1" xfId="0" applyFont="1" applyFill="1" applyBorder="1" applyAlignment="1">
      <alignment horizontal="left" vertical="center"/>
    </xf>
    <xf numFmtId="180" fontId="4" fillId="8" borderId="1" xfId="0" applyFont="1" applyFill="1" applyBorder="1" applyAlignment="1">
      <alignment horizontal="left" vertical="center" wrapText="1"/>
    </xf>
    <xf numFmtId="183" fontId="4" fillId="8" borderId="1" xfId="0" applyNumberFormat="1" applyFont="1" applyFill="1" applyBorder="1" applyAlignment="1">
      <alignment horizontal="center" vertical="center" wrapText="1"/>
    </xf>
    <xf numFmtId="180" fontId="4" fillId="9" borderId="1" xfId="0" applyFont="1" applyFill="1" applyBorder="1" applyAlignment="1">
      <alignment horizontal="center" vertical="center" wrapText="1"/>
    </xf>
    <xf numFmtId="0" fontId="4" fillId="9" borderId="1" xfId="0" applyNumberFormat="1" applyFont="1" applyFill="1" applyBorder="1" applyAlignment="1">
      <alignment horizontal="center" vertical="center"/>
    </xf>
    <xf numFmtId="180" fontId="4" fillId="9" borderId="1" xfId="0" applyFont="1" applyFill="1" applyBorder="1" applyAlignment="1">
      <alignment vertical="center"/>
    </xf>
    <xf numFmtId="180" fontId="4" fillId="9" borderId="1" xfId="0" applyFont="1" applyFill="1" applyBorder="1" applyAlignment="1">
      <alignment horizontal="center" vertical="center"/>
    </xf>
    <xf numFmtId="9" fontId="4" fillId="9" borderId="1" xfId="0" applyNumberFormat="1" applyFont="1" applyFill="1" applyBorder="1" applyAlignment="1">
      <alignment horizontal="center" vertical="center"/>
    </xf>
    <xf numFmtId="183" fontId="4" fillId="9" borderId="1" xfId="0" applyNumberFormat="1" applyFont="1" applyFill="1" applyBorder="1" applyAlignment="1">
      <alignment horizontal="center" vertical="center"/>
    </xf>
    <xf numFmtId="0" fontId="4" fillId="9" borderId="1" xfId="0" applyNumberFormat="1" applyFont="1" applyFill="1" applyBorder="1" applyAlignment="1">
      <alignment horizontal="center" vertical="center" wrapText="1"/>
    </xf>
    <xf numFmtId="180" fontId="4" fillId="9" borderId="1" xfId="0" applyFont="1" applyFill="1" applyBorder="1" applyAlignment="1">
      <alignment vertical="center" wrapText="1"/>
    </xf>
    <xf numFmtId="180" fontId="4" fillId="9" borderId="1" xfId="0" applyFont="1" applyFill="1" applyBorder="1" applyAlignment="1">
      <alignment horizontal="left" vertical="center"/>
    </xf>
    <xf numFmtId="180" fontId="26" fillId="9" borderId="1" xfId="0" applyFont="1" applyFill="1" applyBorder="1" applyAlignment="1">
      <alignment horizontal="center" vertical="center"/>
    </xf>
    <xf numFmtId="183" fontId="26" fillId="9" borderId="1" xfId="0" applyNumberFormat="1" applyFont="1" applyFill="1" applyBorder="1" applyAlignment="1">
      <alignment horizontal="center" vertical="center"/>
    </xf>
    <xf numFmtId="180" fontId="26" fillId="9" borderId="1" xfId="0" applyFont="1" applyFill="1" applyBorder="1" applyAlignment="1">
      <alignment horizontal="center" vertical="center" wrapText="1"/>
    </xf>
    <xf numFmtId="180" fontId="4" fillId="9" borderId="1" xfId="0" applyFont="1" applyFill="1" applyBorder="1" applyAlignment="1">
      <alignment horizontal="left" vertical="center" wrapText="1"/>
    </xf>
    <xf numFmtId="49" fontId="4" fillId="8" borderId="1" xfId="0" applyNumberFormat="1" applyFont="1" applyFill="1" applyBorder="1" applyAlignment="1">
      <alignment horizontal="center" vertical="center" wrapText="1"/>
    </xf>
    <xf numFmtId="183" fontId="4" fillId="9" borderId="1" xfId="0" applyNumberFormat="1" applyFont="1" applyFill="1" applyBorder="1" applyAlignment="1">
      <alignment vertical="center" wrapText="1"/>
    </xf>
    <xf numFmtId="183" fontId="4" fillId="9" borderId="1" xfId="0" applyNumberFormat="1" applyFont="1" applyFill="1" applyBorder="1" applyAlignment="1">
      <alignment horizontal="center" vertical="center" wrapText="1"/>
    </xf>
    <xf numFmtId="49" fontId="4" fillId="9" borderId="1" xfId="0" applyNumberFormat="1" applyFont="1" applyFill="1" applyBorder="1" applyAlignment="1">
      <alignment horizontal="center" vertical="center" wrapText="1"/>
    </xf>
    <xf numFmtId="0" fontId="4" fillId="10" borderId="1" xfId="0" applyNumberFormat="1" applyFont="1" applyFill="1" applyBorder="1" applyAlignment="1">
      <alignment horizontal="center" vertical="center"/>
    </xf>
    <xf numFmtId="180" fontId="4" fillId="10" borderId="1" xfId="0" applyFont="1" applyFill="1" applyBorder="1" applyAlignment="1">
      <alignment horizontal="center" vertical="center" wrapText="1"/>
    </xf>
    <xf numFmtId="180" fontId="4" fillId="10" borderId="1" xfId="0" applyFont="1" applyFill="1" applyBorder="1" applyAlignment="1">
      <alignment vertical="center"/>
    </xf>
    <xf numFmtId="180" fontId="4" fillId="10" borderId="1" xfId="0" applyFont="1" applyFill="1" applyBorder="1" applyAlignment="1">
      <alignment horizontal="center" vertical="center"/>
    </xf>
    <xf numFmtId="9" fontId="4" fillId="10" borderId="1" xfId="0" applyNumberFormat="1" applyFont="1" applyFill="1" applyBorder="1" applyAlignment="1">
      <alignment horizontal="center" vertical="center"/>
    </xf>
    <xf numFmtId="0" fontId="4" fillId="10" borderId="1" xfId="0" applyNumberFormat="1" applyFont="1" applyFill="1" applyBorder="1" applyAlignment="1">
      <alignment horizontal="center" vertical="center" wrapText="1"/>
    </xf>
    <xf numFmtId="183" fontId="4" fillId="10" borderId="1" xfId="0" applyNumberFormat="1" applyFont="1" applyFill="1" applyBorder="1" applyAlignment="1">
      <alignment horizontal="center" vertical="center"/>
    </xf>
    <xf numFmtId="180" fontId="4" fillId="10" borderId="1" xfId="0" applyFont="1" applyFill="1" applyBorder="1" applyAlignment="1">
      <alignment vertical="center" wrapText="1"/>
    </xf>
    <xf numFmtId="180" fontId="4" fillId="10" borderId="1" xfId="0" applyFont="1" applyFill="1" applyBorder="1" applyAlignment="1">
      <alignment horizontal="left" vertical="center"/>
    </xf>
    <xf numFmtId="183" fontId="4" fillId="10" borderId="1" xfId="0" applyNumberFormat="1" applyFont="1" applyFill="1" applyBorder="1" applyAlignment="1">
      <alignment horizontal="center" vertical="center" wrapText="1"/>
    </xf>
    <xf numFmtId="180" fontId="4" fillId="10" borderId="1" xfId="0" applyFont="1" applyFill="1" applyBorder="1" applyAlignment="1">
      <alignment horizontal="left" vertical="center" wrapText="1"/>
    </xf>
    <xf numFmtId="183" fontId="26" fillId="8" borderId="1" xfId="0" applyNumberFormat="1" applyFont="1" applyFill="1" applyBorder="1" applyAlignment="1">
      <alignment horizontal="center" vertical="center"/>
    </xf>
    <xf numFmtId="183" fontId="4" fillId="8" borderId="1" xfId="0" applyNumberFormat="1" applyFont="1" applyFill="1" applyBorder="1" applyAlignment="1">
      <alignment vertical="center"/>
    </xf>
    <xf numFmtId="49" fontId="4" fillId="10" borderId="1" xfId="0" applyNumberFormat="1" applyFont="1" applyFill="1" applyBorder="1" applyAlignment="1">
      <alignment horizontal="center" vertical="center" wrapText="1"/>
    </xf>
    <xf numFmtId="0" fontId="27" fillId="0" borderId="0" xfId="0" applyNumberFormat="1" applyFont="1" applyAlignment="1">
      <alignment horizontal="center" vertical="center"/>
    </xf>
    <xf numFmtId="180" fontId="27" fillId="0" borderId="0" xfId="0" applyFont="1" applyAlignment="1">
      <alignment horizontal="center" vertical="center"/>
    </xf>
    <xf numFmtId="180" fontId="27" fillId="0" borderId="0" xfId="0" applyFont="1" applyAlignment="1">
      <alignment vertical="center"/>
    </xf>
    <xf numFmtId="0" fontId="27" fillId="0" borderId="0" xfId="0" applyNumberFormat="1" applyFont="1" applyAlignment="1">
      <alignment vertical="center"/>
    </xf>
    <xf numFmtId="180" fontId="0" fillId="0" borderId="0" xfId="0" applyAlignment="1">
      <alignment vertical="center"/>
    </xf>
    <xf numFmtId="180" fontId="24" fillId="7" borderId="1" xfId="0" applyFont="1" applyFill="1" applyBorder="1" applyAlignment="1">
      <alignment horizontal="center" vertical="center"/>
    </xf>
    <xf numFmtId="180" fontId="4" fillId="8" borderId="1" xfId="0" applyFont="1" applyFill="1" applyBorder="1" applyAlignment="1">
      <alignment horizontal="center" vertical="center"/>
    </xf>
    <xf numFmtId="0" fontId="4" fillId="8" borderId="1" xfId="0" applyNumberFormat="1" applyFont="1" applyFill="1" applyBorder="1" applyAlignment="1">
      <alignment horizontal="center" vertical="center"/>
    </xf>
    <xf numFmtId="180" fontId="4" fillId="10" borderId="1" xfId="0" applyFont="1" applyFill="1" applyBorder="1" applyAlignment="1">
      <alignment horizontal="center" vertical="center"/>
    </xf>
    <xf numFmtId="0" fontId="4" fillId="10" borderId="1" xfId="0" applyNumberFormat="1" applyFont="1" applyFill="1" applyBorder="1" applyAlignment="1">
      <alignment horizontal="center" vertical="center"/>
    </xf>
    <xf numFmtId="180" fontId="4" fillId="8" borderId="1" xfId="0" applyFont="1" applyFill="1" applyBorder="1" applyAlignment="1">
      <alignment horizontal="center" vertical="center" wrapText="1"/>
    </xf>
    <xf numFmtId="180" fontId="4" fillId="10" borderId="1" xfId="0" applyFont="1" applyFill="1" applyBorder="1" applyAlignment="1">
      <alignment horizontal="center" vertical="center" wrapText="1"/>
    </xf>
    <xf numFmtId="180" fontId="4" fillId="9" borderId="1" xfId="0" applyFont="1" applyFill="1" applyBorder="1" applyAlignment="1">
      <alignment horizontal="center" vertical="center" wrapText="1"/>
    </xf>
    <xf numFmtId="180" fontId="4" fillId="9" borderId="1" xfId="0" applyFont="1" applyFill="1" applyBorder="1" applyAlignment="1">
      <alignment horizontal="center" vertical="center"/>
    </xf>
    <xf numFmtId="0" fontId="4" fillId="9" borderId="1" xfId="0" applyNumberFormat="1" applyFont="1" applyFill="1" applyBorder="1" applyAlignment="1">
      <alignment horizontal="center" vertical="center"/>
    </xf>
    <xf numFmtId="183" fontId="4" fillId="8" borderId="1" xfId="0" applyNumberFormat="1" applyFont="1" applyFill="1" applyBorder="1" applyAlignment="1">
      <alignment horizontal="center" vertical="center" wrapText="1"/>
    </xf>
    <xf numFmtId="0" fontId="4" fillId="9" borderId="1" xfId="0" applyNumberFormat="1" applyFont="1" applyFill="1" applyBorder="1" applyAlignment="1">
      <alignment horizontal="center" vertical="center" wrapText="1"/>
    </xf>
    <xf numFmtId="183" fontId="4" fillId="9" borderId="1" xfId="0" applyNumberFormat="1" applyFont="1" applyFill="1" applyBorder="1" applyAlignment="1">
      <alignment horizontal="center" vertical="center" wrapText="1"/>
    </xf>
    <xf numFmtId="0" fontId="21" fillId="5" borderId="1" xfId="0" applyNumberFormat="1" applyFont="1" applyFill="1" applyBorder="1" applyAlignment="1">
      <alignment horizontal="center" vertical="center"/>
    </xf>
    <xf numFmtId="0" fontId="14" fillId="5" borderId="1" xfId="0" applyNumberFormat="1" applyFont="1" applyFill="1" applyBorder="1" applyAlignment="1">
      <alignment horizontal="center" vertical="center"/>
    </xf>
    <xf numFmtId="0" fontId="19" fillId="0" borderId="1" xfId="0" applyNumberFormat="1" applyFont="1" applyBorder="1" applyAlignment="1">
      <alignment horizontal="center" vertical="center" wrapText="1"/>
    </xf>
    <xf numFmtId="0" fontId="13" fillId="0" borderId="2" xfId="0" applyNumberFormat="1" applyFont="1" applyBorder="1" applyAlignment="1">
      <alignment horizontal="center" vertical="center" wrapText="1"/>
    </xf>
    <xf numFmtId="0" fontId="13" fillId="0" borderId="3" xfId="0" applyNumberFormat="1" applyFont="1" applyBorder="1" applyAlignment="1">
      <alignment horizontal="center" vertical="center" wrapText="1"/>
    </xf>
    <xf numFmtId="0" fontId="13" fillId="0" borderId="4" xfId="0" applyNumberFormat="1" applyFont="1" applyBorder="1" applyAlignment="1">
      <alignment horizontal="center" vertical="center" wrapText="1"/>
    </xf>
    <xf numFmtId="0" fontId="20" fillId="0" borderId="1" xfId="0" applyNumberFormat="1" applyFont="1" applyBorder="1" applyAlignment="1">
      <alignment horizontal="center" vertical="center"/>
    </xf>
    <xf numFmtId="0" fontId="15" fillId="0" borderId="2" xfId="0" applyNumberFormat="1" applyFont="1" applyBorder="1" applyAlignment="1">
      <alignment horizontal="center" vertical="center"/>
    </xf>
    <xf numFmtId="0" fontId="15" fillId="0" borderId="3" xfId="0" applyNumberFormat="1" applyFont="1" applyBorder="1" applyAlignment="1">
      <alignment horizontal="center" vertical="center"/>
    </xf>
    <xf numFmtId="0" fontId="15" fillId="0" borderId="4" xfId="0" applyNumberFormat="1" applyFont="1" applyBorder="1" applyAlignment="1">
      <alignment horizontal="center" vertical="center"/>
    </xf>
    <xf numFmtId="9" fontId="21" fillId="0" borderId="1" xfId="0" applyNumberFormat="1" applyFont="1" applyBorder="1" applyAlignment="1">
      <alignment horizontal="center" vertical="center" wrapText="1"/>
    </xf>
    <xf numFmtId="0" fontId="21" fillId="0" borderId="1" xfId="0" applyNumberFormat="1" applyFont="1" applyBorder="1" applyAlignment="1">
      <alignment horizontal="center" vertical="center" wrapText="1"/>
    </xf>
    <xf numFmtId="9" fontId="14" fillId="0" borderId="2" xfId="0" applyNumberFormat="1" applyFont="1" applyBorder="1" applyAlignment="1">
      <alignment horizontal="center" vertical="center" wrapText="1"/>
    </xf>
    <xf numFmtId="9" fontId="14" fillId="0" borderId="3" xfId="0" applyNumberFormat="1" applyFont="1" applyBorder="1" applyAlignment="1">
      <alignment horizontal="center" vertical="center" wrapText="1"/>
    </xf>
    <xf numFmtId="9" fontId="14" fillId="0" borderId="4" xfId="0" applyNumberFormat="1" applyFont="1" applyBorder="1" applyAlignment="1">
      <alignment horizontal="center" vertical="center" wrapText="1"/>
    </xf>
    <xf numFmtId="0" fontId="14" fillId="0" borderId="2" xfId="0" applyNumberFormat="1" applyFont="1" applyBorder="1" applyAlignment="1">
      <alignment horizontal="center" vertical="center" wrapText="1"/>
    </xf>
    <xf numFmtId="0" fontId="14" fillId="0" borderId="3" xfId="0" applyNumberFormat="1" applyFont="1" applyBorder="1" applyAlignment="1">
      <alignment horizontal="center" vertical="center" wrapText="1"/>
    </xf>
    <xf numFmtId="0" fontId="14" fillId="0" borderId="4" xfId="0" applyNumberFormat="1" applyFont="1" applyBorder="1" applyAlignment="1">
      <alignment horizontal="center" vertical="center" wrapText="1"/>
    </xf>
    <xf numFmtId="0" fontId="21" fillId="0" borderId="1" xfId="0" applyNumberFormat="1" applyFont="1" applyBorder="1" applyAlignment="1">
      <alignment horizontal="center" vertical="center"/>
    </xf>
    <xf numFmtId="0" fontId="14" fillId="0" borderId="2" xfId="0" applyNumberFormat="1" applyFont="1" applyBorder="1" applyAlignment="1">
      <alignment horizontal="center" vertical="center"/>
    </xf>
    <xf numFmtId="0" fontId="14" fillId="0" borderId="3" xfId="0" applyNumberFormat="1" applyFont="1" applyBorder="1" applyAlignment="1">
      <alignment horizontal="center" vertical="center"/>
    </xf>
    <xf numFmtId="0" fontId="14" fillId="0" borderId="4" xfId="0" applyNumberFormat="1" applyFont="1" applyBorder="1" applyAlignment="1">
      <alignment horizontal="center" vertical="center"/>
    </xf>
    <xf numFmtId="0" fontId="14" fillId="0" borderId="1" xfId="0" applyNumberFormat="1" applyFont="1" applyBorder="1" applyAlignment="1">
      <alignment horizontal="center" vertical="center"/>
    </xf>
    <xf numFmtId="0" fontId="21" fillId="0" borderId="2" xfId="0" applyNumberFormat="1" applyFont="1" applyBorder="1" applyAlignment="1">
      <alignment horizontal="center" vertical="center" wrapText="1"/>
    </xf>
    <xf numFmtId="0" fontId="21" fillId="0" borderId="3" xfId="0" applyNumberFormat="1" applyFont="1" applyBorder="1" applyAlignment="1">
      <alignment horizontal="center" vertical="center" wrapText="1"/>
    </xf>
    <xf numFmtId="0" fontId="14" fillId="0" borderId="1" xfId="0" applyNumberFormat="1" applyFont="1" applyBorder="1" applyAlignment="1">
      <alignment horizontal="center" vertical="center" wrapText="1"/>
    </xf>
    <xf numFmtId="0" fontId="21" fillId="0" borderId="4" xfId="0" applyNumberFormat="1" applyFont="1" applyBorder="1" applyAlignment="1">
      <alignment horizontal="center" vertical="center" wrapText="1"/>
    </xf>
    <xf numFmtId="0" fontId="21" fillId="2" borderId="2" xfId="0" applyNumberFormat="1" applyFont="1" applyFill="1" applyBorder="1" applyAlignment="1">
      <alignment horizontal="left" vertical="top" wrapText="1"/>
    </xf>
    <xf numFmtId="0" fontId="21" fillId="2" borderId="4" xfId="0" applyNumberFormat="1" applyFont="1" applyFill="1" applyBorder="1" applyAlignment="1">
      <alignment horizontal="left" vertical="top" wrapText="1"/>
    </xf>
    <xf numFmtId="0" fontId="14" fillId="0" borderId="1" xfId="0" applyNumberFormat="1" applyFont="1" applyBorder="1" applyAlignment="1">
      <alignment horizontal="left" vertical="center" wrapText="1"/>
    </xf>
    <xf numFmtId="0" fontId="5" fillId="5" borderId="1" xfId="0" applyNumberFormat="1" applyFont="1" applyFill="1" applyBorder="1" applyAlignment="1">
      <alignment horizontal="center" vertical="center"/>
    </xf>
    <xf numFmtId="0" fontId="2" fillId="0" borderId="1" xfId="0" applyNumberFormat="1" applyFont="1" applyBorder="1" applyAlignment="1">
      <alignment horizontal="center" vertical="center" wrapText="1"/>
    </xf>
    <xf numFmtId="0" fontId="2" fillId="0" borderId="3" xfId="0" applyNumberFormat="1" applyFont="1" applyBorder="1" applyAlignment="1">
      <alignment horizontal="center" vertical="center"/>
    </xf>
    <xf numFmtId="0" fontId="2" fillId="0" borderId="4" xfId="0" applyNumberFormat="1" applyFont="1" applyBorder="1" applyAlignment="1">
      <alignment horizontal="center" vertical="center"/>
    </xf>
    <xf numFmtId="0" fontId="2" fillId="0" borderId="2" xfId="0" applyNumberFormat="1" applyFont="1" applyBorder="1" applyAlignment="1">
      <alignment horizontal="center" vertical="center"/>
    </xf>
    <xf numFmtId="0" fontId="4" fillId="0" borderId="1" xfId="0" applyNumberFormat="1" applyFont="1" applyBorder="1" applyAlignment="1">
      <alignment horizontal="center" vertical="center"/>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xf>
    <xf numFmtId="0" fontId="5" fillId="0" borderId="3" xfId="0" applyNumberFormat="1" applyFont="1" applyBorder="1" applyAlignment="1">
      <alignment horizontal="center" vertical="center"/>
    </xf>
    <xf numFmtId="0" fontId="5" fillId="0" borderId="4"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4" xfId="0" applyNumberFormat="1" applyFont="1" applyBorder="1" applyAlignment="1">
      <alignment horizontal="center" vertical="center" wrapText="1"/>
    </xf>
    <xf numFmtId="0" fontId="5" fillId="0" borderId="3" xfId="0" applyNumberFormat="1" applyFont="1" applyBorder="1" applyAlignment="1">
      <alignment horizontal="center" vertical="center" wrapText="1"/>
    </xf>
    <xf numFmtId="0" fontId="2" fillId="0" borderId="2" xfId="0" applyNumberFormat="1" applyFont="1" applyBorder="1" applyAlignment="1">
      <alignment horizontal="center" vertical="center" wrapText="1"/>
    </xf>
    <xf numFmtId="0" fontId="2" fillId="0" borderId="3" xfId="0" applyNumberFormat="1" applyFont="1" applyBorder="1" applyAlignment="1">
      <alignment horizontal="center" vertical="center" wrapText="1"/>
    </xf>
    <xf numFmtId="0" fontId="4" fillId="0" borderId="2" xfId="0" applyNumberFormat="1" applyFont="1" applyBorder="1" applyAlignment="1">
      <alignment horizontal="center" vertical="center"/>
    </xf>
    <xf numFmtId="0" fontId="4" fillId="0" borderId="3"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9" fontId="5" fillId="0" borderId="2" xfId="0" applyNumberFormat="1" applyFont="1" applyBorder="1" applyAlignment="1">
      <alignment horizontal="center" vertical="center" wrapText="1"/>
    </xf>
    <xf numFmtId="9" fontId="5" fillId="0" borderId="3"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180" fontId="5" fillId="5" borderId="22" xfId="0" applyFont="1" applyFill="1" applyBorder="1" applyAlignment="1">
      <alignment horizontal="center" vertical="center"/>
    </xf>
    <xf numFmtId="180" fontId="5" fillId="5" borderId="15" xfId="0" applyFont="1" applyFill="1" applyBorder="1" applyAlignment="1">
      <alignment horizontal="center" vertical="center"/>
    </xf>
    <xf numFmtId="180" fontId="5" fillId="5" borderId="23" xfId="0" applyFont="1" applyFill="1" applyBorder="1" applyAlignment="1">
      <alignment horizontal="center" vertical="center"/>
    </xf>
    <xf numFmtId="180" fontId="5" fillId="5" borderId="8" xfId="0" applyFont="1" applyFill="1" applyBorder="1" applyAlignment="1">
      <alignment horizontal="center" vertical="center"/>
    </xf>
    <xf numFmtId="180" fontId="5" fillId="5" borderId="13" xfId="0" applyFont="1" applyFill="1" applyBorder="1" applyAlignment="1">
      <alignment horizontal="center" vertical="center"/>
    </xf>
    <xf numFmtId="180" fontId="5" fillId="5" borderId="14" xfId="0" applyFont="1" applyFill="1" applyBorder="1" applyAlignment="1">
      <alignment horizontal="center" vertical="center"/>
    </xf>
    <xf numFmtId="180" fontId="2" fillId="0" borderId="9" xfId="0" applyFont="1" applyBorder="1" applyAlignment="1">
      <alignment horizontal="center" vertical="center" wrapText="1"/>
    </xf>
    <xf numFmtId="180" fontId="2" fillId="0" borderId="8" xfId="0" applyFont="1" applyBorder="1" applyAlignment="1">
      <alignment horizontal="center" vertical="center" wrapText="1"/>
    </xf>
    <xf numFmtId="180" fontId="2" fillId="0" borderId="1" xfId="0" applyFont="1" applyBorder="1" applyAlignment="1">
      <alignment horizontal="center" vertical="center" wrapText="1"/>
    </xf>
    <xf numFmtId="180" fontId="4" fillId="0" borderId="9" xfId="0" applyFont="1" applyBorder="1" applyAlignment="1">
      <alignment horizontal="left" vertical="center"/>
    </xf>
    <xf numFmtId="180" fontId="4" fillId="0" borderId="8" xfId="0" applyFont="1" applyBorder="1" applyAlignment="1">
      <alignment horizontal="left" vertical="center"/>
    </xf>
    <xf numFmtId="180" fontId="4" fillId="0" borderId="1" xfId="0" applyFont="1" applyBorder="1" applyAlignment="1">
      <alignment horizontal="left" vertical="center"/>
    </xf>
    <xf numFmtId="49" fontId="5" fillId="0" borderId="9"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180" fontId="5" fillId="0" borderId="9" xfId="0" applyFont="1" applyBorder="1" applyAlignment="1">
      <alignment horizontal="center" vertical="center" wrapText="1"/>
    </xf>
    <xf numFmtId="180" fontId="5" fillId="0" borderId="8" xfId="0" applyFont="1" applyBorder="1" applyAlignment="1">
      <alignment horizontal="center" vertical="center" wrapText="1"/>
    </xf>
    <xf numFmtId="180" fontId="5" fillId="0" borderId="1" xfId="0" applyFont="1" applyBorder="1" applyAlignment="1">
      <alignment horizontal="center" vertical="center" wrapText="1"/>
    </xf>
    <xf numFmtId="180" fontId="5" fillId="0" borderId="9" xfId="0" applyFont="1" applyBorder="1" applyAlignment="1">
      <alignment horizontal="center" vertical="center"/>
    </xf>
    <xf numFmtId="180" fontId="5" fillId="0" borderId="8" xfId="0" applyFont="1" applyBorder="1" applyAlignment="1">
      <alignment horizontal="center" vertical="center"/>
    </xf>
    <xf numFmtId="180" fontId="5" fillId="0" borderId="5" xfId="0" applyFont="1" applyBorder="1" applyAlignment="1">
      <alignment horizontal="center" vertical="center"/>
    </xf>
    <xf numFmtId="180" fontId="5" fillId="0" borderId="1" xfId="0" applyFont="1" applyBorder="1" applyAlignment="1">
      <alignment horizontal="center" vertical="center"/>
    </xf>
    <xf numFmtId="180" fontId="5" fillId="0" borderId="5" xfId="0" applyFont="1" applyBorder="1" applyAlignment="1">
      <alignment horizontal="center" vertical="center" wrapText="1"/>
    </xf>
    <xf numFmtId="180" fontId="5" fillId="0" borderId="24" xfId="0" applyFont="1" applyBorder="1" applyAlignment="1">
      <alignment horizontal="center" vertical="center"/>
    </xf>
    <xf numFmtId="180" fontId="5" fillId="0" borderId="16" xfId="0" applyFont="1" applyBorder="1" applyAlignment="1">
      <alignment horizontal="center" vertical="center"/>
    </xf>
    <xf numFmtId="0" fontId="5" fillId="0" borderId="2" xfId="0" applyNumberFormat="1" applyFont="1" applyBorder="1" applyAlignment="1">
      <alignment horizontal="left" vertical="center" wrapText="1"/>
    </xf>
    <xf numFmtId="0" fontId="5" fillId="0" borderId="4" xfId="0" applyNumberFormat="1" applyFont="1" applyBorder="1" applyAlignment="1">
      <alignment horizontal="left" vertical="center" wrapText="1"/>
    </xf>
    <xf numFmtId="180" fontId="5" fillId="0" borderId="25" xfId="0" applyFont="1" applyBorder="1" applyAlignment="1">
      <alignment horizontal="left" vertical="center" wrapText="1"/>
    </xf>
    <xf numFmtId="180" fontId="5" fillId="0" borderId="1" xfId="0" applyFont="1" applyBorder="1" applyAlignment="1">
      <alignment horizontal="left" vertical="center" wrapText="1"/>
    </xf>
    <xf numFmtId="0" fontId="5" fillId="0" borderId="27"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26" xfId="0" applyNumberFormat="1" applyFont="1" applyBorder="1" applyAlignment="1">
      <alignment horizontal="left" vertical="center" wrapText="1"/>
    </xf>
    <xf numFmtId="180" fontId="5" fillId="0" borderId="2" xfId="0" applyFont="1" applyBorder="1" applyAlignment="1">
      <alignment horizontal="left" vertical="center" wrapText="1"/>
    </xf>
    <xf numFmtId="180" fontId="5" fillId="0" borderId="3" xfId="0" applyFont="1" applyBorder="1" applyAlignment="1">
      <alignment horizontal="left" vertical="center" wrapText="1"/>
    </xf>
    <xf numFmtId="180" fontId="5" fillId="0" borderId="4" xfId="0" applyFont="1" applyBorder="1" applyAlignment="1">
      <alignment horizontal="left" vertical="center" wrapText="1"/>
    </xf>
    <xf numFmtId="0" fontId="19" fillId="0" borderId="2"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9" fillId="0" borderId="4" xfId="0" applyNumberFormat="1" applyFont="1" applyBorder="1" applyAlignment="1">
      <alignment horizontal="center" vertical="center" wrapText="1"/>
    </xf>
    <xf numFmtId="0" fontId="20" fillId="0" borderId="2" xfId="0" applyNumberFormat="1" applyFont="1" applyBorder="1" applyAlignment="1">
      <alignment horizontal="center" vertical="center"/>
    </xf>
    <xf numFmtId="0" fontId="20" fillId="0" borderId="3" xfId="0" applyNumberFormat="1" applyFont="1" applyBorder="1" applyAlignment="1">
      <alignment horizontal="center" vertical="center"/>
    </xf>
    <xf numFmtId="0" fontId="20" fillId="0" borderId="4" xfId="0" applyNumberFormat="1" applyFont="1" applyBorder="1" applyAlignment="1">
      <alignment horizontal="center" vertical="center"/>
    </xf>
    <xf numFmtId="9" fontId="21" fillId="0" borderId="2" xfId="0" applyNumberFormat="1" applyFont="1" applyBorder="1" applyAlignment="1">
      <alignment horizontal="center" vertical="center" wrapText="1"/>
    </xf>
    <xf numFmtId="9" fontId="21" fillId="0" borderId="3" xfId="0" applyNumberFormat="1" applyFont="1" applyBorder="1" applyAlignment="1">
      <alignment horizontal="center" vertical="center" wrapText="1"/>
    </xf>
    <xf numFmtId="9" fontId="21" fillId="0" borderId="4" xfId="0" applyNumberFormat="1" applyFont="1" applyBorder="1" applyAlignment="1">
      <alignment horizontal="center" vertical="center" wrapText="1"/>
    </xf>
    <xf numFmtId="0" fontId="21" fillId="0" borderId="2" xfId="0" applyNumberFormat="1" applyFont="1" applyBorder="1" applyAlignment="1">
      <alignment horizontal="center" vertical="center"/>
    </xf>
    <xf numFmtId="0" fontId="21" fillId="0" borderId="3" xfId="0" applyNumberFormat="1" applyFont="1" applyBorder="1" applyAlignment="1">
      <alignment horizontal="center" vertical="center"/>
    </xf>
    <xf numFmtId="0" fontId="21" fillId="0" borderId="4" xfId="0" applyNumberFormat="1" applyFont="1" applyBorder="1" applyAlignment="1">
      <alignment horizontal="center" vertical="center"/>
    </xf>
    <xf numFmtId="0" fontId="14" fillId="5" borderId="16" xfId="0" applyNumberFormat="1" applyFont="1" applyFill="1" applyBorder="1" applyAlignment="1">
      <alignment horizontal="center" vertical="center"/>
    </xf>
    <xf numFmtId="0" fontId="14" fillId="5" borderId="17" xfId="0" applyNumberFormat="1" applyFont="1" applyFill="1" applyBorder="1" applyAlignment="1">
      <alignment horizontal="center" vertical="center"/>
    </xf>
    <xf numFmtId="0" fontId="14" fillId="5" borderId="18" xfId="0" applyNumberFormat="1" applyFont="1" applyFill="1" applyBorder="1" applyAlignment="1">
      <alignment horizontal="center" vertical="center"/>
    </xf>
    <xf numFmtId="0" fontId="13" fillId="0" borderId="5" xfId="0" applyNumberFormat="1" applyFont="1" applyBorder="1" applyAlignment="1">
      <alignment horizontal="center" vertical="center" wrapText="1"/>
    </xf>
    <xf numFmtId="0" fontId="13" fillId="0" borderId="11" xfId="0" applyNumberFormat="1" applyFont="1" applyBorder="1" applyAlignment="1">
      <alignment horizontal="center" vertical="center" wrapText="1"/>
    </xf>
    <xf numFmtId="0" fontId="13" fillId="0" borderId="9" xfId="0" applyNumberFormat="1" applyFont="1" applyBorder="1" applyAlignment="1">
      <alignment horizontal="center" vertical="center" wrapText="1"/>
    </xf>
    <xf numFmtId="0" fontId="15" fillId="0" borderId="5" xfId="0" applyNumberFormat="1" applyFont="1" applyBorder="1" applyAlignment="1">
      <alignment horizontal="center" vertical="center"/>
    </xf>
    <xf numFmtId="0" fontId="15" fillId="0" borderId="11" xfId="0" applyNumberFormat="1" applyFont="1" applyBorder="1" applyAlignment="1">
      <alignment horizontal="center" vertical="center"/>
    </xf>
    <xf numFmtId="0" fontId="15" fillId="0" borderId="9" xfId="0" applyNumberFormat="1" applyFont="1" applyBorder="1" applyAlignment="1">
      <alignment horizontal="center" vertical="center"/>
    </xf>
    <xf numFmtId="0" fontId="14" fillId="0" borderId="5" xfId="0" applyNumberFormat="1" applyFont="1" applyBorder="1" applyAlignment="1">
      <alignment horizontal="center" vertical="center" wrapText="1"/>
    </xf>
    <xf numFmtId="0" fontId="14" fillId="0" borderId="11" xfId="0" applyNumberFormat="1" applyFont="1" applyBorder="1" applyAlignment="1">
      <alignment horizontal="center" vertical="center" wrapText="1"/>
    </xf>
    <xf numFmtId="0" fontId="14" fillId="0" borderId="9" xfId="0" applyNumberFormat="1" applyFont="1" applyBorder="1" applyAlignment="1">
      <alignment horizontal="center" vertical="center" wrapText="1"/>
    </xf>
    <xf numFmtId="0" fontId="14" fillId="0" borderId="5" xfId="0" applyNumberFormat="1" applyFont="1" applyBorder="1" applyAlignment="1">
      <alignment horizontal="center" vertical="center"/>
    </xf>
    <xf numFmtId="0" fontId="14" fillId="0" borderId="11" xfId="0" applyNumberFormat="1" applyFont="1" applyBorder="1" applyAlignment="1">
      <alignment horizontal="center" vertical="center"/>
    </xf>
    <xf numFmtId="0" fontId="14" fillId="0" borderId="9" xfId="0" applyNumberFormat="1" applyFont="1" applyBorder="1" applyAlignment="1">
      <alignment horizontal="center" vertical="center"/>
    </xf>
    <xf numFmtId="0" fontId="5" fillId="5" borderId="4" xfId="0" applyNumberFormat="1" applyFont="1" applyFill="1" applyBorder="1" applyAlignment="1">
      <alignment horizontal="center" vertical="center"/>
    </xf>
    <xf numFmtId="0" fontId="5" fillId="0" borderId="7" xfId="0" applyNumberFormat="1" applyFont="1" applyBorder="1" applyAlignment="1">
      <alignment horizontal="center" vertical="center" wrapText="1"/>
    </xf>
    <xf numFmtId="0" fontId="0" fillId="0" borderId="3" xfId="0" applyNumberFormat="1" applyBorder="1"/>
    <xf numFmtId="0" fontId="0" fillId="0" borderId="4" xfId="0" applyNumberFormat="1" applyBorder="1"/>
    <xf numFmtId="0" fontId="0" fillId="0" borderId="11" xfId="0" applyNumberFormat="1" applyBorder="1"/>
    <xf numFmtId="0" fontId="0" fillId="0" borderId="9" xfId="0" applyNumberFormat="1" applyBorder="1"/>
    <xf numFmtId="0" fontId="5" fillId="0" borderId="1" xfId="0" quotePrefix="1" applyNumberFormat="1" applyFont="1" applyBorder="1" applyAlignment="1">
      <alignment horizontal="center" vertical="center" wrapText="1"/>
    </xf>
    <xf numFmtId="0" fontId="1" fillId="0" borderId="1" xfId="0" applyNumberFormat="1" applyFont="1" applyBorder="1" applyAlignment="1">
      <alignment horizontal="center" vertical="center" wrapText="1"/>
    </xf>
    <xf numFmtId="0" fontId="6" fillId="0" borderId="1" xfId="0" applyNumberFormat="1" applyFont="1" applyBorder="1" applyAlignment="1">
      <alignment horizontal="center" vertical="center" wrapText="1"/>
    </xf>
    <xf numFmtId="0" fontId="5" fillId="4" borderId="1" xfId="0" applyNumberFormat="1" applyFont="1" applyFill="1" applyBorder="1" applyAlignment="1">
      <alignment horizontal="center" vertical="center" wrapText="1"/>
    </xf>
    <xf numFmtId="0" fontId="7" fillId="0" borderId="1" xfId="0" applyNumberFormat="1" applyFont="1" applyBorder="1" applyAlignment="1">
      <alignment horizontal="left" vertical="center" wrapText="1"/>
    </xf>
    <xf numFmtId="0" fontId="6" fillId="0" borderId="1" xfId="0" applyNumberFormat="1" applyFont="1" applyBorder="1" applyAlignment="1">
      <alignment horizontal="left" vertical="center" wrapText="1"/>
    </xf>
    <xf numFmtId="0" fontId="5" fillId="4" borderId="1" xfId="0" applyNumberFormat="1" applyFont="1" applyFill="1" applyBorder="1" applyAlignment="1">
      <alignment horizontal="left" vertical="center" wrapText="1"/>
    </xf>
    <xf numFmtId="9" fontId="5" fillId="0" borderId="4" xfId="0" applyNumberFormat="1" applyFont="1" applyBorder="1" applyAlignment="1">
      <alignment horizontal="center" vertical="center" wrapText="1"/>
    </xf>
    <xf numFmtId="9" fontId="6" fillId="0" borderId="3" xfId="0" applyNumberFormat="1" applyFont="1" applyBorder="1" applyAlignment="1">
      <alignment horizontal="center" vertical="center" wrapText="1"/>
    </xf>
    <xf numFmtId="0" fontId="6" fillId="0" borderId="3" xfId="0" applyNumberFormat="1" applyFont="1" applyBorder="1" applyAlignment="1">
      <alignment horizontal="center" vertical="center" wrapText="1"/>
    </xf>
    <xf numFmtId="0" fontId="6" fillId="0" borderId="4" xfId="0" applyNumberFormat="1" applyFont="1" applyBorder="1" applyAlignment="1">
      <alignment horizontal="center" vertical="center" wrapText="1"/>
    </xf>
    <xf numFmtId="0" fontId="4" fillId="0" borderId="4" xfId="0" applyNumberFormat="1" applyFont="1" applyBorder="1" applyAlignment="1">
      <alignment horizontal="center" vertical="center"/>
    </xf>
  </cellXfs>
  <cellStyles count="16">
    <cellStyle name="百分比 2" xfId="1" xr:uid="{00000000-0005-0000-0000-000031000000}"/>
    <cellStyle name="百分比 3" xfId="2" xr:uid="{00000000-0005-0000-0000-000032000000}"/>
    <cellStyle name="常规" xfId="0" builtinId="0"/>
    <cellStyle name="常规 10" xfId="3" xr:uid="{00000000-0005-0000-0000-000033000000}"/>
    <cellStyle name="常规 11" xfId="4" xr:uid="{00000000-0005-0000-0000-000034000000}"/>
    <cellStyle name="常规 12" xfId="5" xr:uid="{00000000-0005-0000-0000-000035000000}"/>
    <cellStyle name="常规 13" xfId="6" xr:uid="{00000000-0005-0000-0000-000036000000}"/>
    <cellStyle name="常规 14" xfId="7" xr:uid="{00000000-0005-0000-0000-000037000000}"/>
    <cellStyle name="常规 2" xfId="8" xr:uid="{00000000-0005-0000-0000-000038000000}"/>
    <cellStyle name="常规 3" xfId="9" xr:uid="{00000000-0005-0000-0000-000039000000}"/>
    <cellStyle name="常规 4" xfId="10" xr:uid="{00000000-0005-0000-0000-00003A000000}"/>
    <cellStyle name="常规 5" xfId="11" xr:uid="{00000000-0005-0000-0000-00003B000000}"/>
    <cellStyle name="常规 6" xfId="12" xr:uid="{00000000-0005-0000-0000-00003C000000}"/>
    <cellStyle name="常规 7" xfId="13" xr:uid="{00000000-0005-0000-0000-00003D000000}"/>
    <cellStyle name="常规 8" xfId="14" xr:uid="{00000000-0005-0000-0000-00003E000000}"/>
    <cellStyle name="常规 9" xfId="15" xr:uid="{00000000-0005-0000-0000-00003F000000}"/>
  </cellStyles>
  <dxfs count="11">
    <dxf>
      <fill>
        <patternFill patternType="solid">
          <bgColor rgb="FFFFFFFF"/>
        </patternFill>
      </fill>
      <border>
        <left/>
        <right style="thin">
          <color theme="1"/>
        </right>
        <top style="thin">
          <color theme="1"/>
        </top>
        <bottom style="thin">
          <color theme="1"/>
        </bottom>
        <vertical/>
        <horizontal/>
      </border>
    </dxf>
    <dxf>
      <font>
        <b/>
        <i val="0"/>
        <u val="none"/>
        <sz val="11"/>
        <color theme="1"/>
      </font>
      <fill>
        <patternFill patternType="solid">
          <bgColor rgb="FFFFFFFF"/>
        </patternFill>
      </fill>
      <border>
        <left style="thin">
          <color theme="1"/>
        </left>
        <right/>
        <top style="thin">
          <color theme="1"/>
        </top>
        <bottom style="thin">
          <color theme="1"/>
        </bottom>
        <vertical/>
        <horizontal/>
      </border>
    </dxf>
    <dxf>
      <font>
        <b/>
        <i val="0"/>
        <u val="none"/>
        <sz val="11"/>
        <color theme="0"/>
      </font>
      <fill>
        <patternFill patternType="solid">
          <bgColor theme="1"/>
        </patternFill>
      </fill>
      <border>
        <left style="thin">
          <color theme="1"/>
        </left>
        <right style="thin">
          <color theme="1" tint="0.59999389629810485"/>
        </right>
        <top style="thin">
          <color theme="1"/>
        </top>
        <bottom style="thin">
          <color theme="1" tint="0.59999389629810485"/>
        </bottom>
        <vertical/>
        <horizontal/>
      </border>
    </dxf>
    <dxf>
      <border>
        <left style="thin">
          <color theme="1" tint="0.59999389629810485"/>
        </left>
        <right style="thin">
          <color theme="1" tint="0.59999389629810485"/>
        </right>
        <top style="thin">
          <color theme="1"/>
        </top>
        <bottom style="thin">
          <color theme="1"/>
        </bottom>
        <vertical/>
        <horizontal style="thin">
          <color theme="1" tint="0.59999389629810485"/>
        </horizontal>
      </border>
    </dxf>
    <dxf>
      <fill>
        <patternFill patternType="solid">
          <bgColor theme="1" tint="0.89999084444715716"/>
        </patternFill>
      </fill>
      <border>
        <left style="thin">
          <color theme="1"/>
        </left>
        <right style="thin">
          <color theme="1"/>
        </right>
        <top style="thin">
          <color theme="1"/>
        </top>
        <bottom style="thin">
          <color theme="1"/>
        </bottom>
        <vertical style="thin">
          <color theme="1" tint="0.59999389629810485"/>
        </vertical>
        <horizontal style="thin">
          <color theme="1" tint="0.59999389629810485"/>
        </horizontal>
      </border>
    </dxf>
    <dxf>
      <fill>
        <patternFill patternType="solid">
          <bgColor theme="1" tint="0.89999084444715716"/>
        </patternFill>
      </fill>
    </dxf>
    <dxf>
      <font>
        <b/>
        <i val="0"/>
        <u val="none"/>
        <sz val="11"/>
        <color rgb="FF08090C"/>
      </font>
      <fill>
        <patternFill patternType="solid">
          <bgColor theme="1" tint="0.79998168889431442"/>
        </patternFill>
      </fill>
      <border>
        <left style="thin">
          <color theme="1" tint="0.59999389629810485"/>
        </left>
        <right style="thin">
          <color theme="1"/>
        </right>
        <top style="thin">
          <color theme="1"/>
        </top>
        <bottom style="thin">
          <color theme="1"/>
        </bottom>
        <vertical/>
        <horizontal style="thin">
          <color theme="1" tint="0.59999389629810485"/>
        </horizontal>
      </border>
    </dxf>
    <dxf>
      <font>
        <b/>
        <i val="0"/>
        <u val="none"/>
        <sz val="11"/>
        <color rgb="FFFFFFFF"/>
      </font>
      <fill>
        <patternFill patternType="solid">
          <bgColor theme="1"/>
        </patternFill>
      </fill>
      <border>
        <left style="thin">
          <color theme="1"/>
        </left>
        <right style="thin">
          <color theme="1"/>
        </right>
        <top style="thin">
          <color theme="1"/>
        </top>
        <bottom style="thin">
          <color theme="1"/>
        </bottom>
        <vertical/>
        <horizontal style="thin">
          <color theme="1" tint="0.59999389629810485"/>
        </horizontal>
      </border>
    </dxf>
    <dxf>
      <font>
        <b/>
        <i val="0"/>
        <u val="none"/>
        <sz val="11"/>
        <color theme="1"/>
      </font>
      <fill>
        <patternFill patternType="solid">
          <bgColor rgb="FFFFFFFF"/>
        </patternFill>
      </fill>
      <border>
        <left style="thin">
          <color theme="1"/>
        </left>
        <right style="thin">
          <color theme="1"/>
        </right>
        <top style="thin">
          <color theme="1"/>
        </top>
        <bottom style="thin">
          <color theme="1"/>
        </bottom>
        <vertical/>
        <horizontal/>
      </border>
    </dxf>
    <dxf>
      <font>
        <b/>
        <i val="0"/>
        <u val="none"/>
        <sz val="11"/>
        <color rgb="FFFFFFFF"/>
      </font>
      <fill>
        <patternFill patternType="solid">
          <bgColor theme="1"/>
        </patternFill>
      </fill>
      <border>
        <left style="thin">
          <color theme="1"/>
        </left>
        <right style="thin">
          <color theme="1"/>
        </right>
        <top style="thin">
          <color theme="1"/>
        </top>
        <bottom style="thin">
          <color theme="1"/>
        </bottom>
        <vertical style="thin">
          <color theme="1" tint="0.59999389629810485"/>
        </vertical>
        <horizontal/>
      </border>
    </dxf>
    <dxf>
      <font>
        <b val="0"/>
        <i val="0"/>
        <u val="none"/>
        <sz val="11"/>
        <color rgb="FF000000"/>
      </font>
      <fill>
        <patternFill patternType="solid">
          <bgColor rgb="FFFFFFFF"/>
        </patternFill>
      </fill>
      <border>
        <left style="thin">
          <color theme="1"/>
        </left>
        <right style="thin">
          <color theme="1"/>
        </right>
        <top style="thin">
          <color theme="1"/>
        </top>
        <bottom style="thin">
          <color theme="1"/>
        </bottom>
        <vertical style="thin">
          <color theme="1" tint="0.59999389629810485"/>
        </vertical>
        <horizontal style="thin">
          <color theme="1" tint="0.59999389629810485"/>
        </horizontal>
      </border>
    </dxf>
  </dxfs>
  <tableStyles count="1" defaultTableStyle="TableStyleMedium2" defaultPivotStyle="PivotStyleLight16">
    <tableStyle name="中色系标题行标题列镶边行表格样式_42aaee" count="11" xr9:uid="{6BAEDC8C-A146-4153-B6FC-DEF04795675B}">
      <tableStyleElement type="wholeTable" dxfId="10"/>
      <tableStyleElement type="headerRow" dxfId="9"/>
      <tableStyleElement type="totalRow" dxfId="8"/>
      <tableStyleElement type="firstColumn" dxfId="7"/>
      <tableStyleElement type="lastColumn" dxfId="6"/>
      <tableStyleElement type="secondRowStripe" dxfId="5"/>
      <tableStyleElement type="firstColumnStripe" dxfId="4"/>
      <tableStyleElement type="secondColumnStripe" dxfId="3"/>
      <tableStyleElement type="firstHeaderCell"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55"/>
  <sheetViews>
    <sheetView zoomScale="70" zoomScaleNormal="70" workbookViewId="0">
      <pane xSplit="5" ySplit="2" topLeftCell="L3" activePane="bottomRight" state="frozen"/>
      <selection pane="topRight"/>
      <selection pane="bottomLeft"/>
      <selection pane="bottomRight" activeCell="H4" sqref="H4"/>
    </sheetView>
  </sheetViews>
  <sheetFormatPr baseColWidth="10" defaultColWidth="9" defaultRowHeight="15"/>
  <cols>
    <col min="1" max="1" width="7.83203125" style="209" customWidth="1"/>
    <col min="2" max="2" width="15.5" customWidth="1"/>
    <col min="3" max="3" width="14.5" customWidth="1"/>
    <col min="4" max="4" width="21.83203125" style="209" customWidth="1"/>
    <col min="5" max="5" width="41.83203125" customWidth="1"/>
    <col min="6" max="6" width="21.1640625" customWidth="1"/>
    <col min="7" max="7" width="9.83203125" customWidth="1"/>
    <col min="8" max="8" width="11.5" customWidth="1"/>
    <col min="9" max="9" width="10.83203125" customWidth="1"/>
    <col min="10" max="10" width="15.33203125" style="210" customWidth="1"/>
    <col min="11" max="11" width="13" style="209" customWidth="1"/>
    <col min="12" max="12" width="32.33203125" style="211" customWidth="1"/>
    <col min="13" max="13" width="20.6640625" style="211" customWidth="1"/>
    <col min="14" max="14" width="19.83203125" style="209" customWidth="1"/>
    <col min="15" max="15" width="20.1640625" style="209" customWidth="1"/>
    <col min="16" max="16" width="21.33203125" style="212" customWidth="1"/>
    <col min="17" max="17" width="19.1640625" customWidth="1"/>
    <col min="18" max="18" width="16.33203125" customWidth="1"/>
    <col min="19" max="19" width="91.5" style="213" customWidth="1"/>
    <col min="20" max="20" width="39.6640625" style="214" customWidth="1"/>
  </cols>
  <sheetData>
    <row r="1" spans="1:20" ht="37.5" customHeight="1">
      <c r="A1" s="270" t="s">
        <v>0</v>
      </c>
      <c r="B1" s="270"/>
      <c r="C1" s="270"/>
      <c r="D1" s="270"/>
      <c r="E1" s="270"/>
      <c r="F1" s="270"/>
      <c r="G1" s="270"/>
      <c r="H1" s="270"/>
      <c r="I1" s="270"/>
      <c r="J1" s="270"/>
      <c r="K1" s="270"/>
      <c r="L1" s="270"/>
      <c r="M1" s="270"/>
      <c r="N1" s="270"/>
      <c r="O1" s="270"/>
      <c r="P1" s="270"/>
      <c r="Q1" s="270"/>
      <c r="R1" s="270"/>
      <c r="S1" s="270"/>
      <c r="T1" s="270"/>
    </row>
    <row r="2" spans="1:20" ht="46" customHeight="1">
      <c r="A2" s="215" t="s">
        <v>1</v>
      </c>
      <c r="B2" s="216" t="s">
        <v>2</v>
      </c>
      <c r="C2" s="216" t="s">
        <v>3</v>
      </c>
      <c r="D2" s="215" t="s">
        <v>4</v>
      </c>
      <c r="E2" s="216" t="s">
        <v>5</v>
      </c>
      <c r="F2" s="216" t="s">
        <v>6</v>
      </c>
      <c r="G2" s="216" t="s">
        <v>7</v>
      </c>
      <c r="H2" s="216" t="s">
        <v>8</v>
      </c>
      <c r="I2" s="216" t="s">
        <v>9</v>
      </c>
      <c r="J2" s="217" t="s">
        <v>10</v>
      </c>
      <c r="K2" s="218" t="s">
        <v>11</v>
      </c>
      <c r="L2" s="219" t="s">
        <v>12</v>
      </c>
      <c r="M2" s="220" t="s">
        <v>13</v>
      </c>
      <c r="N2" s="215" t="s">
        <v>14</v>
      </c>
      <c r="O2" s="215" t="s">
        <v>15</v>
      </c>
      <c r="P2" s="221" t="s">
        <v>16</v>
      </c>
      <c r="Q2" s="222" t="s">
        <v>17</v>
      </c>
      <c r="R2" s="216" t="s">
        <v>18</v>
      </c>
      <c r="S2" s="216" t="s">
        <v>19</v>
      </c>
    </row>
    <row r="3" spans="1:20" ht="35" customHeight="1">
      <c r="A3" s="223">
        <v>1</v>
      </c>
      <c r="B3" s="275" t="s">
        <v>20</v>
      </c>
      <c r="C3" s="275" t="s">
        <v>21</v>
      </c>
      <c r="D3" s="223">
        <v>22220901</v>
      </c>
      <c r="E3" s="225" t="s">
        <v>22</v>
      </c>
      <c r="F3" s="226" t="s">
        <v>23</v>
      </c>
      <c r="G3" s="226" t="s">
        <v>24</v>
      </c>
      <c r="H3" s="226" t="s">
        <v>25</v>
      </c>
      <c r="I3" s="226" t="s">
        <v>26</v>
      </c>
      <c r="J3" s="227" t="s">
        <v>27</v>
      </c>
      <c r="K3" s="228" t="s">
        <v>27</v>
      </c>
      <c r="L3" s="228" t="s">
        <v>27</v>
      </c>
      <c r="M3" s="228">
        <v>25.327999999999999</v>
      </c>
      <c r="N3" s="223">
        <v>11.5</v>
      </c>
      <c r="O3" s="223">
        <v>10.5</v>
      </c>
      <c r="P3" s="229" t="str">
        <f>ROUND(O3-N3,2)&amp;"("&amp;ROUND(((O3-N3)/N3*100),0)&amp;"%)"</f>
        <v>-1(-9%)</v>
      </c>
      <c r="Q3" s="230"/>
      <c r="R3" s="225"/>
      <c r="S3" s="231"/>
    </row>
    <row r="4" spans="1:20" ht="161" customHeight="1">
      <c r="A4" s="223">
        <v>2</v>
      </c>
      <c r="B4" s="271"/>
      <c r="C4" s="271"/>
      <c r="D4" s="223">
        <v>22250226</v>
      </c>
      <c r="E4" s="225" t="s">
        <v>28</v>
      </c>
      <c r="F4" s="226" t="s">
        <v>23</v>
      </c>
      <c r="G4" s="226" t="s">
        <v>29</v>
      </c>
      <c r="H4" s="226" t="s">
        <v>30</v>
      </c>
      <c r="I4" s="226" t="s">
        <v>26</v>
      </c>
      <c r="J4" s="227">
        <v>0.94</v>
      </c>
      <c r="K4" s="229">
        <v>423.78</v>
      </c>
      <c r="L4" s="228">
        <v>80</v>
      </c>
      <c r="M4" s="228">
        <v>148.58000000000001</v>
      </c>
      <c r="N4" s="223">
        <v>9</v>
      </c>
      <c r="O4" s="223">
        <v>9.5</v>
      </c>
      <c r="P4" s="229" t="str">
        <f t="shared" ref="P4" si="0">ROUND(O4-N4,2)&amp;"("&amp;ROUND(((O4-N4)/N4*100),0)&amp;"%)"</f>
        <v>0.5(6%)</v>
      </c>
      <c r="Q4" s="230"/>
      <c r="R4" s="225"/>
      <c r="S4" s="232" t="s">
        <v>31</v>
      </c>
    </row>
    <row r="5" spans="1:20" ht="32" customHeight="1">
      <c r="A5" s="223">
        <v>3</v>
      </c>
      <c r="B5" s="271"/>
      <c r="C5" s="271"/>
      <c r="D5" s="223">
        <v>22220202</v>
      </c>
      <c r="E5" s="225" t="s">
        <v>32</v>
      </c>
      <c r="F5" s="226" t="s">
        <v>33</v>
      </c>
      <c r="G5" s="224" t="s">
        <v>34</v>
      </c>
      <c r="H5" s="226" t="s">
        <v>25</v>
      </c>
      <c r="I5" s="226" t="s">
        <v>26</v>
      </c>
      <c r="J5" s="227" t="s">
        <v>27</v>
      </c>
      <c r="K5" s="280">
        <v>292.75</v>
      </c>
      <c r="L5" s="280"/>
      <c r="M5" s="280">
        <v>27.146999999999998</v>
      </c>
      <c r="N5" s="223">
        <v>0</v>
      </c>
      <c r="O5" s="223">
        <v>0</v>
      </c>
      <c r="P5" s="229">
        <v>0</v>
      </c>
      <c r="Q5" s="224"/>
      <c r="R5" s="225"/>
      <c r="S5" s="232" t="s">
        <v>35</v>
      </c>
    </row>
    <row r="6" spans="1:20" ht="23" customHeight="1">
      <c r="A6" s="223">
        <v>4</v>
      </c>
      <c r="B6" s="271"/>
      <c r="C6" s="271"/>
      <c r="D6" s="223">
        <v>22220701</v>
      </c>
      <c r="E6" s="225" t="s">
        <v>36</v>
      </c>
      <c r="F6" s="226" t="s">
        <v>33</v>
      </c>
      <c r="G6" s="224" t="s">
        <v>34</v>
      </c>
      <c r="H6" s="226" t="s">
        <v>25</v>
      </c>
      <c r="I6" s="226" t="s">
        <v>26</v>
      </c>
      <c r="J6" s="227" t="s">
        <v>27</v>
      </c>
      <c r="K6" s="280"/>
      <c r="L6" s="280"/>
      <c r="M6" s="280"/>
      <c r="N6" s="223">
        <v>0</v>
      </c>
      <c r="O6" s="223">
        <v>0.25</v>
      </c>
      <c r="P6" s="229">
        <v>0.25</v>
      </c>
      <c r="Q6" s="224"/>
      <c r="R6" s="225"/>
      <c r="S6" s="232" t="s">
        <v>37</v>
      </c>
    </row>
    <row r="7" spans="1:20" ht="23" customHeight="1">
      <c r="A7" s="223">
        <v>5</v>
      </c>
      <c r="B7" s="271"/>
      <c r="C7" s="277" t="s">
        <v>38</v>
      </c>
      <c r="D7" s="235">
        <v>22221201</v>
      </c>
      <c r="E7" s="236" t="s">
        <v>39</v>
      </c>
      <c r="F7" s="237" t="s">
        <v>40</v>
      </c>
      <c r="G7" s="234" t="s">
        <v>24</v>
      </c>
      <c r="H7" s="237" t="s">
        <v>25</v>
      </c>
      <c r="I7" s="237" t="s">
        <v>26</v>
      </c>
      <c r="J7" s="238">
        <v>0.99</v>
      </c>
      <c r="K7" s="239" t="s">
        <v>27</v>
      </c>
      <c r="L7" s="239"/>
      <c r="M7" s="239">
        <v>9.02</v>
      </c>
      <c r="N7" s="235">
        <v>0</v>
      </c>
      <c r="O7" s="235">
        <v>5</v>
      </c>
      <c r="P7" s="240">
        <v>5</v>
      </c>
      <c r="Q7" s="241"/>
      <c r="R7" s="236"/>
      <c r="S7" s="242"/>
    </row>
    <row r="8" spans="1:20" ht="38" customHeight="1">
      <c r="A8" s="223">
        <v>6</v>
      </c>
      <c r="B8" s="271"/>
      <c r="C8" s="278"/>
      <c r="D8" s="235">
        <v>22250314</v>
      </c>
      <c r="E8" s="236" t="s">
        <v>41</v>
      </c>
      <c r="F8" s="237" t="s">
        <v>42</v>
      </c>
      <c r="G8" s="237" t="s">
        <v>29</v>
      </c>
      <c r="H8" s="237" t="s">
        <v>30</v>
      </c>
      <c r="I8" s="243" t="s">
        <v>43</v>
      </c>
      <c r="J8" s="238">
        <v>0.95</v>
      </c>
      <c r="K8" s="239">
        <v>89.653000000000006</v>
      </c>
      <c r="L8" s="239"/>
      <c r="M8" s="244">
        <v>96.36</v>
      </c>
      <c r="N8" s="235">
        <v>10.5</v>
      </c>
      <c r="O8" s="235">
        <v>11</v>
      </c>
      <c r="P8" s="240" t="str">
        <f t="shared" ref="P8:P14" si="1">O8-N8&amp;"("&amp;ROUND(((O8-N8)/N8*100),0)&amp;"%)"</f>
        <v>0.5(5%)</v>
      </c>
      <c r="Q8" s="245" t="s">
        <v>44</v>
      </c>
      <c r="R8" s="236"/>
      <c r="S8" s="246" t="s">
        <v>45</v>
      </c>
    </row>
    <row r="9" spans="1:20" ht="23" customHeight="1">
      <c r="A9" s="223">
        <v>7</v>
      </c>
      <c r="B9" s="271"/>
      <c r="C9" s="278"/>
      <c r="D9" s="235" t="s">
        <v>46</v>
      </c>
      <c r="E9" s="236" t="s">
        <v>47</v>
      </c>
      <c r="F9" s="237" t="s">
        <v>48</v>
      </c>
      <c r="G9" s="237" t="s">
        <v>29</v>
      </c>
      <c r="H9" s="237" t="s">
        <v>49</v>
      </c>
      <c r="I9" s="237" t="s">
        <v>26</v>
      </c>
      <c r="J9" s="238" t="s">
        <v>27</v>
      </c>
      <c r="K9" s="239">
        <v>37.96</v>
      </c>
      <c r="L9" s="239"/>
      <c r="M9" s="239">
        <v>18.600000000000001</v>
      </c>
      <c r="N9" s="235">
        <v>10</v>
      </c>
      <c r="O9" s="235">
        <v>6.5</v>
      </c>
      <c r="P9" s="240" t="str">
        <f t="shared" si="1"/>
        <v>-3.5(-35%)</v>
      </c>
      <c r="Q9" s="241"/>
      <c r="R9" s="236"/>
      <c r="S9" s="242" t="s">
        <v>50</v>
      </c>
    </row>
    <row r="10" spans="1:20" ht="84" customHeight="1">
      <c r="A10" s="223">
        <v>8</v>
      </c>
      <c r="B10" s="271"/>
      <c r="C10" s="278"/>
      <c r="D10" s="235">
        <v>23260410</v>
      </c>
      <c r="E10" s="236" t="s">
        <v>51</v>
      </c>
      <c r="F10" s="237" t="s">
        <v>52</v>
      </c>
      <c r="G10" s="237" t="s">
        <v>29</v>
      </c>
      <c r="H10" s="237" t="s">
        <v>53</v>
      </c>
      <c r="I10" s="237" t="s">
        <v>26</v>
      </c>
      <c r="J10" s="238">
        <v>0.3</v>
      </c>
      <c r="K10" s="240">
        <v>156.5</v>
      </c>
      <c r="L10" s="239" t="s">
        <v>54</v>
      </c>
      <c r="M10" s="239">
        <v>48.7</v>
      </c>
      <c r="N10" s="235">
        <v>16.5</v>
      </c>
      <c r="O10" s="235">
        <v>21</v>
      </c>
      <c r="P10" s="235" t="str">
        <f t="shared" si="1"/>
        <v>4.5(27%)</v>
      </c>
      <c r="Q10" s="234"/>
      <c r="R10" s="236"/>
      <c r="S10" s="246" t="s">
        <v>55</v>
      </c>
      <c r="T10" s="214" t="s">
        <v>56</v>
      </c>
    </row>
    <row r="11" spans="1:20" ht="23" customHeight="1">
      <c r="A11" s="223">
        <v>9</v>
      </c>
      <c r="B11" s="271"/>
      <c r="C11" s="275" t="s">
        <v>57</v>
      </c>
      <c r="D11" s="223">
        <v>22240822</v>
      </c>
      <c r="E11" s="225" t="s">
        <v>58</v>
      </c>
      <c r="F11" s="226" t="s">
        <v>59</v>
      </c>
      <c r="G11" s="226" t="s">
        <v>29</v>
      </c>
      <c r="H11" s="226" t="s">
        <v>49</v>
      </c>
      <c r="I11" s="226" t="s">
        <v>26</v>
      </c>
      <c r="J11" s="227">
        <v>1</v>
      </c>
      <c r="K11" s="229">
        <v>165.5</v>
      </c>
      <c r="L11" s="228" t="s">
        <v>60</v>
      </c>
      <c r="M11" s="228">
        <v>78.930000000000007</v>
      </c>
      <c r="N11" s="223">
        <v>2</v>
      </c>
      <c r="O11" s="223">
        <v>1</v>
      </c>
      <c r="P11" s="229" t="str">
        <f t="shared" si="1"/>
        <v>-1(-50%)</v>
      </c>
      <c r="Q11" s="224"/>
      <c r="R11" s="225"/>
      <c r="S11" s="231" t="s">
        <v>61</v>
      </c>
    </row>
    <row r="12" spans="1:20" ht="23" customHeight="1">
      <c r="A12" s="223">
        <v>10</v>
      </c>
      <c r="B12" s="271"/>
      <c r="C12" s="275"/>
      <c r="D12" s="223">
        <v>23251211</v>
      </c>
      <c r="E12" s="225" t="s">
        <v>62</v>
      </c>
      <c r="F12" s="226" t="s">
        <v>63</v>
      </c>
      <c r="G12" s="226" t="s">
        <v>29</v>
      </c>
      <c r="H12" s="226" t="s">
        <v>64</v>
      </c>
      <c r="I12" s="226" t="s">
        <v>26</v>
      </c>
      <c r="J12" s="227">
        <v>0.9</v>
      </c>
      <c r="K12" s="229" t="s">
        <v>65</v>
      </c>
      <c r="L12" s="233" t="s">
        <v>66</v>
      </c>
      <c r="M12" s="233">
        <v>25.68</v>
      </c>
      <c r="N12" s="223">
        <v>6.5</v>
      </c>
      <c r="O12" s="223">
        <v>1</v>
      </c>
      <c r="P12" s="247" t="str">
        <f t="shared" si="1"/>
        <v>-5.5(-85%)</v>
      </c>
      <c r="Q12" s="224"/>
      <c r="R12" s="225"/>
      <c r="S12" s="231" t="s">
        <v>67</v>
      </c>
    </row>
    <row r="13" spans="1:20" ht="23" customHeight="1">
      <c r="A13" s="223">
        <v>12</v>
      </c>
      <c r="B13" s="271"/>
      <c r="C13" s="277" t="s">
        <v>68</v>
      </c>
      <c r="D13" s="235">
        <v>222201001</v>
      </c>
      <c r="E13" s="236" t="s">
        <v>69</v>
      </c>
      <c r="F13" s="237" t="s">
        <v>70</v>
      </c>
      <c r="G13" s="234" t="s">
        <v>34</v>
      </c>
      <c r="H13" s="237" t="s">
        <v>25</v>
      </c>
      <c r="I13" s="237" t="s">
        <v>26</v>
      </c>
      <c r="J13" s="238">
        <v>0.99</v>
      </c>
      <c r="K13" s="281">
        <v>236.56</v>
      </c>
      <c r="L13" s="248"/>
      <c r="M13" s="282">
        <v>46.210999999999999</v>
      </c>
      <c r="N13" s="235">
        <v>0</v>
      </c>
      <c r="O13" s="235">
        <v>0</v>
      </c>
      <c r="P13" s="250" t="s">
        <v>71</v>
      </c>
      <c r="Q13" s="234"/>
      <c r="R13" s="236"/>
      <c r="S13" s="242" t="s">
        <v>72</v>
      </c>
    </row>
    <row r="14" spans="1:20" ht="41" customHeight="1">
      <c r="A14" s="223">
        <v>13</v>
      </c>
      <c r="B14" s="271"/>
      <c r="C14" s="278"/>
      <c r="D14" s="235">
        <v>22220905</v>
      </c>
      <c r="E14" s="236" t="s">
        <v>73</v>
      </c>
      <c r="F14" s="237" t="s">
        <v>70</v>
      </c>
      <c r="G14" s="234" t="s">
        <v>34</v>
      </c>
      <c r="H14" s="237" t="s">
        <v>25</v>
      </c>
      <c r="I14" s="237" t="s">
        <v>26</v>
      </c>
      <c r="J14" s="238">
        <v>0.99</v>
      </c>
      <c r="K14" s="281"/>
      <c r="L14" s="248"/>
      <c r="M14" s="282"/>
      <c r="N14" s="235">
        <v>6.75</v>
      </c>
      <c r="O14" s="235">
        <v>7.5</v>
      </c>
      <c r="P14" s="250" t="str">
        <f t="shared" si="1"/>
        <v>0.75(11%)</v>
      </c>
      <c r="Q14" s="241"/>
      <c r="R14" s="236"/>
      <c r="S14" s="242" t="s">
        <v>74</v>
      </c>
    </row>
    <row r="15" spans="1:20" ht="43" customHeight="1">
      <c r="A15" s="223">
        <v>14</v>
      </c>
      <c r="B15" s="271"/>
      <c r="C15" s="278"/>
      <c r="D15" s="235">
        <v>21250326</v>
      </c>
      <c r="E15" s="236" t="s">
        <v>75</v>
      </c>
      <c r="F15" s="237" t="s">
        <v>70</v>
      </c>
      <c r="G15" s="234" t="s">
        <v>29</v>
      </c>
      <c r="H15" s="237" t="s">
        <v>53</v>
      </c>
      <c r="I15" s="237" t="s">
        <v>76</v>
      </c>
      <c r="J15" s="238">
        <v>0.85</v>
      </c>
      <c r="K15" s="240" t="s">
        <v>77</v>
      </c>
      <c r="L15" s="249"/>
      <c r="M15" s="249">
        <v>47.86</v>
      </c>
      <c r="N15" s="235">
        <v>12</v>
      </c>
      <c r="O15" s="235">
        <v>6</v>
      </c>
      <c r="P15" s="240" t="str">
        <f t="shared" ref="P15:P23" si="2">O15-N15&amp;"("&amp;ROUND(((O15-N15)/N15*100),0)&amp;"%)"</f>
        <v>-6(-50%)</v>
      </c>
      <c r="Q15" s="241"/>
      <c r="R15" s="236"/>
      <c r="S15" s="246" t="s">
        <v>78</v>
      </c>
    </row>
    <row r="16" spans="1:20" ht="23" customHeight="1">
      <c r="A16" s="223">
        <v>15</v>
      </c>
      <c r="B16" s="271"/>
      <c r="C16" s="278"/>
      <c r="D16" s="235" t="s">
        <v>79</v>
      </c>
      <c r="E16" s="236" t="s">
        <v>80</v>
      </c>
      <c r="F16" s="237" t="s">
        <v>81</v>
      </c>
      <c r="G16" s="234" t="s">
        <v>29</v>
      </c>
      <c r="H16" s="237" t="s">
        <v>82</v>
      </c>
      <c r="I16" s="237" t="s">
        <v>26</v>
      </c>
      <c r="J16" s="238">
        <v>0.99</v>
      </c>
      <c r="K16" s="240" t="s">
        <v>83</v>
      </c>
      <c r="L16" s="249"/>
      <c r="M16" s="249">
        <v>5.94</v>
      </c>
      <c r="N16" s="235">
        <v>0</v>
      </c>
      <c r="O16" s="235">
        <v>0</v>
      </c>
      <c r="P16" s="240">
        <v>0</v>
      </c>
      <c r="Q16" s="241"/>
      <c r="R16" s="236"/>
      <c r="S16" s="242" t="s">
        <v>84</v>
      </c>
    </row>
    <row r="17" spans="1:19" ht="23" customHeight="1">
      <c r="A17" s="223">
        <v>16</v>
      </c>
      <c r="B17" s="271"/>
      <c r="C17" s="275" t="s">
        <v>85</v>
      </c>
      <c r="D17" s="223" t="s">
        <v>86</v>
      </c>
      <c r="E17" s="225" t="s">
        <v>87</v>
      </c>
      <c r="F17" s="226" t="s">
        <v>88</v>
      </c>
      <c r="G17" s="226" t="s">
        <v>29</v>
      </c>
      <c r="H17" s="226" t="s">
        <v>30</v>
      </c>
      <c r="I17" s="226" t="s">
        <v>26</v>
      </c>
      <c r="J17" s="227">
        <v>0.95</v>
      </c>
      <c r="K17" s="229">
        <v>149.1</v>
      </c>
      <c r="L17" s="228">
        <v>0</v>
      </c>
      <c r="M17" s="228">
        <v>33.35</v>
      </c>
      <c r="N17" s="223">
        <v>9</v>
      </c>
      <c r="O17" s="223">
        <v>6</v>
      </c>
      <c r="P17" s="247" t="str">
        <f t="shared" si="2"/>
        <v>-3(-33%)</v>
      </c>
      <c r="Q17" s="230"/>
      <c r="R17" s="225"/>
      <c r="S17" s="232" t="s">
        <v>89</v>
      </c>
    </row>
    <row r="18" spans="1:19" ht="23" customHeight="1">
      <c r="A18" s="223">
        <v>17</v>
      </c>
      <c r="B18" s="271"/>
      <c r="C18" s="271"/>
      <c r="D18" s="223"/>
      <c r="E18" s="225" t="s">
        <v>90</v>
      </c>
      <c r="F18" s="226" t="s">
        <v>88</v>
      </c>
      <c r="G18" s="226" t="s">
        <v>29</v>
      </c>
      <c r="H18" s="226" t="s">
        <v>49</v>
      </c>
      <c r="I18" s="226" t="s">
        <v>26</v>
      </c>
      <c r="J18" s="227" t="s">
        <v>27</v>
      </c>
      <c r="K18" s="229"/>
      <c r="L18" s="228"/>
      <c r="M18" s="228">
        <v>10.68</v>
      </c>
      <c r="N18" s="223">
        <v>6</v>
      </c>
      <c r="O18" s="223">
        <v>9</v>
      </c>
      <c r="P18" s="247" t="str">
        <f t="shared" si="2"/>
        <v>3(50%)</v>
      </c>
      <c r="Q18" s="230"/>
      <c r="R18" s="225"/>
      <c r="S18" s="232"/>
    </row>
    <row r="19" spans="1:19" ht="23" customHeight="1">
      <c r="A19" s="223">
        <v>18</v>
      </c>
      <c r="B19" s="271"/>
      <c r="C19" s="277" t="s">
        <v>91</v>
      </c>
      <c r="D19" s="279" t="s">
        <v>92</v>
      </c>
      <c r="E19" s="236" t="s">
        <v>93</v>
      </c>
      <c r="F19" s="237" t="s">
        <v>94</v>
      </c>
      <c r="G19" s="237" t="s">
        <v>29</v>
      </c>
      <c r="H19" s="237" t="s">
        <v>49</v>
      </c>
      <c r="I19" s="237" t="s">
        <v>26</v>
      </c>
      <c r="J19" s="238" t="s">
        <v>27</v>
      </c>
      <c r="K19" s="240"/>
      <c r="L19" s="239"/>
      <c r="M19" s="239">
        <v>21</v>
      </c>
      <c r="N19" s="235">
        <v>23</v>
      </c>
      <c r="O19" s="235">
        <v>18</v>
      </c>
      <c r="P19" s="250" t="str">
        <f t="shared" si="2"/>
        <v>-5(-22%)</v>
      </c>
      <c r="Q19" s="234"/>
      <c r="R19" s="236"/>
      <c r="S19" s="242"/>
    </row>
    <row r="20" spans="1:19" ht="23" customHeight="1">
      <c r="A20" s="223">
        <v>19</v>
      </c>
      <c r="B20" s="271"/>
      <c r="C20" s="278"/>
      <c r="D20" s="279"/>
      <c r="E20" s="236" t="s">
        <v>95</v>
      </c>
      <c r="F20" s="237" t="s">
        <v>42</v>
      </c>
      <c r="G20" s="237" t="s">
        <v>29</v>
      </c>
      <c r="H20" s="237" t="s">
        <v>49</v>
      </c>
      <c r="I20" s="237" t="s">
        <v>26</v>
      </c>
      <c r="J20" s="238" t="s">
        <v>27</v>
      </c>
      <c r="K20" s="240"/>
      <c r="L20" s="239"/>
      <c r="M20" s="239">
        <v>18.879000000000001</v>
      </c>
      <c r="N20" s="235">
        <v>8</v>
      </c>
      <c r="O20" s="235">
        <v>9.5</v>
      </c>
      <c r="P20" s="240" t="str">
        <f t="shared" si="2"/>
        <v>1.5(19%)</v>
      </c>
      <c r="Q20" s="234"/>
      <c r="R20" s="236"/>
      <c r="S20" s="242"/>
    </row>
    <row r="21" spans="1:19" ht="23" customHeight="1">
      <c r="A21" s="223">
        <v>20</v>
      </c>
      <c r="B21" s="271"/>
      <c r="C21" s="278"/>
      <c r="D21" s="279"/>
      <c r="E21" s="236" t="s">
        <v>96</v>
      </c>
      <c r="F21" s="237" t="s">
        <v>52</v>
      </c>
      <c r="G21" s="237" t="s">
        <v>29</v>
      </c>
      <c r="H21" s="237" t="s">
        <v>49</v>
      </c>
      <c r="I21" s="237" t="s">
        <v>26</v>
      </c>
      <c r="J21" s="238" t="s">
        <v>27</v>
      </c>
      <c r="K21" s="240"/>
      <c r="L21" s="249"/>
      <c r="M21" s="249">
        <v>23.643000000000001</v>
      </c>
      <c r="N21" s="235">
        <v>16</v>
      </c>
      <c r="O21" s="235">
        <v>17.5</v>
      </c>
      <c r="P21" s="240" t="str">
        <f t="shared" si="2"/>
        <v>1.5(9%)</v>
      </c>
      <c r="Q21" s="241"/>
      <c r="R21" s="236"/>
      <c r="S21" s="242"/>
    </row>
    <row r="22" spans="1:19" ht="23" customHeight="1">
      <c r="A22" s="223">
        <v>21</v>
      </c>
      <c r="B22" s="271"/>
      <c r="C22" s="278"/>
      <c r="D22" s="279"/>
      <c r="E22" s="236" t="s">
        <v>97</v>
      </c>
      <c r="F22" s="237" t="s">
        <v>63</v>
      </c>
      <c r="G22" s="237" t="s">
        <v>29</v>
      </c>
      <c r="H22" s="237" t="s">
        <v>49</v>
      </c>
      <c r="I22" s="237" t="s">
        <v>26</v>
      </c>
      <c r="J22" s="238" t="s">
        <v>27</v>
      </c>
      <c r="K22" s="240"/>
      <c r="L22" s="249"/>
      <c r="M22" s="249">
        <v>28.8</v>
      </c>
      <c r="N22" s="235">
        <v>23</v>
      </c>
      <c r="O22" s="235">
        <v>27.5</v>
      </c>
      <c r="P22" s="240" t="str">
        <f t="shared" si="2"/>
        <v>4.5(20%)</v>
      </c>
      <c r="Q22" s="241"/>
      <c r="R22" s="236"/>
      <c r="S22" s="242"/>
    </row>
    <row r="23" spans="1:19" ht="23" customHeight="1">
      <c r="A23" s="223">
        <v>22</v>
      </c>
      <c r="B23" s="271"/>
      <c r="C23" s="278"/>
      <c r="D23" s="279"/>
      <c r="E23" s="236" t="s">
        <v>98</v>
      </c>
      <c r="F23" s="237" t="s">
        <v>63</v>
      </c>
      <c r="G23" s="237" t="s">
        <v>29</v>
      </c>
      <c r="H23" s="237" t="s">
        <v>49</v>
      </c>
      <c r="I23" s="237" t="s">
        <v>26</v>
      </c>
      <c r="J23" s="238" t="s">
        <v>27</v>
      </c>
      <c r="K23" s="240"/>
      <c r="L23" s="249"/>
      <c r="M23" s="249">
        <v>3.9220000000000002</v>
      </c>
      <c r="N23" s="235">
        <v>1.5</v>
      </c>
      <c r="O23" s="235">
        <v>1</v>
      </c>
      <c r="P23" s="240" t="str">
        <f t="shared" si="2"/>
        <v>-0.5(-33%)</v>
      </c>
      <c r="Q23" s="241"/>
      <c r="R23" s="236"/>
      <c r="S23" s="242"/>
    </row>
    <row r="24" spans="1:19" ht="38.25" customHeight="1">
      <c r="A24" s="223"/>
      <c r="B24" s="271"/>
      <c r="C24" s="271"/>
      <c r="D24" s="271"/>
      <c r="E24" s="271"/>
      <c r="F24" s="271"/>
      <c r="G24" s="271"/>
      <c r="H24" s="271"/>
      <c r="I24" s="271"/>
      <c r="J24" s="272"/>
      <c r="K24" s="272"/>
      <c r="L24" s="228" t="s">
        <v>99</v>
      </c>
      <c r="M24" s="228"/>
      <c r="N24" s="223">
        <f>SUM(N3:N23)</f>
        <v>171.25</v>
      </c>
      <c r="O24" s="223">
        <f>SUM(O3:O23)</f>
        <v>167.75</v>
      </c>
      <c r="P24" s="223"/>
      <c r="Q24" s="224" t="s">
        <v>100</v>
      </c>
      <c r="R24" s="227">
        <f>O24/34/5</f>
        <v>0.98676470588235299</v>
      </c>
      <c r="S24" s="232" t="s">
        <v>101</v>
      </c>
    </row>
    <row r="25" spans="1:19" ht="29" customHeight="1">
      <c r="A25" s="251">
        <v>23</v>
      </c>
      <c r="B25" s="276" t="s">
        <v>102</v>
      </c>
      <c r="C25" s="276" t="s">
        <v>103</v>
      </c>
      <c r="D25" s="251" t="s">
        <v>104</v>
      </c>
      <c r="E25" s="253" t="s">
        <v>105</v>
      </c>
      <c r="F25" s="254" t="s">
        <v>106</v>
      </c>
      <c r="G25" s="254" t="s">
        <v>29</v>
      </c>
      <c r="H25" s="254" t="s">
        <v>107</v>
      </c>
      <c r="I25" s="254" t="s">
        <v>26</v>
      </c>
      <c r="J25" s="255">
        <v>0.5</v>
      </c>
      <c r="K25" s="256"/>
      <c r="L25" s="257"/>
      <c r="M25" s="257">
        <v>15.67</v>
      </c>
      <c r="N25" s="251"/>
      <c r="O25" s="251"/>
      <c r="P25" s="256">
        <v>0</v>
      </c>
      <c r="Q25" s="258"/>
      <c r="R25" s="253"/>
      <c r="S25" s="259"/>
    </row>
    <row r="26" spans="1:19" ht="29" customHeight="1">
      <c r="A26" s="251">
        <v>24</v>
      </c>
      <c r="B26" s="276"/>
      <c r="C26" s="276"/>
      <c r="D26" s="251"/>
      <c r="E26" s="253" t="s">
        <v>108</v>
      </c>
      <c r="F26" s="254" t="s">
        <v>109</v>
      </c>
      <c r="G26" s="254" t="s">
        <v>29</v>
      </c>
      <c r="H26" s="254" t="s">
        <v>53</v>
      </c>
      <c r="I26" s="254" t="s">
        <v>26</v>
      </c>
      <c r="J26" s="255" t="s">
        <v>24</v>
      </c>
      <c r="K26" s="256"/>
      <c r="L26" s="257"/>
      <c r="M26" s="257">
        <v>13.457599999999999</v>
      </c>
      <c r="N26" s="251">
        <v>3.8</v>
      </c>
      <c r="O26" s="251">
        <v>5.5</v>
      </c>
      <c r="P26" s="256" t="str">
        <f t="shared" ref="P26:P29" si="3">O26-N26&amp;"("&amp;ROUND(((O26-N26)/N26*100),0)&amp;"%)"</f>
        <v>1.7(45%)</v>
      </c>
      <c r="Q26" s="258"/>
      <c r="R26" s="253"/>
      <c r="S26" s="259" t="s">
        <v>110</v>
      </c>
    </row>
    <row r="27" spans="1:19" ht="25" customHeight="1">
      <c r="A27" s="251">
        <v>25</v>
      </c>
      <c r="B27" s="276"/>
      <c r="C27" s="276"/>
      <c r="D27" s="251">
        <v>21260422</v>
      </c>
      <c r="E27" s="253" t="s">
        <v>111</v>
      </c>
      <c r="F27" s="254" t="s">
        <v>112</v>
      </c>
      <c r="G27" s="254" t="s">
        <v>29</v>
      </c>
      <c r="H27" s="254" t="s">
        <v>53</v>
      </c>
      <c r="I27" s="254" t="s">
        <v>26</v>
      </c>
      <c r="J27" s="255">
        <v>0.85</v>
      </c>
      <c r="K27" s="256"/>
      <c r="L27" s="260"/>
      <c r="M27" s="260">
        <v>19.224</v>
      </c>
      <c r="N27" s="251">
        <v>19</v>
      </c>
      <c r="O27" s="251">
        <v>20</v>
      </c>
      <c r="P27" s="256" t="str">
        <f t="shared" si="3"/>
        <v>1(5%)</v>
      </c>
      <c r="Q27" s="258"/>
      <c r="R27" s="253"/>
      <c r="S27" s="259"/>
    </row>
    <row r="28" spans="1:19" ht="25" customHeight="1">
      <c r="A28" s="251">
        <v>26</v>
      </c>
      <c r="B28" s="276"/>
      <c r="C28" s="276"/>
      <c r="D28" s="251">
        <v>21260423</v>
      </c>
      <c r="E28" s="253" t="s">
        <v>113</v>
      </c>
      <c r="F28" s="254" t="s">
        <v>112</v>
      </c>
      <c r="G28" s="254" t="s">
        <v>29</v>
      </c>
      <c r="H28" s="254" t="s">
        <v>53</v>
      </c>
      <c r="I28" s="254" t="s">
        <v>26</v>
      </c>
      <c r="J28" s="255">
        <v>0.5</v>
      </c>
      <c r="K28" s="256"/>
      <c r="L28" s="260"/>
      <c r="M28" s="260">
        <v>3.6240000000000001</v>
      </c>
      <c r="N28" s="251">
        <v>8.6999999999999993</v>
      </c>
      <c r="O28" s="251">
        <v>3.5</v>
      </c>
      <c r="P28" s="256" t="str">
        <f>ROUND(O28-N28,2)&amp;"("&amp;ROUND(((O28-N28)/N28*100),0)&amp;"%)"</f>
        <v>-5.2(-60%)</v>
      </c>
      <c r="Q28" s="258"/>
      <c r="R28" s="253"/>
      <c r="S28" s="259" t="s">
        <v>114</v>
      </c>
    </row>
    <row r="29" spans="1:19" ht="25" customHeight="1">
      <c r="A29" s="251">
        <v>27</v>
      </c>
      <c r="B29" s="276"/>
      <c r="C29" s="276"/>
      <c r="D29" s="251">
        <v>22220901</v>
      </c>
      <c r="E29" s="253" t="s">
        <v>115</v>
      </c>
      <c r="F29" s="254" t="s">
        <v>23</v>
      </c>
      <c r="G29" s="254" t="s">
        <v>24</v>
      </c>
      <c r="H29" s="254" t="s">
        <v>25</v>
      </c>
      <c r="I29" s="254" t="s">
        <v>26</v>
      </c>
      <c r="J29" s="255" t="s">
        <v>27</v>
      </c>
      <c r="K29" s="256"/>
      <c r="L29" s="260"/>
      <c r="M29" s="260">
        <v>5.8879999999999999</v>
      </c>
      <c r="N29" s="251">
        <v>12</v>
      </c>
      <c r="O29" s="251">
        <v>11</v>
      </c>
      <c r="P29" s="256" t="str">
        <f t="shared" si="3"/>
        <v>-1(-8%)</v>
      </c>
      <c r="Q29" s="258"/>
      <c r="R29" s="253"/>
      <c r="S29" s="259"/>
    </row>
    <row r="30" spans="1:19" ht="25" customHeight="1">
      <c r="A30" s="251">
        <v>28</v>
      </c>
      <c r="B30" s="276"/>
      <c r="C30" s="276"/>
      <c r="D30" s="251">
        <v>22220905</v>
      </c>
      <c r="E30" s="258" t="s">
        <v>116</v>
      </c>
      <c r="F30" s="254" t="s">
        <v>70</v>
      </c>
      <c r="G30" s="254" t="s">
        <v>24</v>
      </c>
      <c r="H30" s="254" t="s">
        <v>25</v>
      </c>
      <c r="I30" s="254" t="s">
        <v>26</v>
      </c>
      <c r="J30" s="255" t="s">
        <v>27</v>
      </c>
      <c r="K30" s="256"/>
      <c r="L30" s="260"/>
      <c r="M30" s="260">
        <v>1.8959999999999999</v>
      </c>
      <c r="N30" s="251">
        <v>0</v>
      </c>
      <c r="O30" s="251">
        <v>3.25</v>
      </c>
      <c r="P30" s="256" t="e">
        <f>O30-N30&amp;"("&amp;ROUND(((O30-N30)/N30*100),0)&amp;"%)"</f>
        <v>#DIV/0!</v>
      </c>
      <c r="Q30" s="258"/>
      <c r="R30" s="253"/>
      <c r="S30" s="259"/>
    </row>
    <row r="31" spans="1:19" ht="41" customHeight="1">
      <c r="A31" s="251"/>
      <c r="B31" s="276"/>
      <c r="C31" s="273"/>
      <c r="D31" s="273"/>
      <c r="E31" s="273"/>
      <c r="F31" s="273"/>
      <c r="G31" s="273"/>
      <c r="H31" s="273"/>
      <c r="I31" s="273"/>
      <c r="J31" s="274"/>
      <c r="K31" s="274"/>
      <c r="L31" s="257" t="s">
        <v>99</v>
      </c>
      <c r="M31" s="257"/>
      <c r="N31" s="251">
        <f>SUM(N25:N30)</f>
        <v>43.5</v>
      </c>
      <c r="O31" s="251">
        <f>SUM(O25:O30)</f>
        <v>43.25</v>
      </c>
      <c r="P31" s="251"/>
      <c r="Q31" s="252" t="s">
        <v>100</v>
      </c>
      <c r="R31" s="255">
        <f>O31/10/5</f>
        <v>0.86499999999999999</v>
      </c>
      <c r="S31" s="261"/>
    </row>
    <row r="32" spans="1:19" ht="23" customHeight="1">
      <c r="A32" s="223">
        <v>29</v>
      </c>
      <c r="B32" s="275" t="s">
        <v>117</v>
      </c>
      <c r="C32" s="275" t="s">
        <v>103</v>
      </c>
      <c r="D32" s="223" t="s">
        <v>118</v>
      </c>
      <c r="E32" s="225" t="s">
        <v>119</v>
      </c>
      <c r="F32" s="226" t="s">
        <v>120</v>
      </c>
      <c r="G32" s="224" t="s">
        <v>29</v>
      </c>
      <c r="H32" s="226" t="s">
        <v>53</v>
      </c>
      <c r="I32" s="226" t="s">
        <v>76</v>
      </c>
      <c r="J32" s="227">
        <v>0.95</v>
      </c>
      <c r="K32" s="229" t="s">
        <v>121</v>
      </c>
      <c r="L32" s="228">
        <v>100</v>
      </c>
      <c r="M32" s="262">
        <v>101.1</v>
      </c>
      <c r="N32" s="223">
        <v>12.5</v>
      </c>
      <c r="O32" s="223">
        <v>8.1999999999999993</v>
      </c>
      <c r="P32" s="229" t="str">
        <f>ROUND(O32-N32,2)&amp;"("&amp;ROUND(((O32-N32)/N32)*100,0)&amp;"%)"</f>
        <v>-4.3(-34%)</v>
      </c>
      <c r="Q32" s="230"/>
      <c r="R32" s="225"/>
      <c r="S32" s="231" t="s">
        <v>122</v>
      </c>
    </row>
    <row r="33" spans="1:19" ht="23" customHeight="1">
      <c r="A33" s="223">
        <v>30</v>
      </c>
      <c r="B33" s="275"/>
      <c r="C33" s="275"/>
      <c r="D33" s="223">
        <v>21250418</v>
      </c>
      <c r="E33" s="225" t="s">
        <v>123</v>
      </c>
      <c r="F33" s="226" t="s">
        <v>124</v>
      </c>
      <c r="G33" s="226" t="s">
        <v>29</v>
      </c>
      <c r="H33" s="226" t="s">
        <v>25</v>
      </c>
      <c r="I33" s="226" t="s">
        <v>26</v>
      </c>
      <c r="J33" s="227" t="s">
        <v>27</v>
      </c>
      <c r="K33" s="223" t="s">
        <v>125</v>
      </c>
      <c r="L33" s="228"/>
      <c r="M33" s="228">
        <v>58.93</v>
      </c>
      <c r="N33" s="223">
        <v>5.5</v>
      </c>
      <c r="O33" s="223">
        <v>7.8</v>
      </c>
      <c r="P33" s="229" t="str">
        <f>ROUND(O33-N33,2)&amp;"("&amp;ROUND(((O33-N33)/N33)*100,0)&amp;"%)"</f>
        <v>2.3(42%)</v>
      </c>
      <c r="Q33" s="230"/>
      <c r="R33" s="225"/>
      <c r="S33" s="232"/>
    </row>
    <row r="34" spans="1:19" ht="23" customHeight="1">
      <c r="A34" s="223">
        <v>31</v>
      </c>
      <c r="B34" s="275"/>
      <c r="C34" s="275"/>
      <c r="D34" s="223" t="s">
        <v>126</v>
      </c>
      <c r="E34" s="225" t="s">
        <v>127</v>
      </c>
      <c r="F34" s="226" t="s">
        <v>124</v>
      </c>
      <c r="G34" s="224" t="s">
        <v>29</v>
      </c>
      <c r="H34" s="226" t="s">
        <v>53</v>
      </c>
      <c r="I34" s="226" t="s">
        <v>26</v>
      </c>
      <c r="J34" s="227">
        <v>0.98</v>
      </c>
      <c r="K34" s="229" t="s">
        <v>121</v>
      </c>
      <c r="L34" s="228">
        <v>28.6</v>
      </c>
      <c r="M34" s="262">
        <v>31.94</v>
      </c>
      <c r="N34" s="223">
        <v>6.5</v>
      </c>
      <c r="O34" s="223">
        <v>3.7</v>
      </c>
      <c r="P34" s="229" t="str">
        <f>ROUND(O34-N34,2)&amp;"("&amp;ROUND(((O34-N34)/N34)*100,0)&amp;"%)"</f>
        <v>-2.8(-43%)</v>
      </c>
      <c r="Q34" s="230"/>
      <c r="R34" s="225"/>
      <c r="S34" s="232" t="s">
        <v>128</v>
      </c>
    </row>
    <row r="35" spans="1:19" ht="23" customHeight="1">
      <c r="A35" s="223">
        <v>32</v>
      </c>
      <c r="B35" s="275"/>
      <c r="C35" s="275"/>
      <c r="D35" s="223" t="s">
        <v>129</v>
      </c>
      <c r="E35" s="225" t="s">
        <v>130</v>
      </c>
      <c r="F35" s="226" t="s">
        <v>124</v>
      </c>
      <c r="G35" s="224" t="s">
        <v>29</v>
      </c>
      <c r="H35" s="226" t="s">
        <v>30</v>
      </c>
      <c r="I35" s="226" t="s">
        <v>26</v>
      </c>
      <c r="J35" s="227">
        <v>0.99</v>
      </c>
      <c r="K35" s="229"/>
      <c r="L35" s="228">
        <v>40</v>
      </c>
      <c r="M35" s="262">
        <v>64.09</v>
      </c>
      <c r="N35" s="223">
        <v>7.5</v>
      </c>
      <c r="O35" s="223">
        <v>7</v>
      </c>
      <c r="P35" s="229" t="str">
        <f>ROUND(O35-N35,2)&amp;"("&amp;ROUND(((O35-N35)/N35)*100,0)&amp;"%)"</f>
        <v>-0.5(-7%)</v>
      </c>
      <c r="Q35" s="230"/>
      <c r="R35" s="225"/>
      <c r="S35" s="232" t="s">
        <v>131</v>
      </c>
    </row>
    <row r="36" spans="1:19" ht="23" customHeight="1">
      <c r="A36" s="223">
        <v>33</v>
      </c>
      <c r="B36" s="275"/>
      <c r="C36" s="275"/>
      <c r="D36" s="223" t="s">
        <v>132</v>
      </c>
      <c r="E36" s="225" t="s">
        <v>133</v>
      </c>
      <c r="F36" s="226" t="s">
        <v>124</v>
      </c>
      <c r="G36" s="226" t="s">
        <v>29</v>
      </c>
      <c r="H36" s="226" t="s">
        <v>25</v>
      </c>
      <c r="I36" s="226" t="s">
        <v>26</v>
      </c>
      <c r="J36" s="227" t="s">
        <v>27</v>
      </c>
      <c r="K36" s="223" t="s">
        <v>125</v>
      </c>
      <c r="L36" s="263"/>
      <c r="M36" s="228">
        <v>17.05</v>
      </c>
      <c r="N36" s="223">
        <v>1</v>
      </c>
      <c r="O36" s="223">
        <v>1.7</v>
      </c>
      <c r="P36" s="229" t="str">
        <f>ROUND(O36-N36,2)&amp;"("&amp;ROUND(((O36-N36)/N36)*100,0)&amp;"%)"</f>
        <v>0.7(70%)</v>
      </c>
      <c r="Q36" s="225"/>
      <c r="R36" s="225"/>
      <c r="S36" s="232"/>
    </row>
    <row r="37" spans="1:19" ht="23" customHeight="1">
      <c r="A37" s="223">
        <v>34</v>
      </c>
      <c r="B37" s="275"/>
      <c r="C37" s="275"/>
      <c r="D37" s="223" t="s">
        <v>134</v>
      </c>
      <c r="E37" s="225" t="s">
        <v>135</v>
      </c>
      <c r="F37" s="226" t="s">
        <v>124</v>
      </c>
      <c r="G37" s="226" t="s">
        <v>29</v>
      </c>
      <c r="H37" s="226" t="s">
        <v>25</v>
      </c>
      <c r="I37" s="226" t="s">
        <v>26</v>
      </c>
      <c r="J37" s="227" t="s">
        <v>27</v>
      </c>
      <c r="K37" s="229" t="s">
        <v>83</v>
      </c>
      <c r="L37" s="233"/>
      <c r="M37" s="233">
        <v>7.42</v>
      </c>
      <c r="N37" s="223"/>
      <c r="O37" s="223"/>
      <c r="P37" s="229"/>
      <c r="Q37" s="230"/>
      <c r="R37" s="225"/>
      <c r="S37" s="232"/>
    </row>
    <row r="38" spans="1:19" ht="23" customHeight="1">
      <c r="A38" s="223">
        <v>35</v>
      </c>
      <c r="B38" s="275"/>
      <c r="C38" s="275"/>
      <c r="D38" s="223">
        <v>21250417</v>
      </c>
      <c r="E38" s="225" t="s">
        <v>136</v>
      </c>
      <c r="F38" s="226" t="s">
        <v>137</v>
      </c>
      <c r="G38" s="226" t="s">
        <v>29</v>
      </c>
      <c r="H38" s="226" t="s">
        <v>25</v>
      </c>
      <c r="I38" s="226" t="s">
        <v>26</v>
      </c>
      <c r="J38" s="227" t="s">
        <v>27</v>
      </c>
      <c r="K38" s="223" t="s">
        <v>83</v>
      </c>
      <c r="L38" s="263"/>
      <c r="M38" s="228">
        <v>18.25</v>
      </c>
      <c r="N38" s="223"/>
      <c r="O38" s="223"/>
      <c r="P38" s="229"/>
      <c r="Q38" s="225"/>
      <c r="R38" s="225"/>
      <c r="S38" s="232"/>
    </row>
    <row r="39" spans="1:19" ht="23" customHeight="1">
      <c r="A39" s="223">
        <v>36</v>
      </c>
      <c r="B39" s="275"/>
      <c r="C39" s="275"/>
      <c r="D39" s="223"/>
      <c r="E39" s="225" t="s">
        <v>138</v>
      </c>
      <c r="F39" s="226"/>
      <c r="G39" s="224" t="s">
        <v>34</v>
      </c>
      <c r="H39" s="226" t="s">
        <v>139</v>
      </c>
      <c r="I39" s="226"/>
      <c r="J39" s="227"/>
      <c r="K39" s="229"/>
      <c r="L39" s="233"/>
      <c r="M39" s="233">
        <v>0.46</v>
      </c>
      <c r="N39" s="223"/>
      <c r="O39" s="223"/>
      <c r="P39" s="229"/>
      <c r="Q39" s="230"/>
      <c r="R39" s="225"/>
      <c r="S39" s="232" t="s">
        <v>140</v>
      </c>
    </row>
    <row r="40" spans="1:19" ht="23" customHeight="1">
      <c r="A40" s="223">
        <v>37</v>
      </c>
      <c r="B40" s="275"/>
      <c r="C40" s="275"/>
      <c r="D40" s="223"/>
      <c r="E40" s="225" t="s">
        <v>141</v>
      </c>
      <c r="F40" s="226"/>
      <c r="G40" s="226" t="s">
        <v>142</v>
      </c>
      <c r="H40" s="226" t="s">
        <v>143</v>
      </c>
      <c r="I40" s="226"/>
      <c r="J40" s="227"/>
      <c r="K40" s="229"/>
      <c r="L40" s="233"/>
      <c r="M40" s="233">
        <v>0.72</v>
      </c>
      <c r="N40" s="223"/>
      <c r="O40" s="223"/>
      <c r="P40" s="229"/>
      <c r="Q40" s="230"/>
      <c r="R40" s="225"/>
      <c r="S40" s="232"/>
    </row>
    <row r="41" spans="1:19" ht="23" customHeight="1">
      <c r="A41" s="223">
        <v>38</v>
      </c>
      <c r="B41" s="275"/>
      <c r="C41" s="272" t="s">
        <v>92</v>
      </c>
      <c r="D41" s="272"/>
      <c r="E41" s="225" t="s">
        <v>144</v>
      </c>
      <c r="F41" s="226" t="s">
        <v>145</v>
      </c>
      <c r="G41" s="226" t="s">
        <v>29</v>
      </c>
      <c r="H41" s="226"/>
      <c r="I41" s="226"/>
      <c r="J41" s="227"/>
      <c r="K41" s="229"/>
      <c r="L41" s="228"/>
      <c r="M41" s="228">
        <v>3.2440000000000002</v>
      </c>
      <c r="N41" s="223">
        <v>0</v>
      </c>
      <c r="O41" s="223"/>
      <c r="P41" s="229" t="e">
        <f>ROUND(O41-N41,2)&amp;"("&amp;ROUND(((O41-N41)/N41)*100,0)&amp;"%)"</f>
        <v>#DIV/0!</v>
      </c>
      <c r="Q41" s="230"/>
      <c r="R41" s="225"/>
      <c r="S41" s="232"/>
    </row>
    <row r="42" spans="1:19" ht="47" customHeight="1">
      <c r="A42" s="223"/>
      <c r="B42" s="275"/>
      <c r="C42" s="271"/>
      <c r="D42" s="271"/>
      <c r="E42" s="271"/>
      <c r="F42" s="271"/>
      <c r="G42" s="271"/>
      <c r="H42" s="271"/>
      <c r="I42" s="271"/>
      <c r="J42" s="272"/>
      <c r="K42" s="272"/>
      <c r="L42" s="228" t="s">
        <v>99</v>
      </c>
      <c r="M42" s="228"/>
      <c r="N42" s="223">
        <f>SUM(N32:N41)</f>
        <v>33</v>
      </c>
      <c r="O42" s="223">
        <f>SUM(O32:O41)</f>
        <v>28.4</v>
      </c>
      <c r="P42" s="223"/>
      <c r="Q42" s="224" t="s">
        <v>100</v>
      </c>
      <c r="R42" s="227">
        <f>O42/7/5</f>
        <v>0.81142857142857105</v>
      </c>
      <c r="S42" s="232"/>
    </row>
    <row r="43" spans="1:19" ht="28" customHeight="1">
      <c r="A43" s="251">
        <v>39</v>
      </c>
      <c r="B43" s="276" t="s">
        <v>146</v>
      </c>
      <c r="C43" s="254" t="s">
        <v>103</v>
      </c>
      <c r="D43" s="251">
        <v>22210906</v>
      </c>
      <c r="E43" s="253" t="s">
        <v>147</v>
      </c>
      <c r="F43" s="254" t="s">
        <v>59</v>
      </c>
      <c r="G43" s="254" t="s">
        <v>24</v>
      </c>
      <c r="H43" s="254" t="s">
        <v>53</v>
      </c>
      <c r="I43" s="254" t="s">
        <v>26</v>
      </c>
      <c r="J43" s="255" t="s">
        <v>24</v>
      </c>
      <c r="K43" s="251"/>
      <c r="L43" s="257"/>
      <c r="M43" s="257">
        <v>49.488</v>
      </c>
      <c r="N43" s="251">
        <v>40.5</v>
      </c>
      <c r="O43" s="251">
        <v>39</v>
      </c>
      <c r="P43" s="264" t="str">
        <f>O43-N43&amp;"("&amp;ROUND(((O43-N43)/N43*100),0)&amp;"%)"</f>
        <v>-1.5(-4%)</v>
      </c>
      <c r="Q43" s="258"/>
      <c r="R43" s="253"/>
      <c r="S43" s="261"/>
    </row>
    <row r="44" spans="1:19" ht="28" customHeight="1">
      <c r="A44" s="251">
        <v>40</v>
      </c>
      <c r="B44" s="276"/>
      <c r="C44" s="254"/>
      <c r="D44" s="251">
        <v>121018</v>
      </c>
      <c r="E44" s="253" t="s">
        <v>148</v>
      </c>
      <c r="F44" s="254" t="s">
        <v>149</v>
      </c>
      <c r="G44" s="254" t="s">
        <v>150</v>
      </c>
      <c r="H44" s="254" t="s">
        <v>139</v>
      </c>
      <c r="I44" s="254" t="s">
        <v>26</v>
      </c>
      <c r="J44" s="255" t="s">
        <v>27</v>
      </c>
      <c r="K44" s="256"/>
      <c r="L44" s="257"/>
      <c r="M44" s="257">
        <v>107.59</v>
      </c>
      <c r="N44" s="251">
        <v>20.5</v>
      </c>
      <c r="O44" s="251">
        <v>21.2</v>
      </c>
      <c r="P44" s="256" t="str">
        <f>ROUND(O44-N44,2)&amp;"("&amp;ROUND(((O44-N44)/N44*100),0)&amp;"%)"</f>
        <v>0.7(3%)</v>
      </c>
      <c r="Q44" s="258"/>
      <c r="R44" s="253"/>
      <c r="S44" s="261"/>
    </row>
    <row r="45" spans="1:19" ht="40" customHeight="1">
      <c r="A45" s="254"/>
      <c r="B45" s="273"/>
      <c r="C45" s="273"/>
      <c r="D45" s="273"/>
      <c r="E45" s="273"/>
      <c r="F45" s="273"/>
      <c r="G45" s="273"/>
      <c r="H45" s="273"/>
      <c r="I45" s="273"/>
      <c r="J45" s="274"/>
      <c r="K45" s="274"/>
      <c r="L45" s="257" t="s">
        <v>99</v>
      </c>
      <c r="M45" s="257"/>
      <c r="N45" s="251">
        <f>SUM(N43:N43)</f>
        <v>40.5</v>
      </c>
      <c r="O45" s="251">
        <f>SUM(O43:O44)</f>
        <v>60.2</v>
      </c>
      <c r="P45" s="251"/>
      <c r="Q45" s="252" t="s">
        <v>100</v>
      </c>
      <c r="R45" s="255">
        <f>O45/22/5</f>
        <v>0.54727272727272702</v>
      </c>
      <c r="S45" s="261"/>
    </row>
    <row r="46" spans="1:19" ht="43.25" customHeight="1">
      <c r="A46" s="265"/>
      <c r="B46" s="266"/>
      <c r="C46" s="266"/>
      <c r="D46" s="265"/>
      <c r="E46" s="267"/>
      <c r="F46" s="266"/>
    </row>
    <row r="47" spans="1:19" ht="43.25" customHeight="1">
      <c r="A47" s="265"/>
      <c r="B47" s="266"/>
      <c r="C47" s="266"/>
      <c r="D47" s="265"/>
      <c r="E47" s="267"/>
      <c r="F47" s="266"/>
    </row>
    <row r="48" spans="1:19" ht="17">
      <c r="A48" s="268"/>
      <c r="B48" s="267"/>
      <c r="C48" s="267"/>
      <c r="D48" s="268"/>
      <c r="E48" s="267"/>
      <c r="F48" s="267"/>
    </row>
    <row r="49" spans="1:6" ht="15.5" customHeight="1">
      <c r="A49" s="268"/>
      <c r="B49" s="267"/>
      <c r="C49" s="267"/>
      <c r="D49" s="268"/>
      <c r="E49" s="267"/>
      <c r="F49" s="267"/>
    </row>
    <row r="50" spans="1:6" ht="17">
      <c r="A50" s="268"/>
      <c r="B50" s="267"/>
      <c r="C50" s="267"/>
      <c r="D50" s="268"/>
      <c r="E50" s="267"/>
      <c r="F50" s="267"/>
    </row>
    <row r="51" spans="1:6" ht="17">
      <c r="A51" s="268"/>
      <c r="B51" s="267"/>
      <c r="C51" s="267"/>
      <c r="D51" s="268"/>
      <c r="E51" s="267"/>
      <c r="F51" s="267"/>
    </row>
    <row r="52" spans="1:6" ht="17">
      <c r="A52" s="268"/>
      <c r="B52" s="267"/>
      <c r="C52" s="267"/>
      <c r="D52" s="268"/>
      <c r="E52" s="267"/>
      <c r="F52" s="267"/>
    </row>
    <row r="53" spans="1:6" ht="17">
      <c r="A53" s="268"/>
      <c r="B53" s="267"/>
      <c r="C53" s="267"/>
      <c r="D53" s="268"/>
      <c r="E53" s="267"/>
      <c r="F53" s="267"/>
    </row>
    <row r="54" spans="1:6">
      <c r="A54" s="41"/>
      <c r="B54" s="269"/>
      <c r="C54" s="269"/>
      <c r="D54" s="41"/>
      <c r="E54" s="269"/>
      <c r="F54" s="269"/>
    </row>
    <row r="55" spans="1:6">
      <c r="A55" s="41"/>
      <c r="B55" s="269"/>
      <c r="C55" s="269"/>
      <c r="D55" s="41"/>
      <c r="E55" s="269"/>
      <c r="F55" s="269"/>
    </row>
  </sheetData>
  <mergeCells count="32">
    <mergeCell ref="B32:B42"/>
    <mergeCell ref="B43:B45"/>
    <mergeCell ref="C3:C6"/>
    <mergeCell ref="C7:C10"/>
    <mergeCell ref="C11:C12"/>
    <mergeCell ref="C13:C16"/>
    <mergeCell ref="C17:C18"/>
    <mergeCell ref="C19:C23"/>
    <mergeCell ref="C25:C30"/>
    <mergeCell ref="C32:C40"/>
    <mergeCell ref="C41:D41"/>
    <mergeCell ref="C42:G42"/>
    <mergeCell ref="H42:I42"/>
    <mergeCell ref="J42:K42"/>
    <mergeCell ref="C45:G45"/>
    <mergeCell ref="H45:I45"/>
    <mergeCell ref="J45:K45"/>
    <mergeCell ref="A1:T1"/>
    <mergeCell ref="C24:G24"/>
    <mergeCell ref="H24:I24"/>
    <mergeCell ref="J24:K24"/>
    <mergeCell ref="C31:G31"/>
    <mergeCell ref="H31:I31"/>
    <mergeCell ref="J31:K31"/>
    <mergeCell ref="B3:B24"/>
    <mergeCell ref="B25:B31"/>
    <mergeCell ref="D19:D23"/>
    <mergeCell ref="K5:K6"/>
    <mergeCell ref="K13:K14"/>
    <mergeCell ref="L5:L6"/>
    <mergeCell ref="M5:M6"/>
    <mergeCell ref="M13:M14"/>
  </mergeCells>
  <phoneticPr fontId="34" type="noConversion"/>
  <dataValidations count="7">
    <dataValidation type="list" allowBlank="1" showInputMessage="1" showErrorMessage="1" sqref="H8 H12 H43:H44" xr:uid="{00000000-0002-0000-0000-000000000000}">
      <formula1>"售前,立项,需求,开发,发布,实施,验收"</formula1>
    </dataValidation>
    <dataValidation type="list" allowBlank="1" showInputMessage="1" showErrorMessage="1" sqref="H9 H11 H32 H18:H23 H34:H35 H38:H39" xr:uid="{00000000-0002-0000-0000-000001000000}">
      <formula1>"售前,立项,需求,开发,发布,实施,验收,上线运行,维护"</formula1>
    </dataValidation>
    <dataValidation type="list" allowBlank="1" showInputMessage="1" showErrorMessage="1" sqref="H10 H33 H3:H7 H13:H17 H26:H30 H36:H37" xr:uid="{00000000-0002-0000-0000-000002000000}">
      <formula1>"售前,立项,需求,开发,发布,实施,验收,上线运行"</formula1>
    </dataValidation>
    <dataValidation type="list" allowBlank="1" showInputMessage="1" showErrorMessage="1" sqref="H25 H41" xr:uid="{00000000-0002-0000-0000-000003000000}">
      <formula1>"售前,立项,需求,设计,开发,发布,实施,验收"</formula1>
    </dataValidation>
    <dataValidation type="list" allowBlank="1" showInputMessage="1" showErrorMessage="1" sqref="I36" xr:uid="{00000000-0002-0000-0000-000004000000}">
      <formula1>"长期项目,正常,提前,延迟,严重延迟,暂停"</formula1>
    </dataValidation>
    <dataValidation type="list" allowBlank="1" showInputMessage="1" showErrorMessage="1" sqref="H40" xr:uid="{00000000-0002-0000-0000-000005000000}">
      <formula1>"售前,立项,需求,设计,开发,发布,实施,验收,挂起,暂停"</formula1>
    </dataValidation>
    <dataValidation type="list" allowBlank="1" showInputMessage="1" showErrorMessage="1" sqref="I3:I23 I25:I30 I32:I35 I37:I41 I43:I44" xr:uid="{00000000-0002-0000-0000-000006000000}">
      <formula1>"长期项目,正常,提前,延迟,严重延迟"</formula1>
    </dataValidation>
  </dataValidation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Z35"/>
  <sheetViews>
    <sheetView workbookViewId="0">
      <pane ySplit="1" topLeftCell="A28" activePane="bottomLeft" state="frozen"/>
      <selection pane="bottomLeft" activeCell="H31" sqref="H31:H32"/>
    </sheetView>
  </sheetViews>
  <sheetFormatPr baseColWidth="10" defaultColWidth="9.1640625" defaultRowHeight="13"/>
  <cols>
    <col min="1" max="1" width="22.5" style="137" customWidth="1"/>
    <col min="2" max="2" width="11.6640625" style="137" customWidth="1"/>
    <col min="3" max="5" width="9.1640625" style="137"/>
    <col min="6" max="6" width="19.5" style="137" customWidth="1"/>
    <col min="7" max="7" width="9.1640625" style="137"/>
    <col min="8" max="8" width="74.5" style="137" customWidth="1"/>
    <col min="9" max="11" width="9.1640625" style="137"/>
    <col min="12" max="12" width="30.5" style="138" customWidth="1"/>
    <col min="13" max="16384" width="9.1640625" style="137"/>
  </cols>
  <sheetData>
    <row r="1" spans="1:26" ht="57">
      <c r="A1" s="139" t="s">
        <v>151</v>
      </c>
      <c r="B1" s="140" t="s">
        <v>6</v>
      </c>
      <c r="C1" s="139" t="s">
        <v>152</v>
      </c>
      <c r="D1" s="139" t="s">
        <v>153</v>
      </c>
      <c r="E1" s="140" t="s">
        <v>154</v>
      </c>
      <c r="F1" s="139" t="s">
        <v>155</v>
      </c>
      <c r="G1" s="139" t="s">
        <v>1</v>
      </c>
      <c r="H1" s="141" t="s">
        <v>156</v>
      </c>
      <c r="I1" s="139" t="s">
        <v>157</v>
      </c>
      <c r="J1" s="142" t="s">
        <v>158</v>
      </c>
      <c r="K1" s="139" t="s">
        <v>159</v>
      </c>
      <c r="L1" s="143" t="s">
        <v>160</v>
      </c>
      <c r="M1" s="144"/>
      <c r="N1" s="144"/>
      <c r="O1" s="144"/>
      <c r="P1" s="144"/>
      <c r="Q1" s="144"/>
      <c r="R1" s="144"/>
      <c r="S1" s="144"/>
      <c r="T1" s="144"/>
      <c r="U1" s="144"/>
      <c r="V1" s="144"/>
      <c r="W1" s="144"/>
      <c r="X1" s="144"/>
      <c r="Y1" s="144"/>
      <c r="Z1" s="144"/>
    </row>
    <row r="2" spans="1:26" ht="115.75" customHeight="1">
      <c r="A2" s="285" t="s">
        <v>161</v>
      </c>
      <c r="B2" s="289" t="s">
        <v>23</v>
      </c>
      <c r="C2" s="293" t="s">
        <v>24</v>
      </c>
      <c r="D2" s="294"/>
      <c r="E2" s="301"/>
      <c r="F2" s="294"/>
      <c r="G2" s="306">
        <v>1</v>
      </c>
      <c r="H2" s="310" t="s">
        <v>162</v>
      </c>
      <c r="I2" s="148" t="s">
        <v>23</v>
      </c>
      <c r="J2" s="149">
        <v>1</v>
      </c>
      <c r="K2" s="146"/>
      <c r="L2" s="158">
        <v>1.5</v>
      </c>
    </row>
    <row r="3" spans="1:26" ht="115.75" customHeight="1">
      <c r="A3" s="285"/>
      <c r="B3" s="289"/>
      <c r="C3" s="294"/>
      <c r="D3" s="294"/>
      <c r="E3" s="301"/>
      <c r="F3" s="294"/>
      <c r="G3" s="309"/>
      <c r="H3" s="311"/>
      <c r="I3" s="148" t="s">
        <v>163</v>
      </c>
      <c r="J3" s="149">
        <v>1</v>
      </c>
      <c r="K3" s="146"/>
      <c r="L3" s="158">
        <v>0.5</v>
      </c>
    </row>
    <row r="4" spans="1:26" ht="17">
      <c r="A4" s="285"/>
      <c r="B4" s="289"/>
      <c r="C4" s="294"/>
      <c r="D4" s="294"/>
      <c r="E4" s="301"/>
      <c r="F4" s="294"/>
      <c r="G4" s="146">
        <v>2</v>
      </c>
      <c r="H4" s="191" t="s">
        <v>164</v>
      </c>
      <c r="I4" s="148" t="s">
        <v>23</v>
      </c>
      <c r="J4" s="149">
        <v>1</v>
      </c>
      <c r="K4" s="146"/>
      <c r="L4" s="158">
        <v>0.5</v>
      </c>
    </row>
    <row r="5" spans="1:26" ht="63" customHeight="1">
      <c r="A5" s="285"/>
      <c r="B5" s="289"/>
      <c r="C5" s="294"/>
      <c r="D5" s="294"/>
      <c r="E5" s="301"/>
      <c r="F5" s="294"/>
      <c r="G5" s="146">
        <v>3</v>
      </c>
      <c r="H5" s="192" t="s">
        <v>165</v>
      </c>
      <c r="I5" s="148" t="s">
        <v>166</v>
      </c>
      <c r="J5" s="149">
        <v>1</v>
      </c>
      <c r="K5" s="146"/>
      <c r="L5" s="158">
        <v>5</v>
      </c>
    </row>
    <row r="6" spans="1:26" ht="17">
      <c r="A6" s="285"/>
      <c r="B6" s="289"/>
      <c r="C6" s="294"/>
      <c r="D6" s="294"/>
      <c r="E6" s="301"/>
      <c r="F6" s="294"/>
      <c r="G6" s="146">
        <v>4</v>
      </c>
      <c r="H6" s="147" t="s">
        <v>167</v>
      </c>
      <c r="I6" s="146" t="s">
        <v>168</v>
      </c>
      <c r="J6" s="149">
        <v>1</v>
      </c>
      <c r="K6" s="146"/>
      <c r="L6" s="158">
        <v>1</v>
      </c>
    </row>
    <row r="7" spans="1:26" ht="17">
      <c r="A7" s="285"/>
      <c r="B7" s="289"/>
      <c r="C7" s="294"/>
      <c r="D7" s="294"/>
      <c r="E7" s="301"/>
      <c r="F7" s="294"/>
      <c r="G7" s="146">
        <v>5</v>
      </c>
      <c r="H7" s="193" t="s">
        <v>169</v>
      </c>
      <c r="I7" s="146" t="s">
        <v>168</v>
      </c>
      <c r="J7" s="149">
        <v>1</v>
      </c>
      <c r="K7" s="146"/>
      <c r="L7" s="158">
        <v>2</v>
      </c>
    </row>
    <row r="8" spans="1:26" ht="16">
      <c r="A8" s="285"/>
      <c r="B8" s="289"/>
      <c r="C8" s="294"/>
      <c r="D8" s="294"/>
      <c r="E8" s="283" t="s">
        <v>170</v>
      </c>
      <c r="F8" s="283"/>
      <c r="G8" s="283"/>
      <c r="H8" s="283"/>
      <c r="I8" s="152"/>
      <c r="J8" s="153"/>
      <c r="K8" s="154"/>
      <c r="L8" s="155">
        <f>SUM(L2:L7)</f>
        <v>10.5</v>
      </c>
    </row>
    <row r="9" spans="1:26" ht="17">
      <c r="A9" s="285"/>
      <c r="B9" s="289"/>
      <c r="C9" s="294"/>
      <c r="D9" s="294"/>
      <c r="E9" s="301" t="s">
        <v>171</v>
      </c>
      <c r="F9" s="301" t="s">
        <v>53</v>
      </c>
      <c r="G9" s="150">
        <v>1</v>
      </c>
      <c r="H9" s="194"/>
      <c r="I9" s="146"/>
      <c r="J9" s="156"/>
      <c r="K9" s="150"/>
      <c r="L9" s="157"/>
    </row>
    <row r="10" spans="1:26" ht="17">
      <c r="A10" s="285"/>
      <c r="B10" s="289"/>
      <c r="C10" s="294"/>
      <c r="D10" s="294"/>
      <c r="E10" s="301"/>
      <c r="F10" s="301"/>
      <c r="G10" s="150">
        <v>2</v>
      </c>
      <c r="H10" s="194"/>
      <c r="I10" s="150"/>
      <c r="J10" s="156"/>
      <c r="K10" s="150"/>
      <c r="L10" s="157"/>
    </row>
    <row r="11" spans="1:26" ht="53.5" customHeight="1">
      <c r="A11" s="285" t="s">
        <v>172</v>
      </c>
      <c r="B11" s="289" t="s">
        <v>23</v>
      </c>
      <c r="C11" s="293">
        <v>0.94</v>
      </c>
      <c r="D11" s="294"/>
      <c r="E11" s="301" t="s">
        <v>173</v>
      </c>
      <c r="F11" s="306" t="s">
        <v>174</v>
      </c>
      <c r="G11" s="146">
        <v>1</v>
      </c>
      <c r="H11" s="195" t="s">
        <v>175</v>
      </c>
      <c r="I11" s="148" t="s">
        <v>23</v>
      </c>
      <c r="J11" s="149">
        <v>1</v>
      </c>
      <c r="K11" s="150"/>
      <c r="L11" s="158">
        <v>3</v>
      </c>
    </row>
    <row r="12" spans="1:26" ht="119">
      <c r="A12" s="285"/>
      <c r="B12" s="289"/>
      <c r="C12" s="293"/>
      <c r="D12" s="294"/>
      <c r="E12" s="301"/>
      <c r="F12" s="307"/>
      <c r="G12" s="146">
        <v>2</v>
      </c>
      <c r="H12" s="195" t="s">
        <v>176</v>
      </c>
      <c r="I12" s="148" t="s">
        <v>163</v>
      </c>
      <c r="J12" s="149">
        <v>1</v>
      </c>
      <c r="K12" s="150"/>
      <c r="L12" s="158">
        <v>4.5</v>
      </c>
    </row>
    <row r="13" spans="1:26" ht="17">
      <c r="A13" s="285"/>
      <c r="B13" s="289"/>
      <c r="C13" s="294"/>
      <c r="D13" s="294"/>
      <c r="E13" s="301"/>
      <c r="F13" s="148" t="s">
        <v>177</v>
      </c>
      <c r="G13" s="196">
        <v>1</v>
      </c>
      <c r="H13" s="191" t="s">
        <v>178</v>
      </c>
      <c r="I13" s="148" t="s">
        <v>168</v>
      </c>
      <c r="J13" s="197">
        <v>1</v>
      </c>
      <c r="K13" s="198"/>
      <c r="L13" s="199">
        <v>2</v>
      </c>
    </row>
    <row r="14" spans="1:26" ht="16">
      <c r="A14" s="285"/>
      <c r="B14" s="289"/>
      <c r="C14" s="294"/>
      <c r="D14" s="294"/>
      <c r="E14" s="283" t="s">
        <v>170</v>
      </c>
      <c r="F14" s="283"/>
      <c r="G14" s="283"/>
      <c r="H14" s="283"/>
      <c r="I14" s="152"/>
      <c r="J14" s="153"/>
      <c r="K14" s="154"/>
      <c r="L14" s="155">
        <f>SUM(L11:L13)</f>
        <v>9.5</v>
      </c>
    </row>
    <row r="15" spans="1:26" ht="17">
      <c r="A15" s="285"/>
      <c r="B15" s="289"/>
      <c r="C15" s="294"/>
      <c r="D15" s="294"/>
      <c r="E15" s="301" t="s">
        <v>171</v>
      </c>
      <c r="F15" s="301" t="s">
        <v>53</v>
      </c>
      <c r="G15" s="150">
        <v>1</v>
      </c>
      <c r="H15" s="194"/>
      <c r="I15" s="146"/>
      <c r="J15" s="156"/>
      <c r="K15" s="150"/>
      <c r="L15" s="157"/>
    </row>
    <row r="16" spans="1:26" ht="16">
      <c r="A16" s="285"/>
      <c r="B16" s="289"/>
      <c r="C16" s="294"/>
      <c r="D16" s="294"/>
      <c r="E16" s="301"/>
      <c r="F16" s="301"/>
      <c r="G16" s="150">
        <v>2</v>
      </c>
      <c r="H16" s="147"/>
      <c r="I16" s="150"/>
      <c r="J16" s="156"/>
      <c r="K16" s="150"/>
      <c r="L16" s="157"/>
    </row>
    <row r="17" spans="1:12" ht="16">
      <c r="A17" s="285" t="s">
        <v>179</v>
      </c>
      <c r="B17" s="289" t="s">
        <v>33</v>
      </c>
      <c r="C17" s="294"/>
      <c r="D17" s="294"/>
      <c r="E17" s="301" t="s">
        <v>173</v>
      </c>
      <c r="F17" s="294" t="s">
        <v>180</v>
      </c>
      <c r="G17" s="146">
        <v>1</v>
      </c>
      <c r="H17" s="159"/>
      <c r="I17" s="148"/>
      <c r="J17" s="149"/>
      <c r="K17" s="150"/>
      <c r="L17" s="157"/>
    </row>
    <row r="18" spans="1:12" ht="16">
      <c r="A18" s="285"/>
      <c r="B18" s="289"/>
      <c r="C18" s="294"/>
      <c r="D18" s="294"/>
      <c r="E18" s="301"/>
      <c r="F18" s="294"/>
      <c r="G18" s="146">
        <v>2</v>
      </c>
      <c r="H18" s="147"/>
      <c r="I18" s="148"/>
      <c r="J18" s="149"/>
      <c r="K18" s="150"/>
      <c r="L18" s="157"/>
    </row>
    <row r="19" spans="1:12" ht="16">
      <c r="A19" s="285"/>
      <c r="B19" s="289"/>
      <c r="C19" s="294"/>
      <c r="D19" s="294"/>
      <c r="E19" s="283" t="s">
        <v>170</v>
      </c>
      <c r="F19" s="283"/>
      <c r="G19" s="283"/>
      <c r="H19" s="283"/>
      <c r="I19" s="152"/>
      <c r="J19" s="153"/>
      <c r="K19" s="154"/>
      <c r="L19" s="155">
        <f>SUM(L17:L18)</f>
        <v>0</v>
      </c>
    </row>
    <row r="20" spans="1:12" ht="17">
      <c r="A20" s="285"/>
      <c r="B20" s="289"/>
      <c r="C20" s="294"/>
      <c r="D20" s="294"/>
      <c r="E20" s="301" t="s">
        <v>171</v>
      </c>
      <c r="F20" s="301"/>
      <c r="G20" s="150"/>
      <c r="H20" s="194"/>
      <c r="I20" s="146"/>
      <c r="J20" s="156"/>
      <c r="K20" s="150"/>
      <c r="L20" s="157"/>
    </row>
    <row r="21" spans="1:12" ht="16">
      <c r="A21" s="285"/>
      <c r="B21" s="289"/>
      <c r="C21" s="294"/>
      <c r="D21" s="294"/>
      <c r="E21" s="301"/>
      <c r="F21" s="301"/>
      <c r="G21" s="150"/>
      <c r="H21" s="147"/>
      <c r="I21" s="150"/>
      <c r="J21" s="156"/>
      <c r="K21" s="150"/>
      <c r="L21" s="157"/>
    </row>
    <row r="22" spans="1:12" ht="34.75" customHeight="1">
      <c r="A22" s="285" t="s">
        <v>181</v>
      </c>
      <c r="B22" s="289" t="s">
        <v>33</v>
      </c>
      <c r="C22" s="294"/>
      <c r="D22" s="294"/>
      <c r="E22" s="301" t="s">
        <v>173</v>
      </c>
      <c r="F22" s="294" t="s">
        <v>180</v>
      </c>
      <c r="G22" s="146">
        <v>1</v>
      </c>
      <c r="H22" s="159" t="s">
        <v>182</v>
      </c>
      <c r="I22" s="148" t="s">
        <v>33</v>
      </c>
      <c r="J22" s="149">
        <v>1</v>
      </c>
      <c r="K22" s="150"/>
      <c r="L22" s="157">
        <v>0.25</v>
      </c>
    </row>
    <row r="23" spans="1:12" ht="16">
      <c r="A23" s="285"/>
      <c r="B23" s="289"/>
      <c r="C23" s="294"/>
      <c r="D23" s="294"/>
      <c r="E23" s="301"/>
      <c r="F23" s="294"/>
      <c r="G23" s="146">
        <v>2</v>
      </c>
      <c r="H23" s="147"/>
      <c r="I23" s="148"/>
      <c r="J23" s="149"/>
      <c r="K23" s="150"/>
      <c r="L23" s="157"/>
    </row>
    <row r="24" spans="1:12" ht="16">
      <c r="A24" s="285"/>
      <c r="B24" s="289"/>
      <c r="C24" s="294"/>
      <c r="D24" s="294"/>
      <c r="E24" s="301"/>
      <c r="F24" s="294"/>
      <c r="G24" s="146">
        <v>3</v>
      </c>
      <c r="H24" s="147"/>
      <c r="I24" s="148"/>
      <c r="J24" s="149"/>
      <c r="K24" s="150"/>
      <c r="L24" s="157"/>
    </row>
    <row r="25" spans="1:12" ht="16">
      <c r="A25" s="285"/>
      <c r="B25" s="289"/>
      <c r="C25" s="294"/>
      <c r="D25" s="294"/>
      <c r="E25" s="283" t="s">
        <v>170</v>
      </c>
      <c r="F25" s="283"/>
      <c r="G25" s="283"/>
      <c r="H25" s="283"/>
      <c r="I25" s="152"/>
      <c r="J25" s="153"/>
      <c r="K25" s="154"/>
      <c r="L25" s="155">
        <v>0.25</v>
      </c>
    </row>
    <row r="26" spans="1:12" ht="17">
      <c r="A26" s="285"/>
      <c r="B26" s="289"/>
      <c r="C26" s="294"/>
      <c r="D26" s="294"/>
      <c r="E26" s="301" t="s">
        <v>171</v>
      </c>
      <c r="F26" s="301"/>
      <c r="G26" s="150"/>
      <c r="H26" s="194"/>
      <c r="I26" s="146"/>
      <c r="J26" s="156"/>
      <c r="K26" s="150"/>
      <c r="L26" s="157"/>
    </row>
    <row r="27" spans="1:12" ht="16">
      <c r="A27" s="285"/>
      <c r="B27" s="289"/>
      <c r="C27" s="294"/>
      <c r="D27" s="294"/>
      <c r="E27" s="301"/>
      <c r="F27" s="301"/>
      <c r="G27" s="150"/>
      <c r="H27" s="147"/>
      <c r="I27" s="150"/>
      <c r="J27" s="156"/>
      <c r="K27" s="150"/>
      <c r="L27" s="157"/>
    </row>
    <row r="28" spans="1:12" s="1" customFormat="1" ht="13.25" customHeight="1">
      <c r="A28" s="286" t="s">
        <v>183</v>
      </c>
      <c r="B28" s="290" t="s">
        <v>94</v>
      </c>
      <c r="C28" s="295"/>
      <c r="D28" s="298"/>
      <c r="E28" s="302" t="s">
        <v>173</v>
      </c>
      <c r="F28" s="308" t="s">
        <v>184</v>
      </c>
      <c r="G28" s="308">
        <v>1</v>
      </c>
      <c r="H28" s="312" t="s">
        <v>185</v>
      </c>
      <c r="I28" s="185" t="s">
        <v>94</v>
      </c>
      <c r="J28" s="186">
        <v>1</v>
      </c>
      <c r="K28" s="187"/>
      <c r="L28" s="188">
        <v>3</v>
      </c>
    </row>
    <row r="29" spans="1:12" s="1" customFormat="1" ht="13.25" customHeight="1">
      <c r="A29" s="287"/>
      <c r="B29" s="291"/>
      <c r="C29" s="296"/>
      <c r="D29" s="299"/>
      <c r="E29" s="303"/>
      <c r="F29" s="308"/>
      <c r="G29" s="308"/>
      <c r="H29" s="312"/>
      <c r="I29" s="185" t="s">
        <v>186</v>
      </c>
      <c r="J29" s="186">
        <v>1</v>
      </c>
      <c r="K29" s="187"/>
      <c r="L29" s="188">
        <v>4</v>
      </c>
    </row>
    <row r="30" spans="1:12" s="1" customFormat="1" ht="13.25" customHeight="1">
      <c r="A30" s="287"/>
      <c r="B30" s="291"/>
      <c r="C30" s="296"/>
      <c r="D30" s="299"/>
      <c r="E30" s="303"/>
      <c r="F30" s="308"/>
      <c r="G30" s="308"/>
      <c r="H30" s="312"/>
      <c r="I30" s="185" t="s">
        <v>187</v>
      </c>
      <c r="J30" s="186">
        <v>1</v>
      </c>
      <c r="K30" s="187"/>
      <c r="L30" s="188">
        <v>4</v>
      </c>
    </row>
    <row r="31" spans="1:12" s="1" customFormat="1" ht="172.25" customHeight="1">
      <c r="A31" s="287"/>
      <c r="B31" s="291"/>
      <c r="C31" s="296"/>
      <c r="D31" s="299"/>
      <c r="E31" s="303"/>
      <c r="F31" s="305" t="s">
        <v>188</v>
      </c>
      <c r="G31" s="308">
        <v>1</v>
      </c>
      <c r="H31" s="312" t="s">
        <v>189</v>
      </c>
      <c r="I31" s="185" t="s">
        <v>190</v>
      </c>
      <c r="J31" s="186">
        <v>1</v>
      </c>
      <c r="K31" s="187"/>
      <c r="L31" s="189">
        <v>3</v>
      </c>
    </row>
    <row r="32" spans="1:12" s="1" customFormat="1" ht="160.25" customHeight="1">
      <c r="A32" s="287"/>
      <c r="B32" s="291"/>
      <c r="C32" s="296"/>
      <c r="D32" s="299"/>
      <c r="E32" s="304"/>
      <c r="F32" s="305"/>
      <c r="G32" s="308"/>
      <c r="H32" s="312"/>
      <c r="I32" s="185" t="s">
        <v>191</v>
      </c>
      <c r="J32" s="186">
        <v>1</v>
      </c>
      <c r="K32" s="187"/>
      <c r="L32" s="189">
        <v>4</v>
      </c>
    </row>
    <row r="33" spans="1:12" s="1" customFormat="1" ht="13.25" customHeight="1">
      <c r="A33" s="288"/>
      <c r="B33" s="292"/>
      <c r="C33" s="297"/>
      <c r="D33" s="300"/>
      <c r="E33" s="284" t="s">
        <v>170</v>
      </c>
      <c r="F33" s="284"/>
      <c r="G33" s="284"/>
      <c r="H33" s="284"/>
      <c r="I33" s="200"/>
      <c r="J33" s="201"/>
      <c r="K33" s="202"/>
      <c r="L33" s="203">
        <f>SUM(L28:L32)</f>
        <v>18</v>
      </c>
    </row>
    <row r="34" spans="1:12" s="1" customFormat="1" ht="13.75" customHeight="1">
      <c r="A34" s="204"/>
      <c r="B34" s="205"/>
      <c r="C34" s="206"/>
      <c r="D34" s="206"/>
      <c r="E34" s="305" t="s">
        <v>171</v>
      </c>
      <c r="F34" s="305"/>
      <c r="G34" s="187"/>
      <c r="H34" s="207"/>
      <c r="I34" s="183"/>
      <c r="J34" s="208"/>
      <c r="K34" s="187"/>
      <c r="L34" s="189"/>
    </row>
    <row r="35" spans="1:12" s="1" customFormat="1" ht="13.25" customHeight="1">
      <c r="A35" s="204"/>
      <c r="B35" s="205"/>
      <c r="C35" s="206"/>
      <c r="D35" s="206"/>
      <c r="E35" s="305"/>
      <c r="F35" s="305"/>
      <c r="G35" s="187"/>
      <c r="H35" s="184"/>
      <c r="I35" s="187"/>
      <c r="J35" s="208"/>
      <c r="K35" s="187"/>
      <c r="L35" s="189"/>
    </row>
  </sheetData>
  <autoFilter ref="A1:L27" xr:uid="{00000000-0009-0000-0000-000001000000}"/>
  <mergeCells count="52">
    <mergeCell ref="G2:G3"/>
    <mergeCell ref="G28:G30"/>
    <mergeCell ref="G31:G32"/>
    <mergeCell ref="H2:H3"/>
    <mergeCell ref="H28:H30"/>
    <mergeCell ref="H31:H32"/>
    <mergeCell ref="E34:E35"/>
    <mergeCell ref="F2:F7"/>
    <mergeCell ref="F9:F10"/>
    <mergeCell ref="F11:F12"/>
    <mergeCell ref="F15:F16"/>
    <mergeCell ref="F17:F18"/>
    <mergeCell ref="F20:F21"/>
    <mergeCell ref="F22:F24"/>
    <mergeCell ref="F26:F27"/>
    <mergeCell ref="F28:F30"/>
    <mergeCell ref="F31:F32"/>
    <mergeCell ref="F34:F35"/>
    <mergeCell ref="E2:E7"/>
    <mergeCell ref="E9:E10"/>
    <mergeCell ref="E11:E13"/>
    <mergeCell ref="E15:E16"/>
    <mergeCell ref="E17:E18"/>
    <mergeCell ref="D2:D10"/>
    <mergeCell ref="D11:D16"/>
    <mergeCell ref="D17:D21"/>
    <mergeCell ref="D22:D27"/>
    <mergeCell ref="D28:D33"/>
    <mergeCell ref="C2:C10"/>
    <mergeCell ref="C11:C16"/>
    <mergeCell ref="C17:C21"/>
    <mergeCell ref="C22:C27"/>
    <mergeCell ref="C28:C33"/>
    <mergeCell ref="B2:B10"/>
    <mergeCell ref="B11:B16"/>
    <mergeCell ref="B17:B21"/>
    <mergeCell ref="B22:B27"/>
    <mergeCell ref="B28:B33"/>
    <mergeCell ref="A2:A10"/>
    <mergeCell ref="A11:A16"/>
    <mergeCell ref="A17:A21"/>
    <mergeCell ref="A22:A27"/>
    <mergeCell ref="A28:A33"/>
    <mergeCell ref="E8:H8"/>
    <mergeCell ref="E14:H14"/>
    <mergeCell ref="E19:H19"/>
    <mergeCell ref="E25:H25"/>
    <mergeCell ref="E33:H33"/>
    <mergeCell ref="E20:E21"/>
    <mergeCell ref="E22:E24"/>
    <mergeCell ref="E26:E27"/>
    <mergeCell ref="E28:E32"/>
  </mergeCells>
  <phoneticPr fontId="3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Z67"/>
  <sheetViews>
    <sheetView workbookViewId="0">
      <pane ySplit="1" topLeftCell="A11" activePane="bottomLeft" state="frozen"/>
      <selection pane="bottomLeft" activeCell="L22" sqref="L22"/>
    </sheetView>
  </sheetViews>
  <sheetFormatPr baseColWidth="10" defaultColWidth="9.1640625" defaultRowHeight="13"/>
  <cols>
    <col min="1" max="1" width="22.5" style="1" customWidth="1"/>
    <col min="2" max="2" width="11.6640625" style="1" customWidth="1"/>
    <col min="3" max="7" width="9.1640625" style="1"/>
    <col min="8" max="8" width="59.6640625" style="1" customWidth="1"/>
    <col min="9" max="11" width="9.1640625" style="1"/>
    <col min="12" max="12" width="19.5" style="2" customWidth="1"/>
    <col min="13" max="16384" width="9.1640625" style="1"/>
  </cols>
  <sheetData>
    <row r="1" spans="1:26" ht="57">
      <c r="A1" s="3" t="s">
        <v>151</v>
      </c>
      <c r="B1" s="4" t="s">
        <v>6</v>
      </c>
      <c r="C1" s="3" t="s">
        <v>152</v>
      </c>
      <c r="D1" s="3" t="s">
        <v>153</v>
      </c>
      <c r="E1" s="4" t="s">
        <v>154</v>
      </c>
      <c r="F1" s="3" t="s">
        <v>155</v>
      </c>
      <c r="G1" s="3" t="s">
        <v>1</v>
      </c>
      <c r="H1" s="5" t="s">
        <v>156</v>
      </c>
      <c r="I1" s="3" t="s">
        <v>157</v>
      </c>
      <c r="J1" s="6" t="s">
        <v>158</v>
      </c>
      <c r="K1" s="3" t="s">
        <v>159</v>
      </c>
      <c r="L1" s="7" t="s">
        <v>160</v>
      </c>
      <c r="M1" s="8"/>
      <c r="N1" s="8"/>
      <c r="O1" s="8"/>
      <c r="P1" s="8"/>
      <c r="Q1" s="8"/>
      <c r="R1" s="8"/>
      <c r="S1" s="8"/>
      <c r="T1" s="8"/>
      <c r="U1" s="8"/>
      <c r="V1" s="8"/>
      <c r="W1" s="8"/>
      <c r="X1" s="8"/>
      <c r="Y1" s="8"/>
      <c r="Z1" s="8"/>
    </row>
    <row r="2" spans="1:26" ht="17">
      <c r="A2" s="314" t="s">
        <v>192</v>
      </c>
      <c r="B2" s="318" t="s">
        <v>40</v>
      </c>
      <c r="C2" s="319"/>
      <c r="D2" s="319"/>
      <c r="E2" s="320" t="s">
        <v>173</v>
      </c>
      <c r="F2" s="319" t="s">
        <v>53</v>
      </c>
      <c r="G2" s="10">
        <v>1</v>
      </c>
      <c r="H2" s="13" t="s">
        <v>193</v>
      </c>
      <c r="I2" s="14" t="s">
        <v>40</v>
      </c>
      <c r="J2" s="15">
        <v>1</v>
      </c>
      <c r="K2" s="10"/>
      <c r="L2" s="9">
        <v>3</v>
      </c>
    </row>
    <row r="3" spans="1:26" ht="17">
      <c r="A3" s="314"/>
      <c r="B3" s="318"/>
      <c r="C3" s="319"/>
      <c r="D3" s="319"/>
      <c r="E3" s="320"/>
      <c r="F3" s="319"/>
      <c r="G3" s="10">
        <v>2</v>
      </c>
      <c r="H3" s="17" t="s">
        <v>194</v>
      </c>
      <c r="I3" s="14" t="s">
        <v>40</v>
      </c>
      <c r="J3" s="15">
        <v>1</v>
      </c>
      <c r="K3" s="10"/>
      <c r="L3" s="9">
        <v>1</v>
      </c>
    </row>
    <row r="4" spans="1:26" ht="17">
      <c r="A4" s="314"/>
      <c r="B4" s="318"/>
      <c r="C4" s="319"/>
      <c r="D4" s="319"/>
      <c r="E4" s="320"/>
      <c r="F4" s="319"/>
      <c r="G4" s="10">
        <v>3</v>
      </c>
      <c r="H4" s="13" t="s">
        <v>195</v>
      </c>
      <c r="I4" s="14" t="s">
        <v>40</v>
      </c>
      <c r="J4" s="15">
        <v>1</v>
      </c>
      <c r="K4" s="10"/>
      <c r="L4" s="9">
        <v>1</v>
      </c>
    </row>
    <row r="5" spans="1:26" ht="16">
      <c r="A5" s="314"/>
      <c r="B5" s="318"/>
      <c r="C5" s="319"/>
      <c r="D5" s="319"/>
      <c r="E5" s="313" t="s">
        <v>170</v>
      </c>
      <c r="F5" s="313"/>
      <c r="G5" s="313"/>
      <c r="H5" s="313"/>
      <c r="I5" s="32"/>
      <c r="J5" s="33"/>
      <c r="K5" s="34"/>
      <c r="L5" s="35">
        <f>SUM(L2:L4)</f>
        <v>5</v>
      </c>
    </row>
    <row r="6" spans="1:26" ht="16">
      <c r="A6" s="314"/>
      <c r="B6" s="318"/>
      <c r="C6" s="319"/>
      <c r="D6" s="319"/>
      <c r="E6" s="320" t="s">
        <v>171</v>
      </c>
      <c r="F6" s="320" t="s">
        <v>53</v>
      </c>
      <c r="G6" s="36">
        <v>1</v>
      </c>
      <c r="H6" s="13"/>
      <c r="I6" s="10"/>
      <c r="J6" s="39"/>
      <c r="K6" s="36"/>
      <c r="L6" s="40"/>
    </row>
    <row r="7" spans="1:26" ht="16">
      <c r="A7" s="314"/>
      <c r="B7" s="318"/>
      <c r="C7" s="319"/>
      <c r="D7" s="319"/>
      <c r="E7" s="320"/>
      <c r="F7" s="320"/>
      <c r="G7" s="36">
        <v>2</v>
      </c>
      <c r="H7" s="13"/>
      <c r="I7" s="36"/>
      <c r="J7" s="39"/>
      <c r="K7" s="36"/>
      <c r="L7" s="40"/>
    </row>
    <row r="8" spans="1:26" ht="153">
      <c r="A8" s="314" t="s">
        <v>196</v>
      </c>
      <c r="B8" s="318" t="s">
        <v>48</v>
      </c>
      <c r="C8" s="319"/>
      <c r="D8" s="319"/>
      <c r="E8" s="321" t="s">
        <v>173</v>
      </c>
      <c r="F8" s="324" t="s">
        <v>180</v>
      </c>
      <c r="G8" s="10">
        <v>1</v>
      </c>
      <c r="H8" s="181" t="s">
        <v>197</v>
      </c>
      <c r="I8" s="14" t="s">
        <v>48</v>
      </c>
      <c r="J8" s="15">
        <v>1</v>
      </c>
      <c r="K8" s="36"/>
      <c r="L8" s="9">
        <v>4</v>
      </c>
      <c r="M8" s="8"/>
      <c r="N8" s="8"/>
      <c r="O8" s="8"/>
      <c r="P8" s="8"/>
      <c r="Q8" s="8"/>
      <c r="R8" s="8"/>
      <c r="S8" s="8"/>
      <c r="T8" s="8"/>
      <c r="U8" s="8"/>
      <c r="V8" s="8"/>
      <c r="W8" s="8"/>
      <c r="X8" s="8"/>
      <c r="Y8" s="8"/>
      <c r="Z8" s="8"/>
    </row>
    <row r="9" spans="1:26" ht="136">
      <c r="A9" s="314"/>
      <c r="B9" s="318"/>
      <c r="C9" s="319"/>
      <c r="D9" s="319"/>
      <c r="E9" s="322"/>
      <c r="F9" s="325"/>
      <c r="G9" s="10">
        <v>2</v>
      </c>
      <c r="H9" s="181" t="s">
        <v>198</v>
      </c>
      <c r="I9" s="14" t="s">
        <v>199</v>
      </c>
      <c r="J9" s="15">
        <v>1</v>
      </c>
      <c r="K9" s="10"/>
      <c r="L9" s="9">
        <v>1.5</v>
      </c>
      <c r="M9" s="8"/>
      <c r="N9" s="8"/>
      <c r="O9" s="8"/>
      <c r="P9" s="8"/>
      <c r="Q9" s="8"/>
      <c r="R9" s="8"/>
      <c r="S9" s="8"/>
      <c r="T9" s="8"/>
      <c r="U9" s="8"/>
      <c r="V9" s="8"/>
      <c r="W9" s="8"/>
      <c r="X9" s="8"/>
      <c r="Y9" s="8"/>
      <c r="Z9" s="8"/>
    </row>
    <row r="10" spans="1:26" ht="34">
      <c r="A10" s="314"/>
      <c r="B10" s="318"/>
      <c r="C10" s="319"/>
      <c r="D10" s="319"/>
      <c r="E10" s="322"/>
      <c r="F10" s="21" t="s">
        <v>53</v>
      </c>
      <c r="G10" s="10">
        <v>3</v>
      </c>
      <c r="H10" s="181" t="s">
        <v>200</v>
      </c>
      <c r="I10" s="14" t="s">
        <v>48</v>
      </c>
      <c r="J10" s="15">
        <v>1</v>
      </c>
      <c r="K10" s="10"/>
      <c r="L10" s="9">
        <v>1</v>
      </c>
      <c r="M10" s="8"/>
      <c r="N10" s="8"/>
      <c r="O10" s="8"/>
      <c r="P10" s="8"/>
      <c r="Q10" s="8"/>
      <c r="R10" s="8"/>
      <c r="S10" s="8"/>
      <c r="T10" s="8"/>
      <c r="U10" s="8"/>
      <c r="V10" s="8"/>
      <c r="W10" s="8"/>
      <c r="X10" s="8"/>
      <c r="Y10" s="8"/>
      <c r="Z10" s="8"/>
    </row>
    <row r="11" spans="1:26" ht="17">
      <c r="A11" s="314"/>
      <c r="B11" s="318"/>
      <c r="C11" s="319"/>
      <c r="D11" s="319"/>
      <c r="E11" s="313" t="s">
        <v>170</v>
      </c>
      <c r="F11" s="313"/>
      <c r="G11" s="313"/>
      <c r="H11" s="313"/>
      <c r="I11" s="32"/>
      <c r="J11" s="33"/>
      <c r="K11" s="34"/>
      <c r="L11" s="182">
        <f>SUM(L8:L10)</f>
        <v>6.5</v>
      </c>
      <c r="M11" s="8"/>
      <c r="N11" s="8"/>
      <c r="O11" s="8"/>
      <c r="P11" s="8"/>
      <c r="Q11" s="8"/>
      <c r="R11" s="8"/>
      <c r="S11" s="8"/>
      <c r="T11" s="8"/>
      <c r="U11" s="8"/>
      <c r="V11" s="8"/>
      <c r="W11" s="8"/>
      <c r="X11" s="8"/>
      <c r="Y11" s="8"/>
      <c r="Z11" s="8"/>
    </row>
    <row r="12" spans="1:26" ht="17">
      <c r="A12" s="314"/>
      <c r="B12" s="318"/>
      <c r="C12" s="319"/>
      <c r="D12" s="319"/>
      <c r="E12" s="320" t="s">
        <v>171</v>
      </c>
      <c r="F12" s="320"/>
      <c r="G12" s="36"/>
      <c r="H12" s="38"/>
      <c r="I12" s="10"/>
      <c r="J12" s="39"/>
      <c r="K12" s="36"/>
      <c r="L12" s="40"/>
      <c r="M12" s="8"/>
      <c r="N12" s="8"/>
      <c r="O12" s="8"/>
      <c r="P12" s="8"/>
      <c r="Q12" s="8"/>
      <c r="R12" s="8"/>
      <c r="S12" s="8"/>
      <c r="T12" s="8"/>
      <c r="U12" s="8"/>
      <c r="V12" s="8"/>
      <c r="W12" s="8"/>
      <c r="X12" s="8"/>
      <c r="Y12" s="8"/>
      <c r="Z12" s="8"/>
    </row>
    <row r="13" spans="1:26" ht="16">
      <c r="A13" s="314"/>
      <c r="B13" s="318"/>
      <c r="C13" s="319"/>
      <c r="D13" s="319"/>
      <c r="E13" s="320"/>
      <c r="F13" s="320"/>
      <c r="G13" s="36"/>
      <c r="H13" s="13"/>
      <c r="I13" s="36"/>
      <c r="J13" s="39"/>
      <c r="K13" s="36"/>
      <c r="L13" s="40"/>
      <c r="M13" s="8"/>
      <c r="N13" s="8"/>
      <c r="O13" s="8"/>
      <c r="P13" s="8"/>
      <c r="Q13" s="8"/>
      <c r="R13" s="8"/>
      <c r="S13" s="8"/>
      <c r="T13" s="8"/>
      <c r="U13" s="8"/>
      <c r="V13" s="8"/>
      <c r="W13" s="8"/>
      <c r="X13" s="8"/>
      <c r="Y13" s="8"/>
      <c r="Z13" s="8"/>
    </row>
    <row r="14" spans="1:26" ht="68">
      <c r="A14" s="314" t="s">
        <v>201</v>
      </c>
      <c r="B14" s="318" t="s">
        <v>42</v>
      </c>
      <c r="C14" s="319"/>
      <c r="D14" s="319"/>
      <c r="E14" s="320"/>
      <c r="F14" s="319"/>
      <c r="G14" s="10">
        <v>1</v>
      </c>
      <c r="H14" s="13" t="s">
        <v>202</v>
      </c>
      <c r="I14" s="14" t="s">
        <v>81</v>
      </c>
      <c r="J14" s="15">
        <v>1</v>
      </c>
      <c r="K14" s="36"/>
      <c r="L14" s="40">
        <v>0.5</v>
      </c>
    </row>
    <row r="15" spans="1:26" ht="69" customHeight="1">
      <c r="A15" s="314"/>
      <c r="B15" s="318"/>
      <c r="C15" s="319"/>
      <c r="D15" s="319"/>
      <c r="E15" s="320"/>
      <c r="F15" s="319"/>
      <c r="G15" s="10">
        <v>2</v>
      </c>
      <c r="H15" s="98" t="s">
        <v>203</v>
      </c>
      <c r="I15" s="14" t="s">
        <v>42</v>
      </c>
      <c r="J15" s="15">
        <v>1</v>
      </c>
      <c r="K15" s="36"/>
      <c r="L15" s="40">
        <v>3</v>
      </c>
    </row>
    <row r="16" spans="1:26" ht="51">
      <c r="A16" s="314"/>
      <c r="B16" s="318"/>
      <c r="C16" s="319"/>
      <c r="D16" s="319"/>
      <c r="E16" s="320"/>
      <c r="F16" s="319"/>
      <c r="G16" s="10">
        <v>3</v>
      </c>
      <c r="H16" s="98" t="s">
        <v>204</v>
      </c>
      <c r="I16" s="14" t="s">
        <v>205</v>
      </c>
      <c r="J16" s="15">
        <v>1</v>
      </c>
      <c r="K16" s="36"/>
      <c r="L16" s="40">
        <v>1</v>
      </c>
    </row>
    <row r="17" spans="1:12" ht="16">
      <c r="A17" s="314"/>
      <c r="B17" s="318"/>
      <c r="C17" s="319"/>
      <c r="D17" s="319"/>
      <c r="E17" s="36"/>
      <c r="F17" s="10"/>
      <c r="G17" s="308">
        <v>1</v>
      </c>
      <c r="H17" s="312" t="s">
        <v>206</v>
      </c>
      <c r="I17" s="185" t="s">
        <v>94</v>
      </c>
      <c r="J17" s="186">
        <v>1</v>
      </c>
      <c r="K17" s="187"/>
      <c r="L17" s="188">
        <v>1</v>
      </c>
    </row>
    <row r="18" spans="1:12" ht="16">
      <c r="A18" s="314"/>
      <c r="B18" s="318"/>
      <c r="C18" s="319"/>
      <c r="D18" s="319"/>
      <c r="E18" s="36"/>
      <c r="F18" s="10"/>
      <c r="G18" s="308"/>
      <c r="H18" s="312"/>
      <c r="I18" s="185" t="s">
        <v>186</v>
      </c>
      <c r="J18" s="186">
        <v>1</v>
      </c>
      <c r="K18" s="187"/>
      <c r="L18" s="188">
        <v>1</v>
      </c>
    </row>
    <row r="19" spans="1:12" ht="16">
      <c r="A19" s="314"/>
      <c r="B19" s="318"/>
      <c r="C19" s="319"/>
      <c r="D19" s="319"/>
      <c r="E19" s="36"/>
      <c r="F19" s="10"/>
      <c r="G19" s="308"/>
      <c r="H19" s="312"/>
      <c r="I19" s="185" t="s">
        <v>187</v>
      </c>
      <c r="J19" s="186">
        <v>1</v>
      </c>
      <c r="K19" s="187"/>
      <c r="L19" s="188">
        <v>1</v>
      </c>
    </row>
    <row r="20" spans="1:12" ht="16">
      <c r="A20" s="314"/>
      <c r="B20" s="318"/>
      <c r="C20" s="319"/>
      <c r="D20" s="319"/>
      <c r="E20" s="36"/>
      <c r="F20" s="10"/>
      <c r="G20" s="308">
        <v>1</v>
      </c>
      <c r="H20" s="312" t="s">
        <v>207</v>
      </c>
      <c r="I20" s="185" t="s">
        <v>190</v>
      </c>
      <c r="J20" s="186">
        <v>1</v>
      </c>
      <c r="K20" s="187"/>
      <c r="L20" s="189">
        <v>1</v>
      </c>
    </row>
    <row r="21" spans="1:12" ht="16">
      <c r="A21" s="314"/>
      <c r="B21" s="318"/>
      <c r="C21" s="319"/>
      <c r="D21" s="319"/>
      <c r="E21" s="36"/>
      <c r="F21" s="10"/>
      <c r="G21" s="308"/>
      <c r="H21" s="312"/>
      <c r="I21" s="185" t="s">
        <v>191</v>
      </c>
      <c r="J21" s="186">
        <v>1</v>
      </c>
      <c r="K21" s="187"/>
      <c r="L21" s="189">
        <v>1</v>
      </c>
    </row>
    <row r="22" spans="1:12" ht="16">
      <c r="A22" s="314"/>
      <c r="B22" s="318"/>
      <c r="C22" s="319"/>
      <c r="D22" s="319"/>
      <c r="E22" s="313" t="s">
        <v>170</v>
      </c>
      <c r="F22" s="313"/>
      <c r="G22" s="313"/>
      <c r="H22" s="313"/>
      <c r="I22" s="32"/>
      <c r="J22" s="33"/>
      <c r="K22" s="34"/>
      <c r="L22" s="35">
        <f>SUM(L14:L21)</f>
        <v>9.5</v>
      </c>
    </row>
    <row r="23" spans="1:12" ht="17">
      <c r="A23" s="314"/>
      <c r="B23" s="318"/>
      <c r="C23" s="319"/>
      <c r="D23" s="319"/>
      <c r="E23" s="320" t="s">
        <v>171</v>
      </c>
      <c r="F23" s="320"/>
      <c r="G23" s="36"/>
      <c r="H23" s="38"/>
      <c r="I23" s="10"/>
      <c r="J23" s="39"/>
      <c r="K23" s="36"/>
      <c r="L23" s="40"/>
    </row>
    <row r="24" spans="1:12" ht="16">
      <c r="A24" s="314"/>
      <c r="B24" s="318"/>
      <c r="C24" s="319"/>
      <c r="D24" s="319"/>
      <c r="E24" s="320"/>
      <c r="F24" s="320"/>
      <c r="G24" s="36"/>
      <c r="H24" s="13"/>
      <c r="I24" s="36"/>
      <c r="J24" s="39"/>
      <c r="K24" s="36"/>
      <c r="L24" s="40"/>
    </row>
    <row r="25" spans="1:12" ht="68">
      <c r="A25" s="314" t="s">
        <v>41</v>
      </c>
      <c r="B25" s="318" t="s">
        <v>42</v>
      </c>
      <c r="C25" s="319"/>
      <c r="D25" s="319"/>
      <c r="E25" s="320" t="s">
        <v>173</v>
      </c>
      <c r="F25" s="319" t="s">
        <v>180</v>
      </c>
      <c r="G25" s="10">
        <v>1</v>
      </c>
      <c r="H25" s="98" t="s">
        <v>208</v>
      </c>
      <c r="I25" s="14" t="s">
        <v>209</v>
      </c>
      <c r="J25" s="15">
        <v>1</v>
      </c>
      <c r="K25" s="36"/>
      <c r="L25" s="40">
        <v>5</v>
      </c>
    </row>
    <row r="26" spans="1:12" ht="69" customHeight="1">
      <c r="A26" s="314"/>
      <c r="B26" s="318"/>
      <c r="C26" s="319"/>
      <c r="D26" s="319"/>
      <c r="E26" s="320"/>
      <c r="F26" s="319"/>
      <c r="G26" s="10">
        <v>2</v>
      </c>
      <c r="H26" s="13" t="s">
        <v>210</v>
      </c>
      <c r="I26" s="14" t="s">
        <v>205</v>
      </c>
      <c r="J26" s="15">
        <v>1</v>
      </c>
      <c r="K26" s="36"/>
      <c r="L26" s="40">
        <v>4</v>
      </c>
    </row>
    <row r="27" spans="1:12" ht="51">
      <c r="A27" s="314"/>
      <c r="B27" s="318"/>
      <c r="C27" s="319"/>
      <c r="D27" s="319"/>
      <c r="E27" s="320"/>
      <c r="F27" s="319"/>
      <c r="G27" s="10">
        <v>3</v>
      </c>
      <c r="H27" s="13" t="s">
        <v>211</v>
      </c>
      <c r="I27" s="14" t="s">
        <v>42</v>
      </c>
      <c r="J27" s="15">
        <v>1</v>
      </c>
      <c r="K27" s="36"/>
      <c r="L27" s="40">
        <v>2</v>
      </c>
    </row>
    <row r="28" spans="1:12" ht="16">
      <c r="A28" s="314"/>
      <c r="B28" s="318"/>
      <c r="C28" s="319"/>
      <c r="D28" s="319"/>
      <c r="E28" s="313" t="s">
        <v>170</v>
      </c>
      <c r="F28" s="313"/>
      <c r="G28" s="313"/>
      <c r="H28" s="313"/>
      <c r="I28" s="32"/>
      <c r="J28" s="33"/>
      <c r="K28" s="34"/>
      <c r="L28" s="35">
        <f>SUM(L25:L27)</f>
        <v>11</v>
      </c>
    </row>
    <row r="29" spans="1:12" ht="17">
      <c r="A29" s="314"/>
      <c r="B29" s="318"/>
      <c r="C29" s="319"/>
      <c r="D29" s="319"/>
      <c r="E29" s="320" t="s">
        <v>171</v>
      </c>
      <c r="F29" s="320"/>
      <c r="G29" s="36"/>
      <c r="H29" s="38"/>
      <c r="I29" s="10"/>
      <c r="J29" s="39"/>
      <c r="K29" s="36"/>
      <c r="L29" s="40"/>
    </row>
    <row r="30" spans="1:12" ht="16">
      <c r="A30" s="314"/>
      <c r="B30" s="318"/>
      <c r="C30" s="319"/>
      <c r="D30" s="319"/>
      <c r="E30" s="320"/>
      <c r="F30" s="320"/>
      <c r="G30" s="36"/>
      <c r="H30" s="13"/>
      <c r="I30" s="36"/>
      <c r="J30" s="39"/>
      <c r="K30" s="36"/>
      <c r="L30" s="40"/>
    </row>
    <row r="31" spans="1:12" ht="17">
      <c r="A31" s="314" t="s">
        <v>51</v>
      </c>
      <c r="B31" s="318" t="s">
        <v>52</v>
      </c>
      <c r="C31" s="319"/>
      <c r="D31" s="319"/>
      <c r="E31" s="322"/>
      <c r="F31" s="326"/>
      <c r="G31" s="12">
        <v>1</v>
      </c>
      <c r="H31" s="98" t="s">
        <v>212</v>
      </c>
      <c r="I31" s="190" t="s">
        <v>213</v>
      </c>
      <c r="J31" s="15">
        <v>1</v>
      </c>
      <c r="K31" s="36"/>
      <c r="L31" s="40">
        <v>0.5</v>
      </c>
    </row>
    <row r="32" spans="1:12" ht="17">
      <c r="A32" s="314"/>
      <c r="B32" s="318"/>
      <c r="C32" s="319"/>
      <c r="D32" s="319"/>
      <c r="E32" s="322"/>
      <c r="F32" s="326"/>
      <c r="G32" s="12">
        <v>2</v>
      </c>
      <c r="H32" s="98" t="s">
        <v>214</v>
      </c>
      <c r="I32" s="190" t="s">
        <v>215</v>
      </c>
      <c r="J32" s="15">
        <v>0.5</v>
      </c>
      <c r="K32" s="36"/>
      <c r="L32" s="40">
        <v>4</v>
      </c>
    </row>
    <row r="33" spans="1:12" ht="17">
      <c r="A33" s="314"/>
      <c r="B33" s="318"/>
      <c r="C33" s="319"/>
      <c r="D33" s="319"/>
      <c r="E33" s="322"/>
      <c r="F33" s="326"/>
      <c r="G33" s="12">
        <v>3</v>
      </c>
      <c r="H33" s="98" t="s">
        <v>216</v>
      </c>
      <c r="I33" s="190" t="s">
        <v>217</v>
      </c>
      <c r="J33" s="15">
        <v>0.01</v>
      </c>
      <c r="K33" s="36"/>
      <c r="L33" s="40">
        <v>5</v>
      </c>
    </row>
    <row r="34" spans="1:12" ht="17">
      <c r="A34" s="314"/>
      <c r="B34" s="318"/>
      <c r="C34" s="319"/>
      <c r="D34" s="319"/>
      <c r="E34" s="322"/>
      <c r="F34" s="326"/>
      <c r="G34" s="12">
        <v>4</v>
      </c>
      <c r="H34" s="98" t="s">
        <v>218</v>
      </c>
      <c r="I34" s="190" t="s">
        <v>219</v>
      </c>
      <c r="J34" s="15"/>
      <c r="K34" s="36"/>
      <c r="L34" s="40">
        <v>3</v>
      </c>
    </row>
    <row r="35" spans="1:12" ht="17">
      <c r="A35" s="314"/>
      <c r="B35" s="318"/>
      <c r="C35" s="319"/>
      <c r="D35" s="319"/>
      <c r="E35" s="322"/>
      <c r="F35" s="326"/>
      <c r="G35" s="12">
        <v>5</v>
      </c>
      <c r="H35" s="98" t="s">
        <v>220</v>
      </c>
      <c r="I35" s="190" t="s">
        <v>221</v>
      </c>
      <c r="J35" s="15">
        <v>0.8</v>
      </c>
      <c r="K35" s="36"/>
      <c r="L35" s="40">
        <v>2.5</v>
      </c>
    </row>
    <row r="36" spans="1:12" ht="17">
      <c r="A36" s="314"/>
      <c r="B36" s="318"/>
      <c r="C36" s="319"/>
      <c r="D36" s="319"/>
      <c r="E36" s="322"/>
      <c r="F36" s="326"/>
      <c r="G36" s="12">
        <v>6</v>
      </c>
      <c r="H36" s="98" t="s">
        <v>222</v>
      </c>
      <c r="I36" s="190" t="s">
        <v>223</v>
      </c>
      <c r="J36" s="15"/>
      <c r="K36" s="36"/>
      <c r="L36" s="40">
        <v>4</v>
      </c>
    </row>
    <row r="37" spans="1:12" ht="17">
      <c r="A37" s="314"/>
      <c r="B37" s="318"/>
      <c r="C37" s="319"/>
      <c r="D37" s="319"/>
      <c r="E37" s="323"/>
      <c r="F37" s="325"/>
      <c r="G37" s="12">
        <v>7</v>
      </c>
      <c r="H37" s="98" t="s">
        <v>224</v>
      </c>
      <c r="I37" s="14" t="s">
        <v>52</v>
      </c>
      <c r="J37" s="15">
        <v>0.05</v>
      </c>
      <c r="K37" s="36"/>
      <c r="L37" s="40">
        <v>2</v>
      </c>
    </row>
    <row r="38" spans="1:12" ht="16">
      <c r="A38" s="314"/>
      <c r="B38" s="318"/>
      <c r="C38" s="319"/>
      <c r="D38" s="319"/>
      <c r="E38" s="313" t="s">
        <v>170</v>
      </c>
      <c r="F38" s="313"/>
      <c r="G38" s="313"/>
      <c r="H38" s="313"/>
      <c r="I38" s="32"/>
      <c r="J38" s="33"/>
      <c r="K38" s="34"/>
      <c r="L38" s="35">
        <f>SUM(L31:L37)</f>
        <v>21</v>
      </c>
    </row>
    <row r="39" spans="1:12" ht="16">
      <c r="A39" s="314"/>
      <c r="B39" s="318"/>
      <c r="C39" s="319"/>
      <c r="D39" s="319"/>
      <c r="E39" s="320"/>
      <c r="F39" s="320"/>
      <c r="G39" s="36"/>
      <c r="H39" s="13"/>
      <c r="I39" s="10"/>
      <c r="J39" s="39"/>
      <c r="K39" s="36"/>
      <c r="L39" s="40"/>
    </row>
    <row r="40" spans="1:12" ht="16">
      <c r="A40" s="314"/>
      <c r="B40" s="318"/>
      <c r="C40" s="319"/>
      <c r="D40" s="319"/>
      <c r="E40" s="320"/>
      <c r="F40" s="320"/>
      <c r="G40" s="36"/>
      <c r="H40" s="13"/>
      <c r="I40" s="36"/>
      <c r="J40" s="39"/>
      <c r="K40" s="36"/>
      <c r="L40" s="40"/>
    </row>
    <row r="41" spans="1:12" ht="17">
      <c r="A41" s="314" t="s">
        <v>96</v>
      </c>
      <c r="B41" s="318" t="s">
        <v>52</v>
      </c>
      <c r="C41" s="319"/>
      <c r="D41" s="319"/>
      <c r="E41" s="322"/>
      <c r="F41" s="326"/>
      <c r="G41" s="10">
        <v>1</v>
      </c>
      <c r="H41" s="98" t="s">
        <v>225</v>
      </c>
      <c r="I41" s="14" t="s">
        <v>226</v>
      </c>
      <c r="J41" s="15">
        <v>1</v>
      </c>
      <c r="K41" s="36"/>
      <c r="L41" s="40">
        <v>4.5</v>
      </c>
    </row>
    <row r="42" spans="1:12" ht="17">
      <c r="A42" s="314"/>
      <c r="B42" s="318"/>
      <c r="C42" s="319"/>
      <c r="D42" s="319"/>
      <c r="E42" s="322"/>
      <c r="F42" s="326"/>
      <c r="G42" s="10">
        <v>2</v>
      </c>
      <c r="H42" s="98" t="s">
        <v>227</v>
      </c>
      <c r="I42" s="14" t="s">
        <v>52</v>
      </c>
      <c r="J42" s="15">
        <v>1</v>
      </c>
      <c r="K42" s="36"/>
      <c r="L42" s="40">
        <v>3</v>
      </c>
    </row>
    <row r="43" spans="1:12" ht="17">
      <c r="A43" s="314"/>
      <c r="B43" s="318"/>
      <c r="C43" s="319"/>
      <c r="D43" s="319"/>
      <c r="E43" s="322"/>
      <c r="F43" s="326"/>
      <c r="G43" s="10">
        <v>3</v>
      </c>
      <c r="H43" s="98" t="s">
        <v>228</v>
      </c>
      <c r="I43" s="14" t="s">
        <v>215</v>
      </c>
      <c r="J43" s="15">
        <v>1</v>
      </c>
      <c r="K43" s="36"/>
      <c r="L43" s="40">
        <v>0.5</v>
      </c>
    </row>
    <row r="44" spans="1:12" ht="17">
      <c r="A44" s="314"/>
      <c r="B44" s="318"/>
      <c r="C44" s="319"/>
      <c r="D44" s="319"/>
      <c r="E44" s="322"/>
      <c r="F44" s="326"/>
      <c r="G44" s="10">
        <v>4</v>
      </c>
      <c r="H44" s="98" t="s">
        <v>229</v>
      </c>
      <c r="I44" s="14" t="s">
        <v>230</v>
      </c>
      <c r="J44" s="15"/>
      <c r="K44" s="36"/>
      <c r="L44" s="40">
        <v>0.5</v>
      </c>
    </row>
    <row r="45" spans="1:12" ht="17">
      <c r="A45" s="314"/>
      <c r="B45" s="318"/>
      <c r="C45" s="319"/>
      <c r="D45" s="319"/>
      <c r="E45" s="322"/>
      <c r="F45" s="326"/>
      <c r="G45" s="10">
        <v>5</v>
      </c>
      <c r="H45" s="98" t="s">
        <v>231</v>
      </c>
      <c r="I45" s="14" t="s">
        <v>215</v>
      </c>
      <c r="J45" s="15"/>
      <c r="K45" s="36"/>
      <c r="L45" s="40">
        <v>1</v>
      </c>
    </row>
    <row r="46" spans="1:12" ht="17">
      <c r="A46" s="314"/>
      <c r="B46" s="318"/>
      <c r="C46" s="319"/>
      <c r="D46" s="319"/>
      <c r="E46" s="322"/>
      <c r="F46" s="326"/>
      <c r="G46" s="10">
        <v>6</v>
      </c>
      <c r="H46" s="98" t="s">
        <v>231</v>
      </c>
      <c r="I46" s="14" t="s">
        <v>213</v>
      </c>
      <c r="J46" s="15"/>
      <c r="K46" s="36"/>
      <c r="L46" s="40">
        <v>3</v>
      </c>
    </row>
    <row r="47" spans="1:12" ht="17">
      <c r="A47" s="314"/>
      <c r="B47" s="318"/>
      <c r="C47" s="319"/>
      <c r="D47" s="319"/>
      <c r="E47" s="322"/>
      <c r="F47" s="326"/>
      <c r="G47" s="10">
        <v>7</v>
      </c>
      <c r="H47" s="98" t="s">
        <v>232</v>
      </c>
      <c r="I47" s="14" t="s">
        <v>233</v>
      </c>
      <c r="J47" s="15">
        <v>1</v>
      </c>
      <c r="K47" s="36"/>
      <c r="L47" s="40">
        <v>5</v>
      </c>
    </row>
    <row r="48" spans="1:12" ht="16">
      <c r="A48" s="314"/>
      <c r="B48" s="318"/>
      <c r="C48" s="319"/>
      <c r="D48" s="319"/>
      <c r="E48" s="313" t="s">
        <v>170</v>
      </c>
      <c r="F48" s="313"/>
      <c r="G48" s="313"/>
      <c r="H48" s="313"/>
      <c r="I48" s="32"/>
      <c r="J48" s="33"/>
      <c r="K48" s="34"/>
      <c r="L48" s="35">
        <f>SUM(L41:L47)</f>
        <v>17.5</v>
      </c>
    </row>
    <row r="49" spans="1:12" ht="16">
      <c r="A49" s="314"/>
      <c r="B49" s="318"/>
      <c r="C49" s="319"/>
      <c r="D49" s="319"/>
      <c r="E49" s="320" t="s">
        <v>171</v>
      </c>
      <c r="F49" s="320"/>
      <c r="G49" s="36"/>
      <c r="H49" s="13"/>
      <c r="I49" s="10"/>
      <c r="J49" s="39"/>
      <c r="K49" s="36"/>
      <c r="L49" s="40"/>
    </row>
    <row r="50" spans="1:12" ht="16">
      <c r="A50" s="314"/>
      <c r="B50" s="318"/>
      <c r="C50" s="319"/>
      <c r="D50" s="319"/>
      <c r="E50" s="320"/>
      <c r="F50" s="320"/>
      <c r="G50" s="36"/>
      <c r="H50" s="13"/>
      <c r="I50" s="36"/>
      <c r="J50" s="39"/>
      <c r="K50" s="36"/>
      <c r="L50" s="40"/>
    </row>
    <row r="51" spans="1:12" ht="34">
      <c r="A51" s="315" t="s">
        <v>97</v>
      </c>
      <c r="B51" s="318" t="s">
        <v>63</v>
      </c>
      <c r="C51" s="319"/>
      <c r="D51" s="319"/>
      <c r="E51" s="322"/>
      <c r="F51" s="326"/>
      <c r="G51" s="10">
        <v>1</v>
      </c>
      <c r="H51" s="98" t="s">
        <v>234</v>
      </c>
      <c r="I51" s="14" t="s">
        <v>230</v>
      </c>
      <c r="J51" s="15">
        <v>1</v>
      </c>
      <c r="K51" s="36"/>
      <c r="L51" s="40">
        <v>4</v>
      </c>
    </row>
    <row r="52" spans="1:12" ht="34">
      <c r="A52" s="315"/>
      <c r="B52" s="318"/>
      <c r="C52" s="319"/>
      <c r="D52" s="319"/>
      <c r="E52" s="322"/>
      <c r="F52" s="326"/>
      <c r="G52" s="10">
        <v>2</v>
      </c>
      <c r="H52" s="98" t="s">
        <v>235</v>
      </c>
      <c r="I52" s="14" t="s">
        <v>236</v>
      </c>
      <c r="J52" s="15">
        <v>1</v>
      </c>
      <c r="K52" s="36"/>
      <c r="L52" s="40">
        <v>5</v>
      </c>
    </row>
    <row r="53" spans="1:12" ht="17">
      <c r="A53" s="315"/>
      <c r="B53" s="318"/>
      <c r="C53" s="319"/>
      <c r="D53" s="319"/>
      <c r="E53" s="322"/>
      <c r="F53" s="326"/>
      <c r="G53" s="10">
        <v>3</v>
      </c>
      <c r="H53" s="98" t="s">
        <v>237</v>
      </c>
      <c r="I53" s="14" t="s">
        <v>238</v>
      </c>
      <c r="J53" s="15">
        <v>1</v>
      </c>
      <c r="K53" s="36"/>
      <c r="L53" s="40">
        <v>4.5</v>
      </c>
    </row>
    <row r="54" spans="1:12" ht="17">
      <c r="A54" s="315"/>
      <c r="B54" s="318"/>
      <c r="C54" s="319"/>
      <c r="D54" s="319"/>
      <c r="E54" s="322"/>
      <c r="F54" s="326"/>
      <c r="G54" s="10">
        <v>4</v>
      </c>
      <c r="H54" s="98" t="s">
        <v>239</v>
      </c>
      <c r="I54" s="14" t="s">
        <v>240</v>
      </c>
      <c r="J54" s="15" t="s">
        <v>241</v>
      </c>
      <c r="K54" s="36"/>
      <c r="L54" s="40">
        <v>5</v>
      </c>
    </row>
    <row r="55" spans="1:12" ht="17">
      <c r="A55" s="315"/>
      <c r="B55" s="318"/>
      <c r="C55" s="319"/>
      <c r="D55" s="319"/>
      <c r="E55" s="322"/>
      <c r="F55" s="326"/>
      <c r="G55" s="10">
        <v>5</v>
      </c>
      <c r="H55" s="98" t="s">
        <v>239</v>
      </c>
      <c r="I55" s="14" t="s">
        <v>242</v>
      </c>
      <c r="J55" s="15"/>
      <c r="K55" s="36"/>
      <c r="L55" s="40"/>
    </row>
    <row r="56" spans="1:12" ht="17">
      <c r="A56" s="315"/>
      <c r="B56" s="318"/>
      <c r="C56" s="319"/>
      <c r="D56" s="319"/>
      <c r="E56" s="322"/>
      <c r="F56" s="326"/>
      <c r="G56" s="10">
        <v>6</v>
      </c>
      <c r="H56" s="98" t="s">
        <v>243</v>
      </c>
      <c r="I56" s="14" t="s">
        <v>244</v>
      </c>
      <c r="J56" s="15">
        <v>1</v>
      </c>
      <c r="K56" s="36"/>
      <c r="L56" s="40">
        <v>3</v>
      </c>
    </row>
    <row r="57" spans="1:12" ht="17">
      <c r="A57" s="315"/>
      <c r="B57" s="318"/>
      <c r="C57" s="319"/>
      <c r="D57" s="319"/>
      <c r="E57" s="322"/>
      <c r="F57" s="326"/>
      <c r="G57" s="10">
        <v>7</v>
      </c>
      <c r="H57" s="98" t="s">
        <v>243</v>
      </c>
      <c r="I57" s="14" t="s">
        <v>215</v>
      </c>
      <c r="J57" s="15"/>
      <c r="K57" s="36"/>
      <c r="L57" s="40">
        <v>1</v>
      </c>
    </row>
    <row r="58" spans="1:12" ht="17">
      <c r="A58" s="315"/>
      <c r="B58" s="318"/>
      <c r="C58" s="319"/>
      <c r="D58" s="319"/>
      <c r="E58" s="322"/>
      <c r="F58" s="326"/>
      <c r="G58" s="10">
        <v>8</v>
      </c>
      <c r="H58" s="98" t="s">
        <v>245</v>
      </c>
      <c r="I58" s="14" t="s">
        <v>63</v>
      </c>
      <c r="J58" s="15"/>
      <c r="K58" s="36"/>
      <c r="L58" s="40">
        <v>5</v>
      </c>
    </row>
    <row r="59" spans="1:12" ht="16">
      <c r="A59" s="315"/>
      <c r="B59" s="318"/>
      <c r="C59" s="319"/>
      <c r="D59" s="319"/>
      <c r="E59" s="313" t="s">
        <v>170</v>
      </c>
      <c r="F59" s="313"/>
      <c r="G59" s="313"/>
      <c r="H59" s="313"/>
      <c r="I59" s="32"/>
      <c r="J59" s="33"/>
      <c r="K59" s="34"/>
      <c r="L59" s="35">
        <f>SUM(L51:L58)</f>
        <v>27.5</v>
      </c>
    </row>
    <row r="60" spans="1:12" ht="17">
      <c r="A60" s="315"/>
      <c r="B60" s="318"/>
      <c r="C60" s="319"/>
      <c r="D60" s="319"/>
      <c r="E60" s="320" t="s">
        <v>171</v>
      </c>
      <c r="F60" s="320"/>
      <c r="G60" s="36"/>
      <c r="H60" s="38"/>
      <c r="I60" s="10"/>
      <c r="J60" s="39"/>
      <c r="K60" s="36"/>
      <c r="L60" s="40"/>
    </row>
    <row r="61" spans="1:12" ht="16">
      <c r="A61" s="316"/>
      <c r="B61" s="318"/>
      <c r="C61" s="319"/>
      <c r="D61" s="319"/>
      <c r="E61" s="320"/>
      <c r="F61" s="320"/>
      <c r="G61" s="36"/>
      <c r="H61" s="13"/>
      <c r="I61" s="36"/>
      <c r="J61" s="39"/>
      <c r="K61" s="36"/>
      <c r="L61" s="40"/>
    </row>
    <row r="62" spans="1:12" ht="17">
      <c r="A62" s="317" t="s">
        <v>98</v>
      </c>
      <c r="B62" s="318" t="s">
        <v>63</v>
      </c>
      <c r="C62" s="319"/>
      <c r="D62" s="319"/>
      <c r="E62" s="322"/>
      <c r="F62" s="326"/>
      <c r="G62" s="10">
        <v>1</v>
      </c>
      <c r="H62" s="98" t="s">
        <v>246</v>
      </c>
      <c r="I62" s="14" t="s">
        <v>226</v>
      </c>
      <c r="J62" s="15">
        <v>1</v>
      </c>
      <c r="K62" s="36"/>
      <c r="L62" s="40">
        <v>0.5</v>
      </c>
    </row>
    <row r="63" spans="1:12" ht="17">
      <c r="A63" s="315"/>
      <c r="B63" s="318"/>
      <c r="C63" s="319"/>
      <c r="D63" s="319"/>
      <c r="E63" s="322"/>
      <c r="F63" s="326"/>
      <c r="G63" s="10">
        <v>2</v>
      </c>
      <c r="H63" s="98" t="s">
        <v>246</v>
      </c>
      <c r="I63" s="14" t="s">
        <v>238</v>
      </c>
      <c r="J63" s="15">
        <v>1</v>
      </c>
      <c r="K63" s="36"/>
      <c r="L63" s="40">
        <v>0.5</v>
      </c>
    </row>
    <row r="64" spans="1:12" ht="16">
      <c r="A64" s="315"/>
      <c r="B64" s="318"/>
      <c r="C64" s="319"/>
      <c r="D64" s="319"/>
      <c r="E64" s="322"/>
      <c r="F64" s="326"/>
      <c r="G64" s="10"/>
      <c r="H64" s="98"/>
      <c r="I64" s="14"/>
      <c r="J64" s="15"/>
      <c r="K64" s="36"/>
      <c r="L64" s="40"/>
    </row>
    <row r="65" spans="1:12" ht="16">
      <c r="A65" s="315"/>
      <c r="B65" s="318"/>
      <c r="C65" s="319"/>
      <c r="D65" s="319"/>
      <c r="E65" s="313" t="s">
        <v>170</v>
      </c>
      <c r="F65" s="313"/>
      <c r="G65" s="313"/>
      <c r="H65" s="313"/>
      <c r="I65" s="32"/>
      <c r="J65" s="33"/>
      <c r="K65" s="34"/>
      <c r="L65" s="35">
        <f>SUM(L62:L64)</f>
        <v>1</v>
      </c>
    </row>
    <row r="66" spans="1:12" ht="17">
      <c r="A66" s="315"/>
      <c r="B66" s="318"/>
      <c r="C66" s="319"/>
      <c r="D66" s="319"/>
      <c r="E66" s="320" t="s">
        <v>171</v>
      </c>
      <c r="F66" s="320"/>
      <c r="G66" s="36"/>
      <c r="H66" s="38"/>
      <c r="I66" s="10"/>
      <c r="J66" s="39"/>
      <c r="K66" s="36"/>
      <c r="L66" s="40"/>
    </row>
    <row r="67" spans="1:12" ht="16">
      <c r="A67" s="316"/>
      <c r="B67" s="318"/>
      <c r="C67" s="319"/>
      <c r="D67" s="319"/>
      <c r="E67" s="320"/>
      <c r="F67" s="320"/>
      <c r="G67" s="36"/>
      <c r="H67" s="13"/>
      <c r="I67" s="36"/>
      <c r="J67" s="39"/>
      <c r="K67" s="36"/>
      <c r="L67" s="40"/>
    </row>
  </sheetData>
  <mergeCells count="76">
    <mergeCell ref="F60:F61"/>
    <mergeCell ref="F62:F64"/>
    <mergeCell ref="F66:F67"/>
    <mergeCell ref="G17:G19"/>
    <mergeCell ref="G20:G21"/>
    <mergeCell ref="E60:E61"/>
    <mergeCell ref="E62:E64"/>
    <mergeCell ref="E66:E67"/>
    <mergeCell ref="F2:F4"/>
    <mergeCell ref="F6:F7"/>
    <mergeCell ref="F8:F9"/>
    <mergeCell ref="F12:F13"/>
    <mergeCell ref="F14:F16"/>
    <mergeCell ref="F23:F24"/>
    <mergeCell ref="F25:F27"/>
    <mergeCell ref="F29:F30"/>
    <mergeCell ref="F31:F37"/>
    <mergeCell ref="F39:F40"/>
    <mergeCell ref="F41:F47"/>
    <mergeCell ref="F49:F50"/>
    <mergeCell ref="F51:F58"/>
    <mergeCell ref="D41:D50"/>
    <mergeCell ref="D51:D61"/>
    <mergeCell ref="D62:D67"/>
    <mergeCell ref="E2:E4"/>
    <mergeCell ref="E6:E7"/>
    <mergeCell ref="E8:E10"/>
    <mergeCell ref="E12:E13"/>
    <mergeCell ref="E14:E16"/>
    <mergeCell ref="E23:E24"/>
    <mergeCell ref="E25:E27"/>
    <mergeCell ref="E29:E30"/>
    <mergeCell ref="E31:E37"/>
    <mergeCell ref="E39:E40"/>
    <mergeCell ref="E41:E47"/>
    <mergeCell ref="E49:E50"/>
    <mergeCell ref="E51:E58"/>
    <mergeCell ref="D2:D7"/>
    <mergeCell ref="D8:D13"/>
    <mergeCell ref="D14:D24"/>
    <mergeCell ref="D25:D30"/>
    <mergeCell ref="D31:D40"/>
    <mergeCell ref="B41:B50"/>
    <mergeCell ref="B51:B61"/>
    <mergeCell ref="B62:B67"/>
    <mergeCell ref="C2:C7"/>
    <mergeCell ref="C8:C13"/>
    <mergeCell ref="C14:C24"/>
    <mergeCell ref="C25:C30"/>
    <mergeCell ref="C31:C40"/>
    <mergeCell ref="C41:C50"/>
    <mergeCell ref="C51:C61"/>
    <mergeCell ref="C62:C67"/>
    <mergeCell ref="E48:H48"/>
    <mergeCell ref="E59:H59"/>
    <mergeCell ref="E65:H65"/>
    <mergeCell ref="A2:A7"/>
    <mergeCell ref="A8:A13"/>
    <mergeCell ref="A14:A24"/>
    <mergeCell ref="A25:A30"/>
    <mergeCell ref="A31:A40"/>
    <mergeCell ref="A41:A50"/>
    <mergeCell ref="A51:A61"/>
    <mergeCell ref="A62:A67"/>
    <mergeCell ref="B2:B7"/>
    <mergeCell ref="B8:B13"/>
    <mergeCell ref="B14:B24"/>
    <mergeCell ref="B25:B30"/>
    <mergeCell ref="B31:B40"/>
    <mergeCell ref="E5:H5"/>
    <mergeCell ref="E11:H11"/>
    <mergeCell ref="E22:H22"/>
    <mergeCell ref="E28:H28"/>
    <mergeCell ref="E38:H38"/>
    <mergeCell ref="H17:H19"/>
    <mergeCell ref="H20:H21"/>
  </mergeCells>
  <phoneticPr fontId="3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Z16"/>
  <sheetViews>
    <sheetView workbookViewId="0">
      <pane ySplit="1" topLeftCell="A3" activePane="bottomLeft" state="frozen"/>
      <selection pane="bottomLeft" activeCell="A5" sqref="A5:M8"/>
    </sheetView>
  </sheetViews>
  <sheetFormatPr baseColWidth="10" defaultColWidth="9.1640625" defaultRowHeight="13"/>
  <cols>
    <col min="1" max="1" width="22.5" style="1" customWidth="1"/>
    <col min="2" max="2" width="11.6640625" style="1" customWidth="1"/>
    <col min="3" max="7" width="9.1640625" style="1"/>
    <col min="8" max="8" width="59.6640625" style="1" customWidth="1"/>
    <col min="9" max="11" width="9.1640625" style="1"/>
    <col min="12" max="12" width="19.5" style="2" customWidth="1"/>
    <col min="13" max="16384" width="9.1640625" style="1"/>
  </cols>
  <sheetData>
    <row r="1" spans="1:26" ht="57">
      <c r="A1" s="3" t="s">
        <v>151</v>
      </c>
      <c r="B1" s="4" t="s">
        <v>6</v>
      </c>
      <c r="C1" s="3" t="s">
        <v>152</v>
      </c>
      <c r="D1" s="3" t="s">
        <v>153</v>
      </c>
      <c r="E1" s="4" t="s">
        <v>154</v>
      </c>
      <c r="F1" s="3" t="s">
        <v>155</v>
      </c>
      <c r="G1" s="3" t="s">
        <v>1</v>
      </c>
      <c r="H1" s="5" t="s">
        <v>156</v>
      </c>
      <c r="I1" s="3" t="s">
        <v>157</v>
      </c>
      <c r="J1" s="6" t="s">
        <v>158</v>
      </c>
      <c r="K1" s="3" t="s">
        <v>159</v>
      </c>
      <c r="L1" s="7" t="s">
        <v>160</v>
      </c>
      <c r="M1" s="8"/>
      <c r="N1" s="8"/>
      <c r="O1" s="8"/>
      <c r="P1" s="8"/>
      <c r="Q1" s="8"/>
      <c r="R1" s="8"/>
      <c r="S1" s="8"/>
      <c r="T1" s="8"/>
      <c r="U1" s="8"/>
      <c r="V1" s="8"/>
      <c r="W1" s="8"/>
      <c r="X1" s="8"/>
      <c r="Y1" s="8"/>
      <c r="Z1" s="8"/>
    </row>
    <row r="2" spans="1:26" ht="17">
      <c r="A2" s="314" t="s">
        <v>247</v>
      </c>
      <c r="B2" s="318" t="s">
        <v>59</v>
      </c>
      <c r="C2" s="331">
        <v>1</v>
      </c>
      <c r="D2" s="319"/>
      <c r="E2" s="36" t="s">
        <v>173</v>
      </c>
      <c r="F2" s="10" t="s">
        <v>180</v>
      </c>
      <c r="G2" s="10">
        <v>1</v>
      </c>
      <c r="H2" s="13" t="s">
        <v>248</v>
      </c>
      <c r="I2" s="14"/>
      <c r="J2" s="15"/>
      <c r="K2" s="36"/>
      <c r="L2" s="9"/>
    </row>
    <row r="3" spans="1:26" ht="27" customHeight="1">
      <c r="A3" s="314"/>
      <c r="B3" s="318"/>
      <c r="C3" s="331"/>
      <c r="D3" s="319"/>
      <c r="E3" s="313" t="s">
        <v>170</v>
      </c>
      <c r="F3" s="313"/>
      <c r="G3" s="313"/>
      <c r="H3" s="313"/>
      <c r="I3" s="32"/>
      <c r="J3" s="33"/>
      <c r="K3" s="34"/>
      <c r="L3" s="35">
        <f>SUM(L2:L2)</f>
        <v>0</v>
      </c>
    </row>
    <row r="4" spans="1:26" ht="40" customHeight="1">
      <c r="A4" s="314"/>
      <c r="B4" s="318"/>
      <c r="C4" s="331"/>
      <c r="D4" s="319"/>
      <c r="E4" s="36" t="s">
        <v>171</v>
      </c>
      <c r="F4" s="36" t="s">
        <v>180</v>
      </c>
      <c r="G4" s="36">
        <v>1</v>
      </c>
      <c r="H4" s="38" t="s">
        <v>249</v>
      </c>
      <c r="I4" s="10" t="s">
        <v>250</v>
      </c>
      <c r="J4" s="39"/>
      <c r="K4" s="36"/>
      <c r="L4" s="40"/>
    </row>
    <row r="5" spans="1:26" ht="17">
      <c r="A5" s="327" t="s">
        <v>251</v>
      </c>
      <c r="B5" s="329" t="s">
        <v>63</v>
      </c>
      <c r="C5" s="332">
        <v>0.85</v>
      </c>
      <c r="D5" s="324"/>
      <c r="E5" s="11" t="s">
        <v>173</v>
      </c>
      <c r="F5" s="12" t="s">
        <v>53</v>
      </c>
      <c r="G5" s="10">
        <v>1</v>
      </c>
      <c r="H5" s="98" t="s">
        <v>252</v>
      </c>
      <c r="I5" s="14" t="s">
        <v>244</v>
      </c>
      <c r="J5" s="15">
        <v>1</v>
      </c>
      <c r="K5" s="36"/>
      <c r="L5" s="40">
        <v>1</v>
      </c>
    </row>
    <row r="6" spans="1:26" ht="16">
      <c r="A6" s="328"/>
      <c r="B6" s="330"/>
      <c r="C6" s="333"/>
      <c r="D6" s="326"/>
      <c r="E6" s="313" t="s">
        <v>170</v>
      </c>
      <c r="F6" s="313"/>
      <c r="G6" s="313"/>
      <c r="H6" s="313"/>
      <c r="I6" s="32"/>
      <c r="J6" s="33"/>
      <c r="K6" s="34"/>
      <c r="L6" s="35">
        <f>SUM(L5:L5)</f>
        <v>1</v>
      </c>
    </row>
    <row r="7" spans="1:26" ht="17">
      <c r="A7" s="328"/>
      <c r="B7" s="330"/>
      <c r="C7" s="333"/>
      <c r="D7" s="326"/>
      <c r="E7" s="321" t="s">
        <v>171</v>
      </c>
      <c r="F7" s="324" t="s">
        <v>53</v>
      </c>
      <c r="G7" s="10">
        <v>1</v>
      </c>
      <c r="H7" s="98" t="s">
        <v>253</v>
      </c>
      <c r="I7" s="14" t="s">
        <v>219</v>
      </c>
      <c r="J7" s="15"/>
      <c r="K7" s="36"/>
      <c r="L7" s="40"/>
    </row>
    <row r="8" spans="1:26" ht="17">
      <c r="A8" s="328"/>
      <c r="B8" s="330"/>
      <c r="C8" s="333"/>
      <c r="D8" s="326"/>
      <c r="E8" s="321"/>
      <c r="F8" s="324"/>
      <c r="G8" s="10">
        <v>2</v>
      </c>
      <c r="H8" s="13" t="s">
        <v>254</v>
      </c>
      <c r="I8" s="14" t="s">
        <v>221</v>
      </c>
      <c r="J8" s="15"/>
      <c r="K8" s="36"/>
      <c r="L8" s="40"/>
    </row>
    <row r="9" spans="1:26" ht="17">
      <c r="A9" s="314" t="s">
        <v>255</v>
      </c>
      <c r="B9" s="318" t="s">
        <v>149</v>
      </c>
      <c r="C9" s="319"/>
      <c r="D9" s="319"/>
      <c r="E9" s="320" t="s">
        <v>173</v>
      </c>
      <c r="F9" s="319" t="s">
        <v>139</v>
      </c>
      <c r="G9" s="319">
        <v>1</v>
      </c>
      <c r="H9" s="334" t="s">
        <v>256</v>
      </c>
      <c r="I9" s="14" t="s">
        <v>257</v>
      </c>
      <c r="J9" s="331">
        <v>0.6</v>
      </c>
      <c r="K9" s="36"/>
      <c r="L9" s="40">
        <v>3.5</v>
      </c>
    </row>
    <row r="10" spans="1:26" ht="17">
      <c r="A10" s="314"/>
      <c r="B10" s="318"/>
      <c r="C10" s="319"/>
      <c r="D10" s="319"/>
      <c r="E10" s="320"/>
      <c r="F10" s="319"/>
      <c r="G10" s="319"/>
      <c r="H10" s="334"/>
      <c r="I10" s="14" t="s">
        <v>258</v>
      </c>
      <c r="J10" s="331"/>
      <c r="K10" s="36"/>
      <c r="L10" s="40">
        <v>5</v>
      </c>
    </row>
    <row r="11" spans="1:26" ht="17">
      <c r="A11" s="314"/>
      <c r="B11" s="318"/>
      <c r="C11" s="319"/>
      <c r="D11" s="319"/>
      <c r="E11" s="320"/>
      <c r="F11" s="319"/>
      <c r="G11" s="319"/>
      <c r="H11" s="334"/>
      <c r="I11" s="14" t="s">
        <v>259</v>
      </c>
      <c r="J11" s="331"/>
      <c r="K11" s="36"/>
      <c r="L11" s="40">
        <v>5</v>
      </c>
    </row>
    <row r="12" spans="1:26" ht="17">
      <c r="A12" s="314"/>
      <c r="B12" s="318"/>
      <c r="C12" s="319"/>
      <c r="D12" s="319"/>
      <c r="E12" s="320"/>
      <c r="F12" s="319"/>
      <c r="G12" s="319"/>
      <c r="H12" s="334"/>
      <c r="I12" s="14" t="s">
        <v>59</v>
      </c>
      <c r="J12" s="331"/>
      <c r="K12" s="36"/>
      <c r="L12" s="40">
        <v>2</v>
      </c>
    </row>
    <row r="13" spans="1:26" ht="17">
      <c r="A13" s="314"/>
      <c r="B13" s="318"/>
      <c r="C13" s="319"/>
      <c r="D13" s="319"/>
      <c r="E13" s="320"/>
      <c r="F13" s="319"/>
      <c r="G13" s="319"/>
      <c r="H13" s="334"/>
      <c r="I13" s="14" t="s">
        <v>221</v>
      </c>
      <c r="J13" s="331"/>
      <c r="K13" s="36"/>
      <c r="L13" s="40">
        <v>2.5</v>
      </c>
    </row>
    <row r="14" spans="1:26" ht="16">
      <c r="A14" s="314"/>
      <c r="B14" s="318"/>
      <c r="C14" s="319"/>
      <c r="D14" s="319"/>
      <c r="E14" s="313" t="s">
        <v>170</v>
      </c>
      <c r="F14" s="313"/>
      <c r="G14" s="313"/>
      <c r="H14" s="313"/>
      <c r="I14" s="32"/>
      <c r="J14" s="33"/>
      <c r="K14" s="34"/>
      <c r="L14" s="35">
        <f>SUM(L9:L13)</f>
        <v>18</v>
      </c>
    </row>
    <row r="15" spans="1:26" ht="17">
      <c r="A15" s="314"/>
      <c r="B15" s="318"/>
      <c r="C15" s="319"/>
      <c r="D15" s="319"/>
      <c r="E15" s="320" t="s">
        <v>171</v>
      </c>
      <c r="F15" s="320" t="s">
        <v>139</v>
      </c>
      <c r="G15" s="10">
        <v>1</v>
      </c>
      <c r="H15" s="98" t="s">
        <v>260</v>
      </c>
      <c r="I15" s="14" t="s">
        <v>59</v>
      </c>
      <c r="J15" s="39"/>
      <c r="K15" s="36"/>
      <c r="L15" s="40"/>
    </row>
    <row r="16" spans="1:26" ht="17">
      <c r="A16" s="314"/>
      <c r="B16" s="318"/>
      <c r="C16" s="319"/>
      <c r="D16" s="319"/>
      <c r="E16" s="320"/>
      <c r="F16" s="320"/>
      <c r="G16" s="10">
        <v>2</v>
      </c>
      <c r="H16" s="13" t="s">
        <v>261</v>
      </c>
      <c r="I16" s="14" t="s">
        <v>221</v>
      </c>
      <c r="J16" s="39"/>
      <c r="K16" s="36"/>
      <c r="L16" s="40"/>
    </row>
  </sheetData>
  <mergeCells count="24">
    <mergeCell ref="G9:G13"/>
    <mergeCell ref="H9:H13"/>
    <mergeCell ref="J9:J13"/>
    <mergeCell ref="E9:E13"/>
    <mergeCell ref="E15:E16"/>
    <mergeCell ref="F7:F8"/>
    <mergeCell ref="F9:F13"/>
    <mergeCell ref="F15:F16"/>
    <mergeCell ref="E3:H3"/>
    <mergeCell ref="E6:H6"/>
    <mergeCell ref="E14:H14"/>
    <mergeCell ref="A2:A4"/>
    <mergeCell ref="A5:A8"/>
    <mergeCell ref="A9:A16"/>
    <mergeCell ref="B2:B4"/>
    <mergeCell ref="B5:B8"/>
    <mergeCell ref="B9:B16"/>
    <mergeCell ref="C2:C4"/>
    <mergeCell ref="C5:C8"/>
    <mergeCell ref="C9:C16"/>
    <mergeCell ref="D2:D4"/>
    <mergeCell ref="D5:D8"/>
    <mergeCell ref="D9:D16"/>
    <mergeCell ref="E7:E8"/>
  </mergeCells>
  <phoneticPr fontId="34"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Z27"/>
  <sheetViews>
    <sheetView tabSelected="1" workbookViewId="0">
      <pane ySplit="1" topLeftCell="A2" activePane="bottomLeft" state="frozen"/>
      <selection pane="bottomLeft" activeCell="H8" sqref="H8:H11"/>
    </sheetView>
  </sheetViews>
  <sheetFormatPr baseColWidth="10" defaultColWidth="9.1640625" defaultRowHeight="13"/>
  <cols>
    <col min="1" max="1" width="22.5" style="1" customWidth="1"/>
    <col min="2" max="2" width="11.6640625" style="1" customWidth="1"/>
    <col min="3" max="3" width="12.5" style="1"/>
    <col min="4" max="7" width="9.1640625" style="1"/>
    <col min="8" max="8" width="59.6640625" style="1" customWidth="1"/>
    <col min="9" max="11" width="9.1640625" style="1"/>
    <col min="12" max="12" width="19.5" style="2" customWidth="1"/>
    <col min="13" max="16384" width="9.1640625" style="1"/>
  </cols>
  <sheetData>
    <row r="1" spans="1:26" ht="51.75" customHeight="1">
      <c r="A1" s="3" t="s">
        <v>151</v>
      </c>
      <c r="B1" s="4" t="s">
        <v>6</v>
      </c>
      <c r="C1" s="3" t="s">
        <v>152</v>
      </c>
      <c r="D1" s="3" t="s">
        <v>153</v>
      </c>
      <c r="E1" s="4" t="s">
        <v>154</v>
      </c>
      <c r="F1" s="3" t="s">
        <v>155</v>
      </c>
      <c r="G1" s="3" t="s">
        <v>1</v>
      </c>
      <c r="H1" s="5" t="s">
        <v>156</v>
      </c>
      <c r="I1" s="3" t="s">
        <v>157</v>
      </c>
      <c r="J1" s="6" t="s">
        <v>158</v>
      </c>
      <c r="K1" s="3" t="s">
        <v>159</v>
      </c>
      <c r="L1" s="7" t="s">
        <v>160</v>
      </c>
      <c r="M1" s="8"/>
      <c r="N1" s="8"/>
      <c r="O1" s="8"/>
      <c r="P1" s="8"/>
      <c r="Q1" s="8"/>
      <c r="R1" s="8"/>
      <c r="S1" s="8"/>
      <c r="T1" s="8"/>
      <c r="U1" s="8"/>
      <c r="V1" s="8"/>
      <c r="W1" s="8"/>
      <c r="X1" s="8"/>
      <c r="Y1" s="8"/>
      <c r="Z1" s="8"/>
    </row>
    <row r="2" spans="1:26" ht="16">
      <c r="A2" s="341" t="s">
        <v>262</v>
      </c>
      <c r="B2" s="344" t="s">
        <v>70</v>
      </c>
      <c r="C2" s="347" t="s">
        <v>263</v>
      </c>
      <c r="D2" s="350"/>
      <c r="E2" s="353" t="s">
        <v>173</v>
      </c>
      <c r="F2" s="350" t="s">
        <v>53</v>
      </c>
      <c r="G2" s="21">
        <v>1</v>
      </c>
      <c r="H2" s="360"/>
      <c r="I2" s="160"/>
      <c r="J2" s="94"/>
      <c r="K2" s="161"/>
      <c r="L2" s="162"/>
    </row>
    <row r="3" spans="1:26" ht="16">
      <c r="A3" s="342"/>
      <c r="B3" s="345"/>
      <c r="C3" s="348"/>
      <c r="D3" s="351"/>
      <c r="E3" s="354"/>
      <c r="F3" s="351"/>
      <c r="G3" s="10">
        <v>2</v>
      </c>
      <c r="H3" s="361"/>
      <c r="I3" s="160"/>
      <c r="J3" s="94"/>
      <c r="K3" s="161"/>
      <c r="L3" s="162"/>
    </row>
    <row r="4" spans="1:26" ht="16">
      <c r="A4" s="342"/>
      <c r="B4" s="345"/>
      <c r="C4" s="348"/>
      <c r="D4" s="351"/>
      <c r="E4" s="355"/>
      <c r="F4" s="357"/>
      <c r="G4" s="12">
        <v>3</v>
      </c>
      <c r="H4" s="98"/>
      <c r="I4" s="160"/>
      <c r="J4" s="94"/>
      <c r="K4" s="160"/>
      <c r="L4" s="162"/>
    </row>
    <row r="5" spans="1:26" ht="16">
      <c r="A5" s="342"/>
      <c r="B5" s="345"/>
      <c r="C5" s="348"/>
      <c r="D5" s="351"/>
      <c r="E5" s="335" t="s">
        <v>170</v>
      </c>
      <c r="F5" s="336"/>
      <c r="G5" s="336"/>
      <c r="H5" s="337"/>
      <c r="I5" s="164"/>
      <c r="J5" s="165"/>
      <c r="K5" s="166"/>
      <c r="L5" s="167">
        <f>SUM(L2:L4)</f>
        <v>0</v>
      </c>
    </row>
    <row r="6" spans="1:26" ht="17">
      <c r="A6" s="342"/>
      <c r="B6" s="345"/>
      <c r="C6" s="348"/>
      <c r="D6" s="351"/>
      <c r="E6" s="353" t="s">
        <v>171</v>
      </c>
      <c r="F6" s="358" t="s">
        <v>53</v>
      </c>
      <c r="G6" s="21">
        <v>1</v>
      </c>
      <c r="H6" s="168"/>
      <c r="I6" s="161"/>
      <c r="J6" s="169"/>
      <c r="K6" s="163"/>
      <c r="L6" s="162"/>
    </row>
    <row r="7" spans="1:26" ht="17">
      <c r="A7" s="342"/>
      <c r="B7" s="345"/>
      <c r="C7" s="348"/>
      <c r="D7" s="351"/>
      <c r="E7" s="354"/>
      <c r="F7" s="359"/>
      <c r="G7" s="10">
        <v>2</v>
      </c>
      <c r="H7" s="170"/>
      <c r="I7" s="163"/>
      <c r="J7" s="169"/>
      <c r="K7" s="163"/>
      <c r="L7" s="162"/>
    </row>
    <row r="8" spans="1:26" ht="83" customHeight="1">
      <c r="A8" s="341" t="s">
        <v>264</v>
      </c>
      <c r="B8" s="344" t="s">
        <v>70</v>
      </c>
      <c r="C8" s="347" t="s">
        <v>265</v>
      </c>
      <c r="D8" s="350"/>
      <c r="E8" s="353" t="s">
        <v>173</v>
      </c>
      <c r="F8" s="350" t="s">
        <v>53</v>
      </c>
      <c r="G8" s="10">
        <v>1</v>
      </c>
      <c r="H8" s="362" t="s">
        <v>266</v>
      </c>
      <c r="I8" s="171" t="s">
        <v>81</v>
      </c>
      <c r="J8" s="94">
        <v>1</v>
      </c>
      <c r="K8" s="161"/>
      <c r="L8" s="162">
        <v>4.5</v>
      </c>
    </row>
    <row r="9" spans="1:26" ht="90" customHeight="1">
      <c r="A9" s="341"/>
      <c r="B9" s="344"/>
      <c r="C9" s="347"/>
      <c r="D9" s="350"/>
      <c r="E9" s="353"/>
      <c r="F9" s="350"/>
      <c r="G9" s="10">
        <v>2</v>
      </c>
      <c r="H9" s="363"/>
      <c r="I9" s="171" t="s">
        <v>70</v>
      </c>
      <c r="J9" s="94">
        <v>1</v>
      </c>
      <c r="K9" s="161"/>
      <c r="L9" s="162">
        <v>1</v>
      </c>
    </row>
    <row r="10" spans="1:26" ht="62" customHeight="1">
      <c r="A10" s="341"/>
      <c r="B10" s="344"/>
      <c r="C10" s="347"/>
      <c r="D10" s="350"/>
      <c r="E10" s="353"/>
      <c r="F10" s="350"/>
      <c r="G10" s="10">
        <v>3</v>
      </c>
      <c r="H10" s="363"/>
      <c r="I10" s="171" t="s">
        <v>267</v>
      </c>
      <c r="J10" s="94">
        <v>1</v>
      </c>
      <c r="K10" s="161"/>
      <c r="L10" s="162">
        <v>2</v>
      </c>
    </row>
    <row r="11" spans="1:26" ht="70" customHeight="1">
      <c r="A11" s="341"/>
      <c r="B11" s="344"/>
      <c r="C11" s="347"/>
      <c r="D11" s="350"/>
      <c r="E11" s="353"/>
      <c r="F11" s="350"/>
      <c r="G11" s="10">
        <v>4</v>
      </c>
      <c r="H11" s="363"/>
      <c r="I11" s="171"/>
      <c r="J11" s="94"/>
      <c r="K11" s="161"/>
      <c r="L11" s="162"/>
    </row>
    <row r="12" spans="1:26" ht="21" customHeight="1">
      <c r="A12" s="341"/>
      <c r="B12" s="344"/>
      <c r="C12" s="347"/>
      <c r="D12" s="350"/>
      <c r="E12" s="353"/>
      <c r="F12" s="350"/>
      <c r="G12" s="10">
        <v>5</v>
      </c>
      <c r="H12" s="173"/>
      <c r="I12" s="171"/>
      <c r="J12" s="94"/>
      <c r="K12" s="161"/>
      <c r="L12" s="162"/>
    </row>
    <row r="13" spans="1:26" ht="16">
      <c r="A13" s="341"/>
      <c r="B13" s="344"/>
      <c r="C13" s="347"/>
      <c r="D13" s="350"/>
      <c r="E13" s="338" t="s">
        <v>170</v>
      </c>
      <c r="F13" s="338"/>
      <c r="G13" s="338"/>
      <c r="H13" s="338"/>
      <c r="I13" s="174"/>
      <c r="J13" s="165"/>
      <c r="K13" s="166"/>
      <c r="L13" s="167">
        <f>SUM(L8:L12)</f>
        <v>7.5</v>
      </c>
    </row>
    <row r="14" spans="1:26" ht="16">
      <c r="A14" s="341"/>
      <c r="B14" s="344"/>
      <c r="C14" s="347"/>
      <c r="D14" s="350"/>
      <c r="E14" s="354" t="s">
        <v>171</v>
      </c>
      <c r="F14" s="354" t="s">
        <v>53</v>
      </c>
      <c r="G14" s="10">
        <v>1</v>
      </c>
      <c r="H14" s="175"/>
      <c r="I14" s="171"/>
      <c r="J14" s="176"/>
      <c r="K14" s="163"/>
      <c r="L14" s="162"/>
    </row>
    <row r="15" spans="1:26" ht="16">
      <c r="A15" s="341"/>
      <c r="B15" s="344"/>
      <c r="C15" s="347"/>
      <c r="D15" s="350"/>
      <c r="E15" s="354"/>
      <c r="F15" s="354"/>
      <c r="G15" s="10">
        <v>2</v>
      </c>
      <c r="H15" s="175"/>
      <c r="I15" s="171"/>
      <c r="J15" s="176"/>
      <c r="K15" s="163"/>
      <c r="L15" s="162"/>
    </row>
    <row r="16" spans="1:26" ht="49" customHeight="1">
      <c r="A16" s="342" t="s">
        <v>268</v>
      </c>
      <c r="B16" s="345" t="s">
        <v>70</v>
      </c>
      <c r="C16" s="348" t="s">
        <v>269</v>
      </c>
      <c r="D16" s="351"/>
      <c r="E16" s="355" t="s">
        <v>173</v>
      </c>
      <c r="F16" s="357" t="s">
        <v>53</v>
      </c>
      <c r="G16" s="10">
        <v>1</v>
      </c>
      <c r="H16" s="364" t="s">
        <v>270</v>
      </c>
      <c r="I16" s="171" t="s">
        <v>70</v>
      </c>
      <c r="J16" s="94">
        <v>0.5</v>
      </c>
      <c r="K16" s="161"/>
      <c r="L16" s="162">
        <v>3</v>
      </c>
    </row>
    <row r="17" spans="1:12" ht="39" customHeight="1">
      <c r="A17" s="342"/>
      <c r="B17" s="345"/>
      <c r="C17" s="348"/>
      <c r="D17" s="351"/>
      <c r="E17" s="355"/>
      <c r="F17" s="357"/>
      <c r="G17" s="10">
        <v>2</v>
      </c>
      <c r="H17" s="365"/>
      <c r="I17" s="171" t="s">
        <v>267</v>
      </c>
      <c r="J17" s="94">
        <v>0.5</v>
      </c>
      <c r="K17" s="161"/>
      <c r="L17" s="162">
        <v>3</v>
      </c>
    </row>
    <row r="18" spans="1:12" ht="33" customHeight="1">
      <c r="A18" s="342"/>
      <c r="B18" s="345"/>
      <c r="C18" s="348"/>
      <c r="D18" s="351"/>
      <c r="E18" s="355"/>
      <c r="F18" s="357"/>
      <c r="G18" s="10">
        <v>3</v>
      </c>
      <c r="H18" s="366"/>
      <c r="I18" s="171"/>
      <c r="J18" s="94"/>
      <c r="K18" s="161"/>
      <c r="L18" s="162"/>
    </row>
    <row r="19" spans="1:12" ht="16">
      <c r="A19" s="342"/>
      <c r="B19" s="345"/>
      <c r="C19" s="348"/>
      <c r="D19" s="351"/>
      <c r="E19" s="338" t="s">
        <v>170</v>
      </c>
      <c r="F19" s="338"/>
      <c r="G19" s="338"/>
      <c r="H19" s="338"/>
      <c r="I19" s="174"/>
      <c r="J19" s="165"/>
      <c r="K19" s="166"/>
      <c r="L19" s="167">
        <f>SUM(L16:L18)</f>
        <v>6</v>
      </c>
    </row>
    <row r="20" spans="1:12" ht="16">
      <c r="A20" s="342"/>
      <c r="B20" s="345"/>
      <c r="C20" s="348"/>
      <c r="D20" s="351"/>
      <c r="E20" s="354" t="s">
        <v>171</v>
      </c>
      <c r="F20" s="354" t="s">
        <v>53</v>
      </c>
      <c r="G20" s="10">
        <v>1</v>
      </c>
      <c r="H20" s="175"/>
      <c r="I20" s="171"/>
      <c r="J20" s="176"/>
      <c r="K20" s="163"/>
      <c r="L20" s="162"/>
    </row>
    <row r="21" spans="1:12" ht="16">
      <c r="A21" s="342"/>
      <c r="B21" s="345"/>
      <c r="C21" s="348"/>
      <c r="D21" s="351"/>
      <c r="E21" s="354"/>
      <c r="F21" s="354"/>
      <c r="G21" s="10">
        <v>2</v>
      </c>
      <c r="H21" s="177"/>
      <c r="I21" s="171"/>
      <c r="J21" s="176"/>
      <c r="K21" s="163"/>
      <c r="L21" s="162"/>
    </row>
    <row r="22" spans="1:12" ht="16">
      <c r="A22" s="343" t="s">
        <v>271</v>
      </c>
      <c r="B22" s="346" t="s">
        <v>81</v>
      </c>
      <c r="C22" s="349" t="s">
        <v>263</v>
      </c>
      <c r="D22" s="352"/>
      <c r="E22" s="356" t="s">
        <v>173</v>
      </c>
      <c r="F22" s="352" t="s">
        <v>53</v>
      </c>
      <c r="G22" s="10">
        <v>1</v>
      </c>
      <c r="H22" s="367"/>
      <c r="I22" s="171"/>
      <c r="J22" s="94"/>
      <c r="K22" s="179"/>
      <c r="L22" s="40"/>
    </row>
    <row r="23" spans="1:12" ht="16">
      <c r="A23" s="343"/>
      <c r="B23" s="346"/>
      <c r="C23" s="349"/>
      <c r="D23" s="352"/>
      <c r="E23" s="356"/>
      <c r="F23" s="352"/>
      <c r="G23" s="10">
        <v>2</v>
      </c>
      <c r="H23" s="368"/>
      <c r="I23" s="171"/>
      <c r="J23" s="94"/>
      <c r="K23" s="179"/>
      <c r="L23" s="40"/>
    </row>
    <row r="24" spans="1:12" ht="16">
      <c r="A24" s="343"/>
      <c r="B24" s="346"/>
      <c r="C24" s="349"/>
      <c r="D24" s="352"/>
      <c r="E24" s="356"/>
      <c r="F24" s="352"/>
      <c r="G24" s="10">
        <v>3</v>
      </c>
      <c r="H24" s="369"/>
      <c r="I24" s="171"/>
      <c r="J24" s="39"/>
      <c r="K24" s="179"/>
      <c r="L24" s="40"/>
    </row>
    <row r="25" spans="1:12" ht="16">
      <c r="A25" s="343"/>
      <c r="B25" s="346"/>
      <c r="C25" s="349"/>
      <c r="D25" s="352"/>
      <c r="E25" s="339" t="s">
        <v>170</v>
      </c>
      <c r="F25" s="336"/>
      <c r="G25" s="336"/>
      <c r="H25" s="340"/>
      <c r="I25" s="33"/>
      <c r="J25" s="33"/>
      <c r="K25" s="180"/>
      <c r="L25" s="35">
        <f>SUM(L22:L24)</f>
        <v>0</v>
      </c>
    </row>
    <row r="26" spans="1:12" ht="16">
      <c r="A26" s="343"/>
      <c r="B26" s="346"/>
      <c r="C26" s="349"/>
      <c r="D26" s="352"/>
      <c r="E26" s="356" t="s">
        <v>171</v>
      </c>
      <c r="F26" s="356" t="s">
        <v>53</v>
      </c>
      <c r="G26" s="10">
        <v>1</v>
      </c>
      <c r="H26" s="172"/>
      <c r="I26" s="171"/>
      <c r="J26" s="39"/>
      <c r="K26" s="178"/>
      <c r="L26" s="40"/>
    </row>
    <row r="27" spans="1:12" ht="16">
      <c r="A27" s="343"/>
      <c r="B27" s="346"/>
      <c r="C27" s="349"/>
      <c r="D27" s="352"/>
      <c r="E27" s="356"/>
      <c r="F27" s="356"/>
      <c r="G27" s="10">
        <v>2</v>
      </c>
      <c r="H27" s="37"/>
      <c r="I27" s="171"/>
      <c r="J27" s="39"/>
      <c r="K27" s="178"/>
      <c r="L27" s="40"/>
    </row>
  </sheetData>
  <mergeCells count="40">
    <mergeCell ref="F20:F21"/>
    <mergeCell ref="F22:F24"/>
    <mergeCell ref="F26:F27"/>
    <mergeCell ref="H2:H3"/>
    <mergeCell ref="H8:H11"/>
    <mergeCell ref="H16:H18"/>
    <mergeCell ref="H22:H24"/>
    <mergeCell ref="F2:F4"/>
    <mergeCell ref="F6:F7"/>
    <mergeCell ref="F8:F12"/>
    <mergeCell ref="F14:F15"/>
    <mergeCell ref="F16:F18"/>
    <mergeCell ref="D2:D7"/>
    <mergeCell ref="D8:D15"/>
    <mergeCell ref="D16:D21"/>
    <mergeCell ref="D22:D27"/>
    <mergeCell ref="E2:E4"/>
    <mergeCell ref="E6:E7"/>
    <mergeCell ref="E8:E12"/>
    <mergeCell ref="E14:E15"/>
    <mergeCell ref="E16:E18"/>
    <mergeCell ref="E20:E21"/>
    <mergeCell ref="E22:E24"/>
    <mergeCell ref="E26:E27"/>
    <mergeCell ref="E5:H5"/>
    <mergeCell ref="E13:H13"/>
    <mergeCell ref="E19:H19"/>
    <mergeCell ref="E25:H25"/>
    <mergeCell ref="A2:A7"/>
    <mergeCell ref="A8:A15"/>
    <mergeCell ref="A16:A21"/>
    <mergeCell ref="A22:A27"/>
    <mergeCell ref="B2:B7"/>
    <mergeCell ref="B8:B15"/>
    <mergeCell ref="B16:B21"/>
    <mergeCell ref="B22:B27"/>
    <mergeCell ref="C2:C7"/>
    <mergeCell ref="C8:C15"/>
    <mergeCell ref="C16:C21"/>
    <mergeCell ref="C22:C27"/>
  </mergeCells>
  <phoneticPr fontId="34"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Z11"/>
  <sheetViews>
    <sheetView zoomScale="115" zoomScaleNormal="115" workbookViewId="0">
      <pane ySplit="1" topLeftCell="A2" activePane="bottomLeft" state="frozen"/>
      <selection pane="bottomLeft" activeCell="H20" sqref="H20"/>
    </sheetView>
  </sheetViews>
  <sheetFormatPr baseColWidth="10" defaultColWidth="9.1640625" defaultRowHeight="13"/>
  <cols>
    <col min="1" max="1" width="22.33203125" style="137" customWidth="1"/>
    <col min="2" max="2" width="11.6640625" style="137" customWidth="1"/>
    <col min="3" max="7" width="9.1640625" style="137"/>
    <col min="8" max="8" width="54" style="137" customWidth="1"/>
    <col min="9" max="11" width="9.1640625" style="137"/>
    <col min="12" max="12" width="16.6640625" style="138" customWidth="1"/>
    <col min="13" max="16384" width="9.1640625" style="137"/>
  </cols>
  <sheetData>
    <row r="1" spans="1:26" ht="57">
      <c r="A1" s="139" t="s">
        <v>151</v>
      </c>
      <c r="B1" s="140" t="s">
        <v>6</v>
      </c>
      <c r="C1" s="139" t="s">
        <v>152</v>
      </c>
      <c r="D1" s="139" t="s">
        <v>153</v>
      </c>
      <c r="E1" s="140" t="s">
        <v>154</v>
      </c>
      <c r="F1" s="139" t="s">
        <v>155</v>
      </c>
      <c r="G1" s="139" t="s">
        <v>1</v>
      </c>
      <c r="H1" s="141" t="s">
        <v>156</v>
      </c>
      <c r="I1" s="139" t="s">
        <v>157</v>
      </c>
      <c r="J1" s="142" t="s">
        <v>158</v>
      </c>
      <c r="K1" s="139" t="s">
        <v>159</v>
      </c>
      <c r="L1" s="143" t="s">
        <v>160</v>
      </c>
      <c r="M1" s="144"/>
      <c r="N1" s="144"/>
      <c r="O1" s="144"/>
      <c r="P1" s="144"/>
      <c r="Q1" s="144"/>
      <c r="R1" s="144"/>
      <c r="S1" s="144"/>
      <c r="T1" s="144"/>
      <c r="U1" s="144"/>
      <c r="V1" s="144"/>
      <c r="W1" s="144"/>
      <c r="X1" s="144"/>
      <c r="Y1" s="144"/>
      <c r="Z1" s="144"/>
    </row>
    <row r="2" spans="1:26" ht="30" customHeight="1">
      <c r="A2" s="370" t="s">
        <v>90</v>
      </c>
      <c r="B2" s="373" t="s">
        <v>88</v>
      </c>
      <c r="C2" s="376"/>
      <c r="D2" s="306"/>
      <c r="E2" s="379" t="s">
        <v>173</v>
      </c>
      <c r="F2" s="145" t="s">
        <v>180</v>
      </c>
      <c r="G2" s="146">
        <v>1</v>
      </c>
      <c r="H2" s="147" t="s">
        <v>272</v>
      </c>
      <c r="I2" s="148" t="s">
        <v>88</v>
      </c>
      <c r="J2" s="149">
        <v>1</v>
      </c>
      <c r="K2" s="150"/>
      <c r="L2" s="151">
        <v>1</v>
      </c>
    </row>
    <row r="3" spans="1:26" ht="30" customHeight="1">
      <c r="A3" s="371"/>
      <c r="B3" s="374"/>
      <c r="C3" s="377"/>
      <c r="D3" s="307"/>
      <c r="E3" s="380"/>
      <c r="F3" s="145" t="s">
        <v>53</v>
      </c>
      <c r="G3" s="146">
        <v>2</v>
      </c>
      <c r="H3" s="147" t="s">
        <v>272</v>
      </c>
      <c r="I3" s="148" t="s">
        <v>273</v>
      </c>
      <c r="J3" s="149">
        <v>0.95</v>
      </c>
      <c r="K3" s="150"/>
      <c r="L3" s="151">
        <v>5</v>
      </c>
    </row>
    <row r="4" spans="1:26" ht="30" customHeight="1">
      <c r="A4" s="371"/>
      <c r="B4" s="374"/>
      <c r="C4" s="377"/>
      <c r="D4" s="307"/>
      <c r="E4" s="381"/>
      <c r="F4" s="145" t="s">
        <v>180</v>
      </c>
      <c r="G4" s="146">
        <v>3</v>
      </c>
      <c r="H4" s="147" t="s">
        <v>274</v>
      </c>
      <c r="I4" s="148" t="s">
        <v>88</v>
      </c>
      <c r="J4" s="149">
        <v>0.7</v>
      </c>
      <c r="K4" s="150"/>
      <c r="L4" s="151">
        <v>3</v>
      </c>
    </row>
    <row r="5" spans="1:26" ht="27" customHeight="1">
      <c r="A5" s="371"/>
      <c r="B5" s="374"/>
      <c r="C5" s="377"/>
      <c r="D5" s="307"/>
      <c r="E5" s="283" t="s">
        <v>170</v>
      </c>
      <c r="F5" s="283"/>
      <c r="G5" s="283"/>
      <c r="H5" s="283"/>
      <c r="I5" s="152"/>
      <c r="J5" s="153"/>
      <c r="K5" s="154"/>
      <c r="L5" s="155">
        <f>SUM(L2:L4)</f>
        <v>9</v>
      </c>
    </row>
    <row r="6" spans="1:26" ht="25.5" customHeight="1">
      <c r="A6" s="371"/>
      <c r="B6" s="374"/>
      <c r="C6" s="377"/>
      <c r="D6" s="307"/>
      <c r="E6" s="379" t="s">
        <v>171</v>
      </c>
      <c r="F6" s="145" t="s">
        <v>180</v>
      </c>
      <c r="G6" s="150">
        <v>1</v>
      </c>
      <c r="H6" s="147" t="s">
        <v>274</v>
      </c>
      <c r="I6" s="146" t="s">
        <v>88</v>
      </c>
      <c r="J6" s="156">
        <v>1</v>
      </c>
      <c r="K6" s="150"/>
      <c r="L6" s="157">
        <v>5</v>
      </c>
    </row>
    <row r="7" spans="1:26" ht="25.5" customHeight="1">
      <c r="A7" s="372"/>
      <c r="B7" s="375"/>
      <c r="C7" s="378"/>
      <c r="D7" s="309"/>
      <c r="E7" s="381"/>
      <c r="F7" s="150" t="s">
        <v>53</v>
      </c>
      <c r="G7" s="150">
        <v>2</v>
      </c>
      <c r="H7" s="147" t="s">
        <v>272</v>
      </c>
      <c r="I7" s="148" t="s">
        <v>273</v>
      </c>
      <c r="J7" s="156">
        <v>1</v>
      </c>
      <c r="K7" s="150"/>
      <c r="L7" s="157">
        <v>1</v>
      </c>
    </row>
    <row r="8" spans="1:26" ht="26" customHeight="1">
      <c r="A8" s="285" t="s">
        <v>275</v>
      </c>
      <c r="B8" s="289" t="s">
        <v>88</v>
      </c>
      <c r="C8" s="293">
        <v>0.95</v>
      </c>
      <c r="D8" s="294"/>
      <c r="E8" s="379" t="s">
        <v>173</v>
      </c>
      <c r="F8" s="306" t="s">
        <v>180</v>
      </c>
      <c r="G8" s="146">
        <v>1</v>
      </c>
      <c r="H8" s="159" t="s">
        <v>276</v>
      </c>
      <c r="I8" s="148" t="s">
        <v>277</v>
      </c>
      <c r="J8" s="156">
        <v>1</v>
      </c>
      <c r="K8" s="150"/>
      <c r="L8" s="157">
        <v>5</v>
      </c>
    </row>
    <row r="9" spans="1:26" ht="26" customHeight="1">
      <c r="A9" s="285"/>
      <c r="B9" s="289"/>
      <c r="C9" s="293"/>
      <c r="D9" s="294"/>
      <c r="E9" s="381"/>
      <c r="F9" s="309"/>
      <c r="G9" s="146">
        <v>2</v>
      </c>
      <c r="H9" s="159" t="s">
        <v>278</v>
      </c>
      <c r="I9" s="148" t="s">
        <v>88</v>
      </c>
      <c r="J9" s="156">
        <v>1</v>
      </c>
      <c r="K9" s="150"/>
      <c r="L9" s="157">
        <v>1</v>
      </c>
    </row>
    <row r="10" spans="1:26" ht="19" customHeight="1">
      <c r="A10" s="285"/>
      <c r="B10" s="289"/>
      <c r="C10" s="294"/>
      <c r="D10" s="294"/>
      <c r="E10" s="283" t="s">
        <v>170</v>
      </c>
      <c r="F10" s="283"/>
      <c r="G10" s="283"/>
      <c r="H10" s="283"/>
      <c r="I10" s="152"/>
      <c r="J10" s="153"/>
      <c r="K10" s="154"/>
      <c r="L10" s="155">
        <f>SUM(L8:L9)</f>
        <v>6</v>
      </c>
    </row>
    <row r="11" spans="1:26" ht="22.5" customHeight="1">
      <c r="A11" s="285"/>
      <c r="B11" s="289"/>
      <c r="C11" s="294"/>
      <c r="D11" s="294"/>
      <c r="E11" s="150" t="s">
        <v>171</v>
      </c>
      <c r="F11" s="146" t="s">
        <v>180</v>
      </c>
      <c r="G11" s="146">
        <v>1</v>
      </c>
      <c r="H11" s="159" t="s">
        <v>276</v>
      </c>
      <c r="I11" s="148" t="s">
        <v>277</v>
      </c>
      <c r="J11" s="156"/>
      <c r="K11" s="150"/>
      <c r="L11" s="157">
        <v>5</v>
      </c>
    </row>
  </sheetData>
  <mergeCells count="14">
    <mergeCell ref="E5:H5"/>
    <mergeCell ref="E10:H10"/>
    <mergeCell ref="A2:A7"/>
    <mergeCell ref="A8:A11"/>
    <mergeCell ref="B2:B7"/>
    <mergeCell ref="B8:B11"/>
    <mergeCell ref="C2:C7"/>
    <mergeCell ref="C8:C11"/>
    <mergeCell ref="D2:D7"/>
    <mergeCell ref="D8:D11"/>
    <mergeCell ref="E2:E4"/>
    <mergeCell ref="E6:E7"/>
    <mergeCell ref="E8:E9"/>
    <mergeCell ref="F8:F9"/>
  </mergeCells>
  <phoneticPr fontId="34"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L45"/>
  <sheetViews>
    <sheetView topLeftCell="A16" workbookViewId="0">
      <selection activeCell="H31" sqref="H31"/>
    </sheetView>
  </sheetViews>
  <sheetFormatPr baseColWidth="10" defaultColWidth="26.83203125" defaultRowHeight="13"/>
  <cols>
    <col min="1" max="1" width="26.6640625" style="100" customWidth="1"/>
    <col min="2" max="3" width="8.5" style="100" customWidth="1"/>
    <col min="4" max="4" width="12.5" style="100" customWidth="1"/>
    <col min="5" max="5" width="9.33203125" style="100" customWidth="1"/>
    <col min="6" max="6" width="8.5" style="100" customWidth="1"/>
    <col min="7" max="7" width="4.83203125" style="100" customWidth="1"/>
    <col min="8" max="8" width="70.6640625" style="100" customWidth="1"/>
    <col min="9" max="9" width="22.1640625" style="100" customWidth="1"/>
    <col min="10" max="10" width="6.6640625" style="100" customWidth="1"/>
    <col min="11" max="11" width="14.5" style="100" customWidth="1"/>
    <col min="12" max="12" width="14.5" style="101" customWidth="1"/>
    <col min="13" max="16384" width="26.83203125" style="100"/>
  </cols>
  <sheetData>
    <row r="1" spans="1:12" ht="17">
      <c r="A1" s="102" t="s">
        <v>151</v>
      </c>
      <c r="B1" s="103" t="s">
        <v>6</v>
      </c>
      <c r="C1" s="104" t="s">
        <v>152</v>
      </c>
      <c r="D1" s="104" t="s">
        <v>153</v>
      </c>
      <c r="E1" s="103" t="s">
        <v>154</v>
      </c>
      <c r="F1" s="104" t="s">
        <v>155</v>
      </c>
      <c r="G1" s="104" t="s">
        <v>1</v>
      </c>
      <c r="H1" s="105" t="s">
        <v>156</v>
      </c>
      <c r="I1" s="104" t="s">
        <v>157</v>
      </c>
      <c r="J1" s="106" t="s">
        <v>158</v>
      </c>
      <c r="K1" s="104" t="s">
        <v>159</v>
      </c>
      <c r="L1" s="107" t="s">
        <v>160</v>
      </c>
    </row>
    <row r="2" spans="1:12" ht="15">
      <c r="A2" s="385" t="s">
        <v>108</v>
      </c>
      <c r="B2" s="388" t="s">
        <v>109</v>
      </c>
      <c r="C2" s="391" t="s">
        <v>24</v>
      </c>
      <c r="D2" s="391"/>
      <c r="E2" s="394" t="s">
        <v>173</v>
      </c>
      <c r="F2" s="391" t="s">
        <v>53</v>
      </c>
      <c r="G2" s="103">
        <v>1</v>
      </c>
      <c r="H2" s="109" t="s">
        <v>279</v>
      </c>
      <c r="I2" s="110" t="s">
        <v>109</v>
      </c>
      <c r="J2" s="106">
        <v>1</v>
      </c>
      <c r="K2" s="104"/>
      <c r="L2" s="107">
        <v>2</v>
      </c>
    </row>
    <row r="3" spans="1:12" ht="14">
      <c r="A3" s="386"/>
      <c r="B3" s="389"/>
      <c r="C3" s="392"/>
      <c r="D3" s="392"/>
      <c r="E3" s="395"/>
      <c r="F3" s="392"/>
      <c r="G3" s="103">
        <v>2</v>
      </c>
      <c r="H3" s="111"/>
      <c r="I3" s="112"/>
      <c r="J3" s="106"/>
      <c r="K3" s="108"/>
      <c r="L3" s="113"/>
    </row>
    <row r="4" spans="1:12" ht="14">
      <c r="A4" s="386"/>
      <c r="B4" s="389"/>
      <c r="C4" s="392"/>
      <c r="D4" s="392"/>
      <c r="E4" s="395"/>
      <c r="F4" s="393"/>
      <c r="G4" s="114">
        <v>3</v>
      </c>
      <c r="H4" s="111"/>
      <c r="I4" s="112"/>
      <c r="J4" s="106"/>
      <c r="K4" s="108"/>
      <c r="L4" s="113"/>
    </row>
    <row r="5" spans="1:12" ht="15">
      <c r="A5" s="386"/>
      <c r="B5" s="389"/>
      <c r="C5" s="392"/>
      <c r="D5" s="392"/>
      <c r="E5" s="395"/>
      <c r="F5" s="391" t="s">
        <v>280</v>
      </c>
      <c r="G5" s="114">
        <v>1</v>
      </c>
      <c r="H5" s="109" t="s">
        <v>281</v>
      </c>
      <c r="I5" s="110" t="s">
        <v>112</v>
      </c>
      <c r="J5" s="106">
        <v>1</v>
      </c>
      <c r="K5" s="104"/>
      <c r="L5" s="107">
        <v>1.5</v>
      </c>
    </row>
    <row r="6" spans="1:12" ht="15">
      <c r="A6" s="386"/>
      <c r="B6" s="389"/>
      <c r="C6" s="392"/>
      <c r="D6" s="392"/>
      <c r="E6" s="396"/>
      <c r="F6" s="393"/>
      <c r="G6" s="114">
        <v>2</v>
      </c>
      <c r="H6" s="109" t="s">
        <v>282</v>
      </c>
      <c r="I6" s="110" t="s">
        <v>112</v>
      </c>
      <c r="J6" s="106">
        <v>0.8</v>
      </c>
      <c r="K6" s="104"/>
      <c r="L6" s="107">
        <v>2</v>
      </c>
    </row>
    <row r="7" spans="1:12">
      <c r="A7" s="386"/>
      <c r="B7" s="389"/>
      <c r="C7" s="392"/>
      <c r="D7" s="392"/>
      <c r="E7" s="382" t="s">
        <v>170</v>
      </c>
      <c r="F7" s="383"/>
      <c r="G7" s="383"/>
      <c r="H7" s="384"/>
      <c r="I7" s="115"/>
      <c r="J7" s="116"/>
      <c r="K7" s="117"/>
      <c r="L7" s="118">
        <v>5.5</v>
      </c>
    </row>
    <row r="8" spans="1:12" ht="14">
      <c r="A8" s="387"/>
      <c r="B8" s="390"/>
      <c r="C8" s="393"/>
      <c r="D8" s="393"/>
      <c r="E8" s="103" t="s">
        <v>171</v>
      </c>
      <c r="F8" s="103" t="s">
        <v>53</v>
      </c>
      <c r="G8" s="103">
        <v>1</v>
      </c>
      <c r="H8" s="119"/>
      <c r="I8" s="110"/>
      <c r="J8" s="120"/>
      <c r="K8" s="103"/>
      <c r="L8" s="107"/>
    </row>
    <row r="9" spans="1:12" ht="105">
      <c r="A9" s="385" t="s">
        <v>283</v>
      </c>
      <c r="B9" s="388"/>
      <c r="C9" s="391">
        <v>85</v>
      </c>
      <c r="D9" s="391"/>
      <c r="E9" s="394" t="s">
        <v>173</v>
      </c>
      <c r="F9" s="391" t="s">
        <v>53</v>
      </c>
      <c r="G9" s="103">
        <v>1</v>
      </c>
      <c r="H9" s="109" t="s">
        <v>284</v>
      </c>
      <c r="I9" s="110" t="s">
        <v>285</v>
      </c>
      <c r="J9" s="106">
        <v>1</v>
      </c>
      <c r="K9" s="104"/>
      <c r="L9" s="107">
        <v>5</v>
      </c>
    </row>
    <row r="10" spans="1:12" ht="90">
      <c r="A10" s="386"/>
      <c r="B10" s="389"/>
      <c r="C10" s="392"/>
      <c r="D10" s="392"/>
      <c r="E10" s="395"/>
      <c r="F10" s="392"/>
      <c r="G10" s="103">
        <v>2</v>
      </c>
      <c r="H10" s="121" t="s">
        <v>286</v>
      </c>
      <c r="I10" s="110" t="s">
        <v>287</v>
      </c>
      <c r="J10" s="106">
        <v>1</v>
      </c>
      <c r="K10" s="108"/>
      <c r="L10" s="113">
        <v>5</v>
      </c>
    </row>
    <row r="11" spans="1:12" ht="90">
      <c r="A11" s="386"/>
      <c r="B11" s="389"/>
      <c r="C11" s="392"/>
      <c r="D11" s="392"/>
      <c r="E11" s="395"/>
      <c r="F11" s="392"/>
      <c r="G11" s="103">
        <v>3</v>
      </c>
      <c r="H11" s="109" t="s">
        <v>288</v>
      </c>
      <c r="I11" s="122" t="s">
        <v>289</v>
      </c>
      <c r="J11" s="106">
        <v>1</v>
      </c>
      <c r="K11" s="106"/>
      <c r="L11" s="107">
        <v>4.5</v>
      </c>
    </row>
    <row r="12" spans="1:12" ht="14">
      <c r="A12" s="386"/>
      <c r="B12" s="389"/>
      <c r="C12" s="392"/>
      <c r="D12" s="392"/>
      <c r="E12" s="395"/>
      <c r="F12" s="392"/>
      <c r="G12" s="103">
        <v>4</v>
      </c>
      <c r="H12" s="119"/>
      <c r="I12" s="123"/>
      <c r="J12" s="106"/>
      <c r="K12" s="104"/>
      <c r="L12" s="107"/>
    </row>
    <row r="13" spans="1:12" ht="14">
      <c r="A13" s="386"/>
      <c r="B13" s="389"/>
      <c r="C13" s="392"/>
      <c r="D13" s="392"/>
      <c r="E13" s="395"/>
      <c r="F13" s="392"/>
      <c r="G13" s="114">
        <v>5</v>
      </c>
      <c r="H13" s="124"/>
      <c r="I13" s="122"/>
      <c r="J13" s="106"/>
      <c r="K13" s="125"/>
      <c r="L13" s="107"/>
    </row>
    <row r="14" spans="1:12" ht="14">
      <c r="A14" s="386"/>
      <c r="B14" s="389"/>
      <c r="C14" s="392"/>
      <c r="D14" s="392"/>
      <c r="E14" s="395"/>
      <c r="F14" s="392"/>
      <c r="G14" s="114">
        <v>6</v>
      </c>
      <c r="H14" s="126"/>
      <c r="I14" s="127"/>
      <c r="J14" s="106"/>
      <c r="K14" s="104"/>
      <c r="L14" s="107"/>
    </row>
    <row r="15" spans="1:12" ht="14">
      <c r="A15" s="386"/>
      <c r="B15" s="389"/>
      <c r="C15" s="392"/>
      <c r="D15" s="392"/>
      <c r="E15" s="395"/>
      <c r="F15" s="393"/>
      <c r="G15" s="103">
        <v>7</v>
      </c>
      <c r="H15" s="128"/>
      <c r="I15" s="122"/>
      <c r="J15" s="106"/>
      <c r="K15" s="104"/>
      <c r="L15" s="107"/>
    </row>
    <row r="16" spans="1:12" ht="42">
      <c r="A16" s="386"/>
      <c r="B16" s="389"/>
      <c r="C16" s="392"/>
      <c r="D16" s="392"/>
      <c r="E16" s="395"/>
      <c r="F16" s="394" t="s">
        <v>280</v>
      </c>
      <c r="G16" s="103">
        <v>1</v>
      </c>
      <c r="H16" s="105" t="s">
        <v>290</v>
      </c>
      <c r="I16" s="103" t="s">
        <v>291</v>
      </c>
      <c r="J16" s="129">
        <v>1</v>
      </c>
      <c r="K16" s="130"/>
      <c r="L16" s="131">
        <v>3.5</v>
      </c>
    </row>
    <row r="17" spans="1:12" ht="15">
      <c r="A17" s="386"/>
      <c r="B17" s="389"/>
      <c r="C17" s="392"/>
      <c r="D17" s="392"/>
      <c r="E17" s="395"/>
      <c r="F17" s="395"/>
      <c r="G17" s="103"/>
      <c r="H17" s="109" t="s">
        <v>292</v>
      </c>
      <c r="I17" s="103" t="s">
        <v>291</v>
      </c>
      <c r="J17" s="106">
        <v>0.2</v>
      </c>
      <c r="K17" s="106"/>
      <c r="L17" s="107">
        <v>1.5</v>
      </c>
    </row>
    <row r="18" spans="1:12" ht="15">
      <c r="A18" s="386"/>
      <c r="B18" s="389"/>
      <c r="C18" s="392"/>
      <c r="D18" s="392"/>
      <c r="E18" s="396"/>
      <c r="F18" s="396"/>
      <c r="G18" s="103">
        <v>2</v>
      </c>
      <c r="H18" s="109" t="s">
        <v>293</v>
      </c>
      <c r="I18" s="103" t="s">
        <v>112</v>
      </c>
      <c r="J18" s="106">
        <v>1</v>
      </c>
      <c r="K18" s="106"/>
      <c r="L18" s="107">
        <v>0.5</v>
      </c>
    </row>
    <row r="19" spans="1:12">
      <c r="A19" s="386"/>
      <c r="B19" s="389"/>
      <c r="C19" s="392"/>
      <c r="D19" s="392"/>
      <c r="E19" s="382" t="s">
        <v>170</v>
      </c>
      <c r="F19" s="383"/>
      <c r="G19" s="383"/>
      <c r="H19" s="384"/>
      <c r="I19" s="132"/>
      <c r="J19" s="133"/>
      <c r="K19" s="134"/>
      <c r="L19" s="135">
        <v>20</v>
      </c>
    </row>
    <row r="20" spans="1:12" ht="14">
      <c r="A20" s="387"/>
      <c r="B20" s="390"/>
      <c r="C20" s="393"/>
      <c r="D20" s="393"/>
      <c r="E20" s="103" t="s">
        <v>171</v>
      </c>
      <c r="F20" s="103" t="s">
        <v>53</v>
      </c>
      <c r="G20" s="103">
        <v>1</v>
      </c>
      <c r="H20" s="119"/>
      <c r="I20" s="110"/>
      <c r="J20" s="120"/>
      <c r="K20" s="103"/>
      <c r="L20" s="107"/>
    </row>
    <row r="21" spans="1:12" ht="15">
      <c r="A21" s="385" t="s">
        <v>294</v>
      </c>
      <c r="B21" s="388" t="s">
        <v>109</v>
      </c>
      <c r="C21" s="391">
        <v>50</v>
      </c>
      <c r="D21" s="391"/>
      <c r="E21" s="394" t="s">
        <v>173</v>
      </c>
      <c r="F21" s="391" t="s">
        <v>53</v>
      </c>
      <c r="G21" s="103">
        <v>1</v>
      </c>
      <c r="H21" s="109" t="s">
        <v>295</v>
      </c>
      <c r="I21" s="110" t="s">
        <v>109</v>
      </c>
      <c r="J21" s="106">
        <v>1</v>
      </c>
      <c r="K21" s="104"/>
      <c r="L21" s="107">
        <v>1</v>
      </c>
    </row>
    <row r="22" spans="1:12" ht="15">
      <c r="A22" s="386"/>
      <c r="B22" s="389"/>
      <c r="C22" s="392"/>
      <c r="D22" s="392"/>
      <c r="E22" s="395"/>
      <c r="F22" s="392"/>
      <c r="G22" s="103">
        <v>2</v>
      </c>
      <c r="H22" s="121" t="s">
        <v>296</v>
      </c>
      <c r="I22" s="110" t="s">
        <v>109</v>
      </c>
      <c r="J22" s="106">
        <v>1</v>
      </c>
      <c r="K22" s="104"/>
      <c r="L22" s="107">
        <v>0.5</v>
      </c>
    </row>
    <row r="23" spans="1:12" ht="15">
      <c r="A23" s="386"/>
      <c r="B23" s="389"/>
      <c r="C23" s="392"/>
      <c r="D23" s="392"/>
      <c r="E23" s="395"/>
      <c r="F23" s="392"/>
      <c r="G23" s="103">
        <v>3</v>
      </c>
      <c r="H23" s="109" t="s">
        <v>297</v>
      </c>
      <c r="I23" s="110" t="s">
        <v>109</v>
      </c>
      <c r="J23" s="106">
        <v>1</v>
      </c>
      <c r="K23" s="106"/>
      <c r="L23" s="107">
        <v>1.5</v>
      </c>
    </row>
    <row r="24" spans="1:12" ht="30">
      <c r="A24" s="386"/>
      <c r="B24" s="389"/>
      <c r="C24" s="392"/>
      <c r="D24" s="392"/>
      <c r="E24" s="395"/>
      <c r="F24" s="392"/>
      <c r="G24" s="103">
        <v>4</v>
      </c>
      <c r="H24" s="109" t="s">
        <v>298</v>
      </c>
      <c r="I24" s="110" t="s">
        <v>33</v>
      </c>
      <c r="J24" s="106">
        <v>1</v>
      </c>
      <c r="K24" s="106"/>
      <c r="L24" s="107">
        <v>0.5</v>
      </c>
    </row>
    <row r="25" spans="1:12" ht="14">
      <c r="A25" s="386"/>
      <c r="B25" s="389"/>
      <c r="C25" s="392"/>
      <c r="D25" s="392"/>
      <c r="E25" s="395"/>
      <c r="F25" s="392"/>
      <c r="G25" s="103">
        <v>5</v>
      </c>
      <c r="H25" s="119"/>
      <c r="I25" s="110"/>
      <c r="J25" s="106"/>
      <c r="K25" s="104"/>
      <c r="L25" s="107"/>
    </row>
    <row r="26" spans="1:12" ht="14">
      <c r="A26" s="386"/>
      <c r="B26" s="389"/>
      <c r="C26" s="392"/>
      <c r="D26" s="392"/>
      <c r="E26" s="395"/>
      <c r="F26" s="392"/>
      <c r="G26" s="103">
        <v>6</v>
      </c>
      <c r="H26" s="119"/>
      <c r="I26" s="110"/>
      <c r="J26" s="106"/>
      <c r="K26" s="104"/>
      <c r="L26" s="107"/>
    </row>
    <row r="27" spans="1:12" ht="14">
      <c r="A27" s="386"/>
      <c r="B27" s="389"/>
      <c r="C27" s="392"/>
      <c r="D27" s="392"/>
      <c r="E27" s="395"/>
      <c r="F27" s="392"/>
      <c r="G27" s="103">
        <v>7</v>
      </c>
      <c r="H27" s="119"/>
      <c r="I27" s="110"/>
      <c r="J27" s="106"/>
      <c r="K27" s="104"/>
      <c r="L27" s="107"/>
    </row>
    <row r="28" spans="1:12" ht="14">
      <c r="A28" s="386"/>
      <c r="B28" s="389"/>
      <c r="C28" s="392"/>
      <c r="D28" s="392"/>
      <c r="E28" s="396"/>
      <c r="F28" s="393"/>
      <c r="G28" s="103">
        <v>8</v>
      </c>
      <c r="H28" s="119"/>
      <c r="I28" s="110"/>
      <c r="J28" s="106"/>
      <c r="K28" s="104"/>
      <c r="L28" s="107"/>
    </row>
    <row r="29" spans="1:12">
      <c r="A29" s="386"/>
      <c r="B29" s="389"/>
      <c r="C29" s="392"/>
      <c r="D29" s="392"/>
      <c r="E29" s="382" t="s">
        <v>170</v>
      </c>
      <c r="F29" s="383"/>
      <c r="G29" s="383"/>
      <c r="H29" s="384"/>
      <c r="I29" s="132"/>
      <c r="J29" s="133"/>
      <c r="K29" s="134"/>
      <c r="L29" s="135">
        <v>3.5</v>
      </c>
    </row>
    <row r="30" spans="1:12" ht="14">
      <c r="A30" s="387"/>
      <c r="B30" s="390"/>
      <c r="C30" s="393"/>
      <c r="D30" s="393"/>
      <c r="E30" s="103" t="s">
        <v>171</v>
      </c>
      <c r="F30" s="103" t="s">
        <v>53</v>
      </c>
      <c r="G30" s="103">
        <v>1</v>
      </c>
      <c r="H30" s="119"/>
      <c r="I30" s="110"/>
      <c r="J30" s="120"/>
      <c r="K30" s="103"/>
      <c r="L30" s="107"/>
    </row>
    <row r="31" spans="1:12" ht="75">
      <c r="A31" s="385" t="s">
        <v>161</v>
      </c>
      <c r="B31" s="388" t="s">
        <v>23</v>
      </c>
      <c r="C31" s="391" t="s">
        <v>24</v>
      </c>
      <c r="D31" s="391"/>
      <c r="E31" s="394" t="s">
        <v>173</v>
      </c>
      <c r="F31" s="391" t="s">
        <v>53</v>
      </c>
      <c r="G31" s="103">
        <v>1</v>
      </c>
      <c r="H31" s="109" t="s">
        <v>299</v>
      </c>
      <c r="I31" s="110" t="s">
        <v>106</v>
      </c>
      <c r="J31" s="106">
        <v>1</v>
      </c>
      <c r="K31" s="104"/>
      <c r="L31" s="107">
        <v>5</v>
      </c>
    </row>
    <row r="32" spans="1:12" ht="60">
      <c r="A32" s="386"/>
      <c r="B32" s="389"/>
      <c r="C32" s="392"/>
      <c r="D32" s="392"/>
      <c r="E32" s="395"/>
      <c r="F32" s="392"/>
      <c r="G32" s="103">
        <v>2</v>
      </c>
      <c r="H32" s="121" t="s">
        <v>300</v>
      </c>
      <c r="I32" s="110" t="s">
        <v>301</v>
      </c>
      <c r="J32" s="106">
        <v>1</v>
      </c>
      <c r="K32" s="104"/>
      <c r="L32" s="107">
        <v>5</v>
      </c>
    </row>
    <row r="33" spans="1:12" ht="14">
      <c r="A33" s="386"/>
      <c r="B33" s="389"/>
      <c r="C33" s="392"/>
      <c r="D33" s="392"/>
      <c r="E33" s="395"/>
      <c r="F33" s="393"/>
      <c r="G33" s="103">
        <v>3</v>
      </c>
      <c r="H33" s="119"/>
      <c r="I33" s="110"/>
      <c r="J33" s="106"/>
      <c r="K33" s="106"/>
      <c r="L33" s="107"/>
    </row>
    <row r="34" spans="1:12" ht="14">
      <c r="A34" s="386"/>
      <c r="B34" s="389"/>
      <c r="C34" s="392"/>
      <c r="D34" s="392"/>
      <c r="E34" s="395"/>
      <c r="F34" s="108"/>
      <c r="G34" s="103">
        <v>4</v>
      </c>
      <c r="H34" s="119"/>
      <c r="I34" s="110"/>
      <c r="J34" s="106"/>
      <c r="K34" s="106"/>
      <c r="L34" s="107"/>
    </row>
    <row r="35" spans="1:12" ht="15">
      <c r="A35" s="386"/>
      <c r="B35" s="389"/>
      <c r="C35" s="392"/>
      <c r="D35" s="392"/>
      <c r="E35" s="395"/>
      <c r="F35" s="394" t="s">
        <v>280</v>
      </c>
      <c r="G35" s="103">
        <v>5</v>
      </c>
      <c r="H35" s="109" t="s">
        <v>302</v>
      </c>
      <c r="I35" s="110" t="s">
        <v>112</v>
      </c>
      <c r="J35" s="106">
        <v>1</v>
      </c>
      <c r="K35" s="106"/>
      <c r="L35" s="107">
        <v>1</v>
      </c>
    </row>
    <row r="36" spans="1:12" ht="14">
      <c r="A36" s="386"/>
      <c r="B36" s="389"/>
      <c r="C36" s="392"/>
      <c r="D36" s="392"/>
      <c r="E36" s="396"/>
      <c r="F36" s="396"/>
      <c r="G36" s="103">
        <v>6</v>
      </c>
      <c r="H36" s="119"/>
      <c r="I36" s="110"/>
      <c r="J36" s="106"/>
      <c r="K36" s="104"/>
      <c r="L36" s="107"/>
    </row>
    <row r="37" spans="1:12">
      <c r="A37" s="386"/>
      <c r="B37" s="389"/>
      <c r="C37" s="392"/>
      <c r="D37" s="392"/>
      <c r="E37" s="382" t="s">
        <v>170</v>
      </c>
      <c r="F37" s="383"/>
      <c r="G37" s="383"/>
      <c r="H37" s="384"/>
      <c r="I37" s="132"/>
      <c r="J37" s="133"/>
      <c r="K37" s="134"/>
      <c r="L37" s="135">
        <v>11</v>
      </c>
    </row>
    <row r="38" spans="1:12" ht="14">
      <c r="A38" s="387"/>
      <c r="B38" s="390"/>
      <c r="C38" s="393"/>
      <c r="D38" s="393"/>
      <c r="E38" s="103" t="s">
        <v>171</v>
      </c>
      <c r="F38" s="103" t="s">
        <v>53</v>
      </c>
      <c r="G38" s="103">
        <v>1</v>
      </c>
      <c r="H38" s="119"/>
      <c r="I38" s="110"/>
      <c r="J38" s="120"/>
      <c r="K38" s="103"/>
      <c r="L38" s="107"/>
    </row>
    <row r="39" spans="1:12" ht="60">
      <c r="A39" s="385" t="s">
        <v>264</v>
      </c>
      <c r="B39" s="388" t="s">
        <v>70</v>
      </c>
      <c r="C39" s="391" t="s">
        <v>24</v>
      </c>
      <c r="D39" s="391"/>
      <c r="E39" s="394" t="s">
        <v>173</v>
      </c>
      <c r="F39" s="391" t="s">
        <v>280</v>
      </c>
      <c r="G39" s="103">
        <v>1</v>
      </c>
      <c r="H39" s="109" t="s">
        <v>303</v>
      </c>
      <c r="I39" s="110" t="s">
        <v>33</v>
      </c>
      <c r="J39" s="106">
        <v>1</v>
      </c>
      <c r="K39" s="104"/>
      <c r="L39" s="107">
        <v>3.25</v>
      </c>
    </row>
    <row r="40" spans="1:12" ht="14">
      <c r="A40" s="386"/>
      <c r="B40" s="389"/>
      <c r="C40" s="392"/>
      <c r="D40" s="392"/>
      <c r="E40" s="395"/>
      <c r="F40" s="392"/>
      <c r="G40" s="103">
        <v>2</v>
      </c>
      <c r="H40" s="136"/>
      <c r="I40" s="110"/>
      <c r="J40" s="106"/>
      <c r="K40" s="104"/>
      <c r="L40" s="107"/>
    </row>
    <row r="41" spans="1:12" ht="14">
      <c r="A41" s="386"/>
      <c r="B41" s="389"/>
      <c r="C41" s="392"/>
      <c r="D41" s="392"/>
      <c r="E41" s="395"/>
      <c r="F41" s="392"/>
      <c r="G41" s="103">
        <v>3</v>
      </c>
      <c r="H41" s="136"/>
      <c r="I41" s="110"/>
      <c r="J41" s="106"/>
      <c r="K41" s="104"/>
      <c r="L41" s="107"/>
    </row>
    <row r="42" spans="1:12" ht="14">
      <c r="A42" s="386"/>
      <c r="B42" s="389"/>
      <c r="C42" s="392"/>
      <c r="D42" s="392"/>
      <c r="E42" s="395"/>
      <c r="F42" s="392"/>
      <c r="G42" s="103">
        <v>4</v>
      </c>
      <c r="H42" s="136"/>
      <c r="I42" s="110"/>
      <c r="J42" s="106"/>
      <c r="K42" s="104"/>
      <c r="L42" s="107"/>
    </row>
    <row r="43" spans="1:12" ht="14">
      <c r="A43" s="386"/>
      <c r="B43" s="389"/>
      <c r="C43" s="392"/>
      <c r="D43" s="392"/>
      <c r="E43" s="396"/>
      <c r="F43" s="393"/>
      <c r="G43" s="103">
        <v>5</v>
      </c>
      <c r="H43" s="119"/>
      <c r="I43" s="110"/>
      <c r="J43" s="106"/>
      <c r="K43" s="106"/>
      <c r="L43" s="107"/>
    </row>
    <row r="44" spans="1:12">
      <c r="A44" s="386"/>
      <c r="B44" s="389"/>
      <c r="C44" s="392"/>
      <c r="D44" s="392"/>
      <c r="E44" s="382" t="s">
        <v>170</v>
      </c>
      <c r="F44" s="383"/>
      <c r="G44" s="383"/>
      <c r="H44" s="384"/>
      <c r="I44" s="132"/>
      <c r="J44" s="133"/>
      <c r="K44" s="134"/>
      <c r="L44" s="135">
        <v>3.25</v>
      </c>
    </row>
    <row r="45" spans="1:12" ht="14">
      <c r="A45" s="387"/>
      <c r="B45" s="390"/>
      <c r="C45" s="393"/>
      <c r="D45" s="393"/>
      <c r="E45" s="103" t="s">
        <v>171</v>
      </c>
      <c r="F45" s="103" t="s">
        <v>53</v>
      </c>
      <c r="G45" s="103">
        <v>1</v>
      </c>
      <c r="H45" s="119"/>
      <c r="I45" s="110"/>
      <c r="J45" s="120"/>
      <c r="K45" s="103"/>
      <c r="L45" s="107"/>
    </row>
  </sheetData>
  <mergeCells count="38">
    <mergeCell ref="F2:F4"/>
    <mergeCell ref="F5:F6"/>
    <mergeCell ref="F9:F15"/>
    <mergeCell ref="F16:F18"/>
    <mergeCell ref="F21:F28"/>
    <mergeCell ref="E2:E6"/>
    <mergeCell ref="E9:E18"/>
    <mergeCell ref="E21:E28"/>
    <mergeCell ref="E31:E36"/>
    <mergeCell ref="E39:E43"/>
    <mergeCell ref="D2:D8"/>
    <mergeCell ref="D9:D20"/>
    <mergeCell ref="D21:D30"/>
    <mergeCell ref="D31:D38"/>
    <mergeCell ref="D39:D45"/>
    <mergeCell ref="C2:C8"/>
    <mergeCell ref="C9:C20"/>
    <mergeCell ref="C21:C30"/>
    <mergeCell ref="C31:C38"/>
    <mergeCell ref="C39:C45"/>
    <mergeCell ref="B2:B8"/>
    <mergeCell ref="B9:B20"/>
    <mergeCell ref="B21:B30"/>
    <mergeCell ref="B31:B38"/>
    <mergeCell ref="B39:B45"/>
    <mergeCell ref="A2:A8"/>
    <mergeCell ref="A9:A20"/>
    <mergeCell ref="A21:A30"/>
    <mergeCell ref="A31:A38"/>
    <mergeCell ref="A39:A45"/>
    <mergeCell ref="E7:H7"/>
    <mergeCell ref="E19:H19"/>
    <mergeCell ref="E29:H29"/>
    <mergeCell ref="E37:H37"/>
    <mergeCell ref="E44:H44"/>
    <mergeCell ref="F31:F33"/>
    <mergeCell ref="F35:F36"/>
    <mergeCell ref="F39:F43"/>
  </mergeCells>
  <phoneticPr fontId="34"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Z96"/>
  <sheetViews>
    <sheetView workbookViewId="0">
      <pane ySplit="1" topLeftCell="A69" activePane="bottomLeft" state="frozen"/>
      <selection pane="bottomLeft" activeCell="D2" sqref="D2:D16"/>
    </sheetView>
  </sheetViews>
  <sheetFormatPr baseColWidth="10" defaultColWidth="9.1640625" defaultRowHeight="15"/>
  <cols>
    <col min="1" max="1" width="22.5" style="1" customWidth="1"/>
    <col min="2" max="2" width="11.6640625" style="1" customWidth="1"/>
    <col min="3" max="7" width="9.1640625" style="1"/>
    <col min="8" max="8" width="59.6640625" style="1" customWidth="1"/>
    <col min="9" max="9" width="17.5" style="1" customWidth="1"/>
    <col min="10" max="11" width="9.1640625" style="1"/>
    <col min="12" max="12" width="19.5" style="2" customWidth="1"/>
    <col min="13" max="26" width="9.1640625" style="1"/>
    <col min="27" max="16384" width="9.1640625" style="41"/>
  </cols>
  <sheetData>
    <row r="1" spans="1:26" ht="38">
      <c r="A1" s="3" t="s">
        <v>151</v>
      </c>
      <c r="B1" s="4" t="s">
        <v>6</v>
      </c>
      <c r="C1" s="3" t="s">
        <v>152</v>
      </c>
      <c r="D1" s="3" t="s">
        <v>153</v>
      </c>
      <c r="E1" s="4" t="s">
        <v>154</v>
      </c>
      <c r="F1" s="3" t="s">
        <v>155</v>
      </c>
      <c r="G1" s="3" t="s">
        <v>1</v>
      </c>
      <c r="H1" s="5" t="s">
        <v>156</v>
      </c>
      <c r="I1" s="3" t="s">
        <v>157</v>
      </c>
      <c r="J1" s="6" t="s">
        <v>158</v>
      </c>
      <c r="K1" s="3" t="s">
        <v>159</v>
      </c>
      <c r="L1" s="7" t="s">
        <v>160</v>
      </c>
      <c r="M1" s="8"/>
      <c r="N1" s="8"/>
      <c r="O1" s="8"/>
      <c r="P1" s="8"/>
      <c r="Q1" s="8"/>
      <c r="R1" s="8"/>
      <c r="S1" s="8"/>
      <c r="T1" s="8"/>
      <c r="U1" s="8"/>
      <c r="V1" s="8"/>
      <c r="W1" s="8"/>
      <c r="X1" s="8"/>
      <c r="Y1" s="8"/>
      <c r="Z1" s="8"/>
    </row>
    <row r="2" spans="1:26" ht="17">
      <c r="A2" s="314" t="s">
        <v>304</v>
      </c>
      <c r="B2" s="318" t="s">
        <v>120</v>
      </c>
      <c r="C2" s="331">
        <v>0.92</v>
      </c>
      <c r="D2" s="319"/>
      <c r="E2" s="320" t="s">
        <v>173</v>
      </c>
      <c r="F2" s="324" t="s">
        <v>53</v>
      </c>
      <c r="G2" s="10"/>
      <c r="H2" s="42" t="s">
        <v>305</v>
      </c>
      <c r="I2" s="14" t="s">
        <v>306</v>
      </c>
      <c r="J2" s="15">
        <v>1</v>
      </c>
      <c r="K2" s="36"/>
      <c r="L2" s="43">
        <v>2.5</v>
      </c>
    </row>
    <row r="3" spans="1:26" ht="32">
      <c r="A3" s="314"/>
      <c r="B3" s="318"/>
      <c r="C3" s="319"/>
      <c r="D3" s="319"/>
      <c r="E3" s="320"/>
      <c r="F3" s="326"/>
      <c r="G3" s="44"/>
      <c r="H3" s="45" t="s">
        <v>307</v>
      </c>
      <c r="I3" s="44" t="s">
        <v>308</v>
      </c>
      <c r="J3" s="46">
        <v>1</v>
      </c>
      <c r="K3" s="47"/>
      <c r="L3" s="43">
        <v>0.7</v>
      </c>
    </row>
    <row r="4" spans="1:26" ht="16">
      <c r="A4" s="314"/>
      <c r="B4" s="318"/>
      <c r="C4" s="319"/>
      <c r="D4" s="319"/>
      <c r="E4" s="320"/>
      <c r="F4" s="326"/>
      <c r="G4" s="44"/>
      <c r="H4" s="48"/>
      <c r="I4" s="44"/>
      <c r="J4" s="46"/>
      <c r="K4" s="47"/>
      <c r="L4" s="43"/>
    </row>
    <row r="5" spans="1:26" ht="16">
      <c r="A5" s="314"/>
      <c r="B5" s="318"/>
      <c r="C5" s="319"/>
      <c r="D5" s="319"/>
      <c r="E5" s="320"/>
      <c r="F5" s="326"/>
      <c r="G5" s="49"/>
      <c r="H5" s="50"/>
      <c r="I5" s="51"/>
      <c r="J5" s="52"/>
      <c r="K5" s="53"/>
      <c r="L5" s="54"/>
    </row>
    <row r="6" spans="1:26" ht="20.25" customHeight="1">
      <c r="A6" s="314"/>
      <c r="B6" s="318"/>
      <c r="C6" s="319"/>
      <c r="D6" s="319"/>
      <c r="E6" s="320"/>
      <c r="F6" s="398"/>
      <c r="G6" s="55"/>
      <c r="H6" s="56"/>
      <c r="I6" s="55"/>
      <c r="J6" s="57"/>
      <c r="K6" s="58"/>
      <c r="L6" s="59"/>
    </row>
    <row r="7" spans="1:26" ht="16">
      <c r="A7" s="314"/>
      <c r="B7" s="318"/>
      <c r="C7" s="319"/>
      <c r="D7" s="319"/>
      <c r="E7" s="320"/>
      <c r="F7" s="398"/>
      <c r="G7" s="55"/>
      <c r="H7" s="60"/>
      <c r="I7" s="55"/>
      <c r="J7" s="57"/>
      <c r="K7" s="58"/>
      <c r="L7" s="59"/>
    </row>
    <row r="8" spans="1:26" ht="16">
      <c r="A8" s="314"/>
      <c r="B8" s="318"/>
      <c r="C8" s="319"/>
      <c r="D8" s="319"/>
      <c r="E8" s="320"/>
      <c r="F8" s="398"/>
      <c r="G8" s="55"/>
      <c r="H8" s="56"/>
      <c r="I8" s="61"/>
      <c r="J8" s="57"/>
      <c r="K8" s="58"/>
      <c r="L8" s="59"/>
    </row>
    <row r="9" spans="1:26" ht="16">
      <c r="A9" s="314"/>
      <c r="B9" s="318"/>
      <c r="C9" s="319"/>
      <c r="D9" s="319"/>
      <c r="E9" s="320"/>
      <c r="F9" s="398"/>
      <c r="G9" s="55"/>
      <c r="H9" s="62"/>
      <c r="I9" s="62"/>
      <c r="J9" s="62"/>
      <c r="K9" s="62"/>
      <c r="L9" s="63"/>
    </row>
    <row r="10" spans="1:26" ht="16">
      <c r="A10" s="314"/>
      <c r="B10" s="318"/>
      <c r="C10" s="319"/>
      <c r="D10" s="319"/>
      <c r="E10" s="320"/>
      <c r="F10" s="398"/>
      <c r="G10" s="55"/>
      <c r="H10" s="64"/>
      <c r="I10" s="65"/>
      <c r="J10" s="66"/>
      <c r="K10" s="62"/>
      <c r="L10" s="67"/>
    </row>
    <row r="11" spans="1:26" ht="16">
      <c r="A11" s="314"/>
      <c r="B11" s="318"/>
      <c r="C11" s="319"/>
      <c r="D11" s="319"/>
      <c r="E11" s="320"/>
      <c r="F11" s="398"/>
      <c r="G11" s="55"/>
      <c r="H11" s="68"/>
      <c r="I11" s="69"/>
      <c r="J11" s="70"/>
      <c r="K11" s="71"/>
      <c r="L11" s="72"/>
    </row>
    <row r="12" spans="1:26" ht="153">
      <c r="A12" s="314"/>
      <c r="B12" s="318"/>
      <c r="C12" s="319"/>
      <c r="D12" s="319"/>
      <c r="E12" s="320"/>
      <c r="F12" s="326"/>
      <c r="G12" s="73"/>
      <c r="H12" s="56" t="s">
        <v>309</v>
      </c>
      <c r="I12" s="55" t="s">
        <v>120</v>
      </c>
      <c r="J12" s="57">
        <v>1</v>
      </c>
      <c r="K12" s="58"/>
      <c r="L12" s="59">
        <v>5</v>
      </c>
      <c r="N12" s="74" t="s">
        <v>241</v>
      </c>
    </row>
    <row r="13" spans="1:26" ht="16">
      <c r="A13" s="314"/>
      <c r="B13" s="318"/>
      <c r="C13" s="319"/>
      <c r="D13" s="319"/>
      <c r="E13" s="320"/>
      <c r="F13" s="325"/>
      <c r="G13" s="75"/>
      <c r="H13" s="76"/>
      <c r="I13" s="55"/>
      <c r="J13" s="57"/>
      <c r="K13" s="58"/>
      <c r="L13" s="59"/>
    </row>
    <row r="14" spans="1:26" ht="16">
      <c r="A14" s="314"/>
      <c r="B14" s="318"/>
      <c r="C14" s="319"/>
      <c r="D14" s="319"/>
      <c r="E14" s="313" t="s">
        <v>170</v>
      </c>
      <c r="F14" s="313"/>
      <c r="G14" s="313"/>
      <c r="H14" s="397"/>
      <c r="I14" s="77"/>
      <c r="J14" s="78"/>
      <c r="K14" s="79"/>
      <c r="L14" s="80">
        <f>SUM(L2:L13)</f>
        <v>8.1999999999999993</v>
      </c>
    </row>
    <row r="15" spans="1:26" ht="17">
      <c r="A15" s="314"/>
      <c r="B15" s="318"/>
      <c r="C15" s="319"/>
      <c r="D15" s="319"/>
      <c r="E15" s="320" t="s">
        <v>171</v>
      </c>
      <c r="F15" s="320" t="s">
        <v>53</v>
      </c>
      <c r="G15" s="36">
        <v>1</v>
      </c>
      <c r="H15" s="38"/>
      <c r="I15" s="10"/>
      <c r="J15" s="39"/>
      <c r="K15" s="36"/>
      <c r="L15" s="43"/>
    </row>
    <row r="16" spans="1:26" ht="16">
      <c r="A16" s="314"/>
      <c r="B16" s="318"/>
      <c r="C16" s="319"/>
      <c r="D16" s="319"/>
      <c r="E16" s="320"/>
      <c r="F16" s="320"/>
      <c r="G16" s="36">
        <v>2</v>
      </c>
      <c r="H16" s="13"/>
      <c r="I16" s="36"/>
      <c r="J16" s="39"/>
      <c r="K16" s="36"/>
      <c r="L16" s="43"/>
    </row>
    <row r="17" spans="1:12" ht="68">
      <c r="A17" s="314" t="s">
        <v>310</v>
      </c>
      <c r="B17" s="318" t="s">
        <v>124</v>
      </c>
      <c r="C17" s="331">
        <v>0.96</v>
      </c>
      <c r="D17" s="319"/>
      <c r="E17" s="320" t="s">
        <v>173</v>
      </c>
      <c r="F17" s="319" t="s">
        <v>53</v>
      </c>
      <c r="G17" s="10">
        <v>1</v>
      </c>
      <c r="H17" s="13" t="s">
        <v>311</v>
      </c>
      <c r="I17" s="14" t="s">
        <v>306</v>
      </c>
      <c r="J17" s="15">
        <v>1</v>
      </c>
      <c r="K17" s="10"/>
      <c r="L17" s="43">
        <v>2.5</v>
      </c>
    </row>
    <row r="18" spans="1:12" ht="17">
      <c r="A18" s="314"/>
      <c r="B18" s="318"/>
      <c r="C18" s="319"/>
      <c r="D18" s="319"/>
      <c r="E18" s="320"/>
      <c r="F18" s="319"/>
      <c r="G18" s="10">
        <v>2</v>
      </c>
      <c r="H18" s="13" t="s">
        <v>312</v>
      </c>
      <c r="I18" s="14" t="s">
        <v>308</v>
      </c>
      <c r="J18" s="15">
        <v>1</v>
      </c>
      <c r="K18" s="10"/>
      <c r="L18" s="43">
        <v>1.2</v>
      </c>
    </row>
    <row r="19" spans="1:12" ht="16">
      <c r="A19" s="314"/>
      <c r="B19" s="318"/>
      <c r="C19" s="319"/>
      <c r="D19" s="319"/>
      <c r="E19" s="320"/>
      <c r="F19" s="319"/>
      <c r="G19" s="10">
        <v>3</v>
      </c>
      <c r="H19" s="13"/>
      <c r="I19" s="14"/>
      <c r="J19" s="15"/>
      <c r="K19" s="10"/>
      <c r="L19" s="43"/>
    </row>
    <row r="20" spans="1:12" ht="16">
      <c r="A20" s="314"/>
      <c r="B20" s="318"/>
      <c r="C20" s="319"/>
      <c r="D20" s="319"/>
      <c r="E20" s="320"/>
      <c r="F20" s="319"/>
      <c r="G20" s="10">
        <v>4</v>
      </c>
      <c r="H20" s="13"/>
      <c r="I20" s="14"/>
      <c r="J20" s="15"/>
      <c r="K20" s="10"/>
      <c r="L20" s="43"/>
    </row>
    <row r="21" spans="1:12" ht="16">
      <c r="A21" s="314"/>
      <c r="B21" s="318"/>
      <c r="C21" s="319"/>
      <c r="D21" s="319"/>
      <c r="E21" s="320"/>
      <c r="F21" s="319"/>
      <c r="G21" s="10">
        <v>5</v>
      </c>
      <c r="H21" s="13"/>
      <c r="I21" s="14"/>
      <c r="J21" s="15"/>
      <c r="K21" s="10"/>
      <c r="L21" s="43"/>
    </row>
    <row r="22" spans="1:12" ht="16">
      <c r="A22" s="314"/>
      <c r="B22" s="318"/>
      <c r="C22" s="319"/>
      <c r="D22" s="319"/>
      <c r="E22" s="320"/>
      <c r="F22" s="319"/>
      <c r="G22" s="10">
        <v>6</v>
      </c>
      <c r="H22" s="17"/>
      <c r="I22" s="10"/>
      <c r="J22" s="15"/>
      <c r="K22" s="10"/>
      <c r="L22" s="43"/>
    </row>
    <row r="23" spans="1:12" ht="16">
      <c r="A23" s="314"/>
      <c r="B23" s="318"/>
      <c r="C23" s="319"/>
      <c r="D23" s="319"/>
      <c r="E23" s="320"/>
      <c r="F23" s="319"/>
      <c r="G23" s="36">
        <v>7</v>
      </c>
      <c r="H23" s="13"/>
      <c r="I23" s="10"/>
      <c r="J23" s="15"/>
      <c r="K23" s="10"/>
      <c r="L23" s="43"/>
    </row>
    <row r="24" spans="1:12" ht="16">
      <c r="A24" s="314"/>
      <c r="B24" s="318"/>
      <c r="C24" s="319"/>
      <c r="D24" s="319"/>
      <c r="E24" s="320"/>
      <c r="F24" s="319"/>
      <c r="G24" s="10">
        <v>8</v>
      </c>
      <c r="H24" s="13"/>
      <c r="I24" s="10"/>
      <c r="J24" s="15"/>
      <c r="K24" s="10"/>
      <c r="L24" s="43"/>
    </row>
    <row r="25" spans="1:12" ht="16">
      <c r="A25" s="314"/>
      <c r="B25" s="318"/>
      <c r="C25" s="319"/>
      <c r="D25" s="319"/>
      <c r="E25" s="320"/>
      <c r="F25" s="319"/>
      <c r="G25" s="10">
        <v>9</v>
      </c>
      <c r="H25" s="13"/>
      <c r="I25" s="10"/>
      <c r="J25" s="15"/>
      <c r="K25" s="10"/>
      <c r="L25" s="43"/>
    </row>
    <row r="26" spans="1:12" ht="16">
      <c r="A26" s="314"/>
      <c r="B26" s="318"/>
      <c r="C26" s="319"/>
      <c r="D26" s="319"/>
      <c r="E26" s="313" t="s">
        <v>170</v>
      </c>
      <c r="F26" s="313"/>
      <c r="G26" s="313"/>
      <c r="H26" s="313"/>
      <c r="I26" s="32"/>
      <c r="J26" s="33"/>
      <c r="K26" s="34"/>
      <c r="L26" s="35">
        <f>SUM(L17:L25)</f>
        <v>3.7</v>
      </c>
    </row>
    <row r="27" spans="1:12" ht="17">
      <c r="A27" s="314"/>
      <c r="B27" s="318"/>
      <c r="C27" s="319"/>
      <c r="D27" s="319"/>
      <c r="E27" s="320" t="s">
        <v>171</v>
      </c>
      <c r="F27" s="320" t="s">
        <v>53</v>
      </c>
      <c r="G27" s="36">
        <v>1</v>
      </c>
      <c r="H27" s="38"/>
      <c r="I27" s="10"/>
      <c r="J27" s="39"/>
      <c r="K27" s="36"/>
      <c r="L27" s="40"/>
    </row>
    <row r="28" spans="1:12" ht="17">
      <c r="A28" s="314"/>
      <c r="B28" s="318"/>
      <c r="C28" s="319"/>
      <c r="D28" s="319"/>
      <c r="E28" s="320"/>
      <c r="F28" s="320"/>
      <c r="G28" s="36">
        <v>2</v>
      </c>
      <c r="H28" s="81"/>
      <c r="I28" s="11"/>
      <c r="J28" s="82"/>
      <c r="K28" s="11"/>
      <c r="L28" s="83"/>
    </row>
    <row r="29" spans="1:12" ht="51">
      <c r="A29" s="314" t="s">
        <v>313</v>
      </c>
      <c r="B29" s="318" t="s">
        <v>124</v>
      </c>
      <c r="C29" s="319" t="s">
        <v>314</v>
      </c>
      <c r="D29" s="319"/>
      <c r="E29" s="320" t="s">
        <v>173</v>
      </c>
      <c r="F29" s="324" t="s">
        <v>53</v>
      </c>
      <c r="G29" s="84">
        <v>1</v>
      </c>
      <c r="H29" s="85" t="s">
        <v>315</v>
      </c>
      <c r="I29" s="14" t="s">
        <v>316</v>
      </c>
      <c r="J29" s="15">
        <v>1</v>
      </c>
      <c r="K29" s="10"/>
      <c r="L29" s="43">
        <v>3.3</v>
      </c>
    </row>
    <row r="30" spans="1:12" ht="17">
      <c r="A30" s="314"/>
      <c r="B30" s="318"/>
      <c r="C30" s="319"/>
      <c r="D30" s="319"/>
      <c r="E30" s="320"/>
      <c r="F30" s="399"/>
      <c r="G30" s="84">
        <v>2</v>
      </c>
      <c r="H30" s="86" t="s">
        <v>317</v>
      </c>
      <c r="I30" s="87" t="s">
        <v>318</v>
      </c>
      <c r="J30" s="15">
        <v>1</v>
      </c>
      <c r="K30" s="10"/>
      <c r="L30" s="43">
        <v>3</v>
      </c>
    </row>
    <row r="31" spans="1:12" ht="17">
      <c r="A31" s="314"/>
      <c r="B31" s="318"/>
      <c r="C31" s="319"/>
      <c r="D31" s="319"/>
      <c r="E31" s="320"/>
      <c r="F31" s="399"/>
      <c r="G31" s="84">
        <v>3</v>
      </c>
      <c r="H31" s="88" t="s">
        <v>319</v>
      </c>
      <c r="I31" s="87" t="s">
        <v>124</v>
      </c>
      <c r="J31" s="15">
        <v>1</v>
      </c>
      <c r="K31" s="10"/>
      <c r="L31" s="43">
        <v>1.5</v>
      </c>
    </row>
    <row r="32" spans="1:12" ht="17">
      <c r="A32" s="314"/>
      <c r="B32" s="318"/>
      <c r="C32" s="319"/>
      <c r="D32" s="319"/>
      <c r="E32" s="320"/>
      <c r="F32" s="399"/>
      <c r="G32" s="10">
        <v>4</v>
      </c>
      <c r="H32" s="89"/>
      <c r="I32" s="14"/>
      <c r="J32" s="15"/>
      <c r="K32" s="10"/>
      <c r="L32" s="9"/>
    </row>
    <row r="33" spans="1:12" ht="17">
      <c r="A33" s="314"/>
      <c r="B33" s="318"/>
      <c r="C33" s="319"/>
      <c r="D33" s="319"/>
      <c r="E33" s="320"/>
      <c r="F33" s="399"/>
      <c r="G33" s="10">
        <v>5</v>
      </c>
      <c r="H33" s="13"/>
      <c r="I33" s="90"/>
      <c r="J33" s="15"/>
      <c r="K33" s="10"/>
      <c r="L33" s="9"/>
    </row>
    <row r="34" spans="1:12" ht="17">
      <c r="A34" s="314"/>
      <c r="B34" s="318"/>
      <c r="C34" s="319"/>
      <c r="D34" s="319"/>
      <c r="E34" s="320"/>
      <c r="F34" s="400"/>
      <c r="G34" s="10">
        <v>6</v>
      </c>
      <c r="H34" s="17"/>
      <c r="I34" s="10"/>
      <c r="J34" s="15"/>
      <c r="K34" s="10"/>
      <c r="L34" s="9"/>
    </row>
    <row r="35" spans="1:12" ht="17">
      <c r="A35" s="314"/>
      <c r="B35" s="318"/>
      <c r="C35" s="319"/>
      <c r="D35" s="319"/>
      <c r="E35" s="320"/>
      <c r="F35" s="324" t="s">
        <v>320</v>
      </c>
      <c r="G35" s="36">
        <v>1</v>
      </c>
      <c r="H35" s="13"/>
      <c r="I35" s="14"/>
      <c r="J35" s="15"/>
      <c r="K35" s="10"/>
      <c r="L35" s="9"/>
    </row>
    <row r="36" spans="1:12" ht="17">
      <c r="A36" s="314"/>
      <c r="B36" s="318"/>
      <c r="C36" s="319"/>
      <c r="D36" s="319"/>
      <c r="E36" s="320"/>
      <c r="F36" s="399"/>
      <c r="G36" s="10">
        <v>2</v>
      </c>
      <c r="H36" s="13"/>
      <c r="I36" s="10"/>
      <c r="J36" s="15"/>
      <c r="K36" s="10"/>
      <c r="L36" s="9"/>
    </row>
    <row r="37" spans="1:12" ht="17">
      <c r="A37" s="314"/>
      <c r="B37" s="318"/>
      <c r="C37" s="319"/>
      <c r="D37" s="319"/>
      <c r="E37" s="320"/>
      <c r="F37" s="400"/>
      <c r="G37" s="10">
        <v>3</v>
      </c>
      <c r="H37" s="13"/>
      <c r="I37" s="10"/>
      <c r="J37" s="15"/>
      <c r="K37" s="10"/>
      <c r="L37" s="9"/>
    </row>
    <row r="38" spans="1:12" ht="16">
      <c r="A38" s="314"/>
      <c r="B38" s="318"/>
      <c r="C38" s="319"/>
      <c r="D38" s="319"/>
      <c r="E38" s="313" t="s">
        <v>170</v>
      </c>
      <c r="F38" s="313"/>
      <c r="G38" s="313"/>
      <c r="H38" s="313"/>
      <c r="I38" s="32"/>
      <c r="J38" s="33"/>
      <c r="K38" s="34"/>
      <c r="L38" s="35">
        <f>SUM(L29:L37)</f>
        <v>7.8</v>
      </c>
    </row>
    <row r="39" spans="1:12" ht="17">
      <c r="A39" s="314"/>
      <c r="B39" s="318"/>
      <c r="C39" s="319"/>
      <c r="D39" s="319"/>
      <c r="E39" s="320" t="s">
        <v>171</v>
      </c>
      <c r="F39" s="320" t="s">
        <v>53</v>
      </c>
      <c r="G39" s="36">
        <v>1</v>
      </c>
      <c r="H39" s="38"/>
      <c r="I39" s="10"/>
      <c r="J39" s="39"/>
      <c r="K39" s="36"/>
      <c r="L39" s="43"/>
    </row>
    <row r="40" spans="1:12" ht="17">
      <c r="A40" s="314"/>
      <c r="B40" s="318"/>
      <c r="C40" s="319"/>
      <c r="D40" s="319"/>
      <c r="E40" s="320"/>
      <c r="F40" s="320"/>
      <c r="G40" s="36">
        <v>2</v>
      </c>
      <c r="H40" s="81"/>
      <c r="I40" s="11"/>
      <c r="J40" s="82"/>
      <c r="K40" s="11"/>
      <c r="L40" s="54"/>
    </row>
    <row r="41" spans="1:12" ht="17">
      <c r="A41" s="314" t="s">
        <v>321</v>
      </c>
      <c r="B41" s="318" t="s">
        <v>124</v>
      </c>
      <c r="C41" s="319" t="s">
        <v>314</v>
      </c>
      <c r="D41" s="319"/>
      <c r="E41" s="320" t="s">
        <v>173</v>
      </c>
      <c r="F41" s="324" t="s">
        <v>53</v>
      </c>
      <c r="G41" s="84">
        <v>1</v>
      </c>
      <c r="H41" s="13" t="s">
        <v>322</v>
      </c>
      <c r="I41" s="14" t="s">
        <v>316</v>
      </c>
      <c r="J41" s="15">
        <v>1</v>
      </c>
      <c r="K41" s="10"/>
      <c r="L41" s="43">
        <v>1.7</v>
      </c>
    </row>
    <row r="42" spans="1:12" ht="16">
      <c r="A42" s="314"/>
      <c r="B42" s="318"/>
      <c r="C42" s="319"/>
      <c r="D42" s="319"/>
      <c r="E42" s="320"/>
      <c r="F42" s="399"/>
      <c r="G42" s="84">
        <v>2</v>
      </c>
      <c r="H42" s="62"/>
      <c r="I42" s="62"/>
      <c r="J42" s="62"/>
      <c r="K42" s="62"/>
      <c r="L42" s="63"/>
    </row>
    <row r="43" spans="1:12" ht="16">
      <c r="A43" s="314"/>
      <c r="B43" s="318"/>
      <c r="C43" s="319"/>
      <c r="D43" s="319"/>
      <c r="E43" s="320"/>
      <c r="F43" s="399"/>
      <c r="G43" s="84">
        <v>3</v>
      </c>
      <c r="H43" s="62"/>
      <c r="I43" s="62"/>
      <c r="J43" s="62"/>
      <c r="K43" s="62"/>
      <c r="L43" s="63"/>
    </row>
    <row r="44" spans="1:12" ht="16">
      <c r="A44" s="314"/>
      <c r="B44" s="318"/>
      <c r="C44" s="319"/>
      <c r="D44" s="319"/>
      <c r="E44" s="320"/>
      <c r="F44" s="399"/>
      <c r="G44" s="10">
        <v>4</v>
      </c>
      <c r="H44" s="89"/>
      <c r="I44" s="91"/>
      <c r="J44" s="20"/>
      <c r="K44" s="21"/>
      <c r="L44" s="67"/>
    </row>
    <row r="45" spans="1:12" ht="16">
      <c r="A45" s="314"/>
      <c r="B45" s="318"/>
      <c r="C45" s="319"/>
      <c r="D45" s="319"/>
      <c r="E45" s="320"/>
      <c r="F45" s="399"/>
      <c r="G45" s="10">
        <v>5</v>
      </c>
      <c r="H45" s="13"/>
      <c r="I45" s="14"/>
      <c r="J45" s="15"/>
      <c r="K45" s="10"/>
      <c r="L45" s="43"/>
    </row>
    <row r="46" spans="1:12" ht="16">
      <c r="A46" s="314"/>
      <c r="B46" s="318"/>
      <c r="C46" s="319"/>
      <c r="D46" s="319"/>
      <c r="E46" s="320"/>
      <c r="F46" s="400"/>
      <c r="G46" s="10">
        <v>6</v>
      </c>
      <c r="H46" s="17"/>
      <c r="I46" s="10"/>
      <c r="J46" s="15"/>
      <c r="K46" s="10"/>
      <c r="L46" s="43"/>
    </row>
    <row r="47" spans="1:12" ht="16">
      <c r="A47" s="314"/>
      <c r="B47" s="318"/>
      <c r="C47" s="319"/>
      <c r="D47" s="319"/>
      <c r="E47" s="320"/>
      <c r="F47" s="324" t="s">
        <v>180</v>
      </c>
      <c r="G47" s="36">
        <v>1</v>
      </c>
      <c r="H47" s="13"/>
      <c r="I47" s="14"/>
      <c r="J47" s="15"/>
      <c r="K47" s="10"/>
      <c r="L47" s="43"/>
    </row>
    <row r="48" spans="1:12" ht="17">
      <c r="A48" s="314"/>
      <c r="B48" s="318"/>
      <c r="C48" s="319"/>
      <c r="D48" s="319"/>
      <c r="E48" s="320"/>
      <c r="F48" s="399"/>
      <c r="G48" s="10">
        <v>2</v>
      </c>
      <c r="H48" s="13"/>
      <c r="I48" s="10"/>
      <c r="J48" s="15"/>
      <c r="K48" s="10"/>
      <c r="L48" s="9"/>
    </row>
    <row r="49" spans="1:12" ht="17">
      <c r="A49" s="314"/>
      <c r="B49" s="318"/>
      <c r="C49" s="319"/>
      <c r="D49" s="319"/>
      <c r="E49" s="320"/>
      <c r="F49" s="400"/>
      <c r="G49" s="10">
        <v>3</v>
      </c>
      <c r="H49" s="13"/>
      <c r="I49" s="10"/>
      <c r="J49" s="15"/>
      <c r="K49" s="10"/>
      <c r="L49" s="9"/>
    </row>
    <row r="50" spans="1:12" ht="16">
      <c r="A50" s="314"/>
      <c r="B50" s="318"/>
      <c r="C50" s="319"/>
      <c r="D50" s="319"/>
      <c r="E50" s="313" t="s">
        <v>170</v>
      </c>
      <c r="F50" s="313"/>
      <c r="G50" s="313"/>
      <c r="H50" s="313"/>
      <c r="I50" s="32"/>
      <c r="J50" s="33"/>
      <c r="K50" s="34"/>
      <c r="L50" s="35">
        <f>SUM(L41:L49)</f>
        <v>1.7</v>
      </c>
    </row>
    <row r="51" spans="1:12" ht="17">
      <c r="A51" s="314"/>
      <c r="B51" s="318"/>
      <c r="C51" s="319"/>
      <c r="D51" s="319"/>
      <c r="E51" s="320" t="s">
        <v>171</v>
      </c>
      <c r="F51" s="320" t="s">
        <v>53</v>
      </c>
      <c r="G51" s="36">
        <v>1</v>
      </c>
      <c r="H51" s="38"/>
      <c r="I51" s="10"/>
      <c r="J51" s="39"/>
      <c r="K51" s="36"/>
      <c r="L51" s="40"/>
    </row>
    <row r="52" spans="1:12" ht="17">
      <c r="A52" s="314"/>
      <c r="B52" s="318"/>
      <c r="C52" s="319"/>
      <c r="D52" s="319"/>
      <c r="E52" s="320"/>
      <c r="F52" s="320"/>
      <c r="G52" s="36">
        <v>2</v>
      </c>
      <c r="H52" s="38"/>
      <c r="I52" s="36"/>
      <c r="J52" s="39"/>
      <c r="K52" s="36"/>
      <c r="L52" s="43"/>
    </row>
    <row r="53" spans="1:12" ht="17">
      <c r="A53" s="314" t="s">
        <v>323</v>
      </c>
      <c r="B53" s="318" t="s">
        <v>124</v>
      </c>
      <c r="C53" s="331">
        <v>0.99</v>
      </c>
      <c r="D53" s="319"/>
      <c r="E53" s="320" t="s">
        <v>173</v>
      </c>
      <c r="F53" s="324" t="s">
        <v>53</v>
      </c>
      <c r="G53" s="10">
        <v>1</v>
      </c>
      <c r="H53" s="360" t="s">
        <v>324</v>
      </c>
      <c r="I53" s="14" t="s">
        <v>124</v>
      </c>
      <c r="J53" s="15">
        <v>1</v>
      </c>
      <c r="K53" s="10"/>
      <c r="L53" s="43">
        <v>2</v>
      </c>
    </row>
    <row r="54" spans="1:12" ht="17">
      <c r="A54" s="314"/>
      <c r="B54" s="318"/>
      <c r="C54" s="319"/>
      <c r="D54" s="319"/>
      <c r="E54" s="320"/>
      <c r="F54" s="326"/>
      <c r="G54" s="84">
        <v>2</v>
      </c>
      <c r="H54" s="401"/>
      <c r="I54" s="87" t="s">
        <v>325</v>
      </c>
      <c r="J54" s="15">
        <v>0.9</v>
      </c>
      <c r="K54" s="10"/>
      <c r="L54" s="43">
        <v>3</v>
      </c>
    </row>
    <row r="55" spans="1:12" ht="17">
      <c r="A55" s="314"/>
      <c r="B55" s="318"/>
      <c r="C55" s="319"/>
      <c r="D55" s="319"/>
      <c r="E55" s="320"/>
      <c r="F55" s="326"/>
      <c r="G55" s="84">
        <v>3</v>
      </c>
      <c r="H55" s="402"/>
      <c r="I55" s="87" t="s">
        <v>318</v>
      </c>
      <c r="J55" s="15">
        <v>1</v>
      </c>
      <c r="K55" s="10"/>
      <c r="L55" s="43">
        <v>2</v>
      </c>
    </row>
    <row r="56" spans="1:12" ht="16">
      <c r="A56" s="314"/>
      <c r="B56" s="318"/>
      <c r="C56" s="319"/>
      <c r="D56" s="319"/>
      <c r="E56" s="320"/>
      <c r="F56" s="326"/>
      <c r="G56" s="10">
        <v>4</v>
      </c>
      <c r="H56" s="89"/>
      <c r="I56" s="14"/>
      <c r="J56" s="15"/>
      <c r="K56" s="10"/>
      <c r="L56" s="43"/>
    </row>
    <row r="57" spans="1:12" ht="16">
      <c r="A57" s="314"/>
      <c r="B57" s="318"/>
      <c r="C57" s="319"/>
      <c r="D57" s="319"/>
      <c r="E57" s="320"/>
      <c r="F57" s="326"/>
      <c r="G57" s="10">
        <v>5</v>
      </c>
      <c r="H57" s="13"/>
      <c r="I57" s="14"/>
      <c r="J57" s="15"/>
      <c r="K57" s="10"/>
      <c r="L57" s="43"/>
    </row>
    <row r="58" spans="1:12" ht="16">
      <c r="A58" s="314"/>
      <c r="B58" s="318"/>
      <c r="C58" s="319"/>
      <c r="D58" s="319"/>
      <c r="E58" s="320"/>
      <c r="F58" s="325"/>
      <c r="G58" s="10">
        <v>6</v>
      </c>
      <c r="H58" s="92"/>
      <c r="I58" s="14"/>
      <c r="J58" s="18"/>
      <c r="K58" s="10"/>
      <c r="L58" s="43"/>
    </row>
    <row r="59" spans="1:12" ht="16">
      <c r="A59" s="314"/>
      <c r="B59" s="318"/>
      <c r="C59" s="319"/>
      <c r="D59" s="319"/>
      <c r="E59" s="320"/>
      <c r="F59" s="324" t="s">
        <v>326</v>
      </c>
      <c r="G59" s="93">
        <v>1</v>
      </c>
      <c r="H59" s="86"/>
      <c r="I59" s="87"/>
      <c r="J59" s="94"/>
      <c r="K59" s="95"/>
      <c r="L59" s="43"/>
    </row>
    <row r="60" spans="1:12" ht="16">
      <c r="A60" s="314"/>
      <c r="B60" s="318"/>
      <c r="C60" s="319"/>
      <c r="D60" s="319"/>
      <c r="E60" s="320"/>
      <c r="F60" s="326"/>
      <c r="G60" s="84">
        <v>2</v>
      </c>
      <c r="H60" s="86"/>
      <c r="I60" s="96"/>
      <c r="J60" s="94"/>
      <c r="K60" s="95"/>
      <c r="L60" s="43"/>
    </row>
    <row r="61" spans="1:12" ht="16">
      <c r="A61" s="314"/>
      <c r="B61" s="318"/>
      <c r="C61" s="319"/>
      <c r="D61" s="319"/>
      <c r="E61" s="320"/>
      <c r="F61" s="325"/>
      <c r="G61" s="10">
        <v>3</v>
      </c>
      <c r="H61" s="89"/>
      <c r="I61" s="10"/>
      <c r="J61" s="20"/>
      <c r="K61" s="10"/>
      <c r="L61" s="43"/>
    </row>
    <row r="62" spans="1:12" ht="16">
      <c r="A62" s="314"/>
      <c r="B62" s="318"/>
      <c r="C62" s="319"/>
      <c r="D62" s="319"/>
      <c r="E62" s="313" t="s">
        <v>170</v>
      </c>
      <c r="F62" s="313"/>
      <c r="G62" s="313"/>
      <c r="H62" s="313"/>
      <c r="I62" s="32"/>
      <c r="J62" s="33"/>
      <c r="K62" s="34"/>
      <c r="L62" s="35">
        <f>SUM(L53:L61)</f>
        <v>7</v>
      </c>
    </row>
    <row r="63" spans="1:12" ht="17">
      <c r="A63" s="314"/>
      <c r="B63" s="318"/>
      <c r="C63" s="319"/>
      <c r="D63" s="319"/>
      <c r="E63" s="320" t="s">
        <v>171</v>
      </c>
      <c r="F63" s="320" t="s">
        <v>53</v>
      </c>
      <c r="G63" s="36">
        <v>1</v>
      </c>
      <c r="H63" s="38"/>
      <c r="I63" s="10"/>
      <c r="J63" s="39"/>
      <c r="K63" s="36"/>
      <c r="L63" s="40"/>
    </row>
    <row r="64" spans="1:12" ht="17">
      <c r="A64" s="314"/>
      <c r="B64" s="318"/>
      <c r="C64" s="319"/>
      <c r="D64" s="319"/>
      <c r="E64" s="320"/>
      <c r="F64" s="320"/>
      <c r="G64" s="36">
        <v>2</v>
      </c>
      <c r="H64" s="38"/>
      <c r="I64" s="36"/>
      <c r="J64" s="39"/>
      <c r="K64" s="36"/>
      <c r="L64" s="40"/>
    </row>
    <row r="65" spans="1:12" ht="16">
      <c r="A65" s="314" t="s">
        <v>327</v>
      </c>
      <c r="B65" s="318" t="s">
        <v>124</v>
      </c>
      <c r="C65" s="319" t="s">
        <v>314</v>
      </c>
      <c r="D65" s="319"/>
      <c r="E65" s="320" t="s">
        <v>173</v>
      </c>
      <c r="F65" s="319" t="s">
        <v>53</v>
      </c>
      <c r="G65" s="10">
        <v>1</v>
      </c>
      <c r="H65" s="13"/>
      <c r="I65" s="14"/>
      <c r="J65" s="15"/>
      <c r="K65" s="10"/>
      <c r="L65" s="43"/>
    </row>
    <row r="66" spans="1:12" ht="16">
      <c r="A66" s="314"/>
      <c r="B66" s="318"/>
      <c r="C66" s="319"/>
      <c r="D66" s="319"/>
      <c r="E66" s="320"/>
      <c r="F66" s="319"/>
      <c r="G66" s="10">
        <v>2</v>
      </c>
      <c r="H66" s="17"/>
      <c r="I66" s="14"/>
      <c r="J66" s="15"/>
      <c r="K66" s="10"/>
      <c r="L66" s="43"/>
    </row>
    <row r="67" spans="1:12" ht="16">
      <c r="A67" s="314"/>
      <c r="B67" s="318"/>
      <c r="C67" s="319"/>
      <c r="D67" s="319"/>
      <c r="E67" s="320"/>
      <c r="F67" s="319"/>
      <c r="G67" s="10">
        <v>3</v>
      </c>
      <c r="H67" s="13"/>
      <c r="I67" s="14"/>
      <c r="J67" s="15"/>
      <c r="K67" s="10"/>
      <c r="L67" s="43"/>
    </row>
    <row r="68" spans="1:12" ht="16">
      <c r="A68" s="314"/>
      <c r="B68" s="318"/>
      <c r="C68" s="319"/>
      <c r="D68" s="319"/>
      <c r="E68" s="320"/>
      <c r="F68" s="319"/>
      <c r="G68" s="10">
        <v>4</v>
      </c>
      <c r="H68" s="13"/>
      <c r="I68" s="14"/>
      <c r="J68" s="15"/>
      <c r="K68" s="10"/>
      <c r="L68" s="43"/>
    </row>
    <row r="69" spans="1:12" ht="16">
      <c r="A69" s="314"/>
      <c r="B69" s="318"/>
      <c r="C69" s="319"/>
      <c r="D69" s="319"/>
      <c r="E69" s="320"/>
      <c r="F69" s="319"/>
      <c r="G69" s="10">
        <v>5</v>
      </c>
      <c r="H69" s="13"/>
      <c r="I69" s="14"/>
      <c r="J69" s="15"/>
      <c r="K69" s="10"/>
      <c r="L69" s="43"/>
    </row>
    <row r="70" spans="1:12" ht="16">
      <c r="A70" s="314"/>
      <c r="B70" s="318"/>
      <c r="C70" s="319"/>
      <c r="D70" s="319"/>
      <c r="E70" s="320"/>
      <c r="F70" s="319"/>
      <c r="G70" s="10">
        <v>6</v>
      </c>
      <c r="H70" s="17"/>
      <c r="I70" s="10"/>
      <c r="J70" s="15"/>
      <c r="K70" s="10"/>
      <c r="L70" s="43"/>
    </row>
    <row r="71" spans="1:12" ht="16">
      <c r="A71" s="314"/>
      <c r="B71" s="318"/>
      <c r="C71" s="319"/>
      <c r="D71" s="319"/>
      <c r="E71" s="320"/>
      <c r="F71" s="319"/>
      <c r="G71" s="36">
        <v>7</v>
      </c>
      <c r="H71" s="13"/>
      <c r="I71" s="10"/>
      <c r="J71" s="15"/>
      <c r="K71" s="10"/>
      <c r="L71" s="43"/>
    </row>
    <row r="72" spans="1:12" ht="16">
      <c r="A72" s="314"/>
      <c r="B72" s="318"/>
      <c r="C72" s="319"/>
      <c r="D72" s="319"/>
      <c r="E72" s="320"/>
      <c r="F72" s="319"/>
      <c r="G72" s="10">
        <v>8</v>
      </c>
      <c r="H72" s="13"/>
      <c r="I72" s="10"/>
      <c r="J72" s="15"/>
      <c r="K72" s="10"/>
      <c r="L72" s="43"/>
    </row>
    <row r="73" spans="1:12" ht="16">
      <c r="A73" s="314"/>
      <c r="B73" s="318"/>
      <c r="C73" s="319"/>
      <c r="D73" s="319"/>
      <c r="E73" s="320"/>
      <c r="F73" s="319"/>
      <c r="G73" s="10">
        <v>9</v>
      </c>
      <c r="H73" s="13"/>
      <c r="I73" s="10"/>
      <c r="J73" s="15"/>
      <c r="K73" s="10"/>
      <c r="L73" s="43"/>
    </row>
    <row r="74" spans="1:12" ht="16">
      <c r="A74" s="314"/>
      <c r="B74" s="318"/>
      <c r="C74" s="319"/>
      <c r="D74" s="319"/>
      <c r="E74" s="313" t="s">
        <v>170</v>
      </c>
      <c r="F74" s="313"/>
      <c r="G74" s="313"/>
      <c r="H74" s="313"/>
      <c r="I74" s="32"/>
      <c r="J74" s="33"/>
      <c r="K74" s="34"/>
      <c r="L74" s="35">
        <f>SUM(L65:L73)</f>
        <v>0</v>
      </c>
    </row>
    <row r="75" spans="1:12" ht="17">
      <c r="A75" s="314"/>
      <c r="B75" s="318"/>
      <c r="C75" s="319"/>
      <c r="D75" s="319"/>
      <c r="E75" s="320" t="s">
        <v>171</v>
      </c>
      <c r="F75" s="320" t="s">
        <v>53</v>
      </c>
      <c r="G75" s="36">
        <v>1</v>
      </c>
      <c r="H75" s="38"/>
      <c r="I75" s="10"/>
      <c r="J75" s="39"/>
      <c r="K75" s="36"/>
      <c r="L75" s="43"/>
    </row>
    <row r="76" spans="1:12" ht="17">
      <c r="A76" s="314"/>
      <c r="B76" s="318"/>
      <c r="C76" s="319"/>
      <c r="D76" s="319"/>
      <c r="E76" s="320"/>
      <c r="F76" s="320"/>
      <c r="G76" s="36">
        <v>2</v>
      </c>
      <c r="H76" s="38"/>
      <c r="I76" s="36"/>
      <c r="J76" s="39"/>
      <c r="K76" s="36"/>
      <c r="L76" s="43"/>
    </row>
    <row r="77" spans="1:12" ht="16">
      <c r="A77" s="314" t="s">
        <v>328</v>
      </c>
      <c r="B77" s="318" t="s">
        <v>325</v>
      </c>
      <c r="C77" s="319" t="s">
        <v>314</v>
      </c>
      <c r="D77" s="319"/>
      <c r="E77" s="320" t="s">
        <v>173</v>
      </c>
      <c r="F77" s="319" t="s">
        <v>53</v>
      </c>
      <c r="G77" s="10">
        <v>1</v>
      </c>
      <c r="H77" s="97"/>
      <c r="I77" s="14"/>
      <c r="J77" s="15"/>
      <c r="K77" s="10"/>
      <c r="L77" s="43"/>
    </row>
    <row r="78" spans="1:12" ht="16">
      <c r="A78" s="314"/>
      <c r="B78" s="318"/>
      <c r="C78" s="319"/>
      <c r="D78" s="319"/>
      <c r="E78" s="320"/>
      <c r="F78" s="319"/>
      <c r="G78" s="10">
        <v>2</v>
      </c>
      <c r="H78" s="17"/>
      <c r="I78" s="14"/>
      <c r="J78" s="15"/>
      <c r="K78" s="10"/>
      <c r="L78" s="43"/>
    </row>
    <row r="79" spans="1:12" ht="16">
      <c r="A79" s="314"/>
      <c r="B79" s="318"/>
      <c r="C79" s="319"/>
      <c r="D79" s="319"/>
      <c r="E79" s="320"/>
      <c r="F79" s="319"/>
      <c r="G79" s="10">
        <v>3</v>
      </c>
      <c r="H79" s="13"/>
      <c r="I79" s="14"/>
      <c r="J79" s="15"/>
      <c r="K79" s="10"/>
      <c r="L79" s="43"/>
    </row>
    <row r="80" spans="1:12" ht="16">
      <c r="A80" s="314"/>
      <c r="B80" s="318"/>
      <c r="C80" s="319"/>
      <c r="D80" s="319"/>
      <c r="E80" s="320"/>
      <c r="F80" s="319"/>
      <c r="G80" s="10">
        <v>4</v>
      </c>
      <c r="H80" s="13"/>
      <c r="I80" s="14"/>
      <c r="J80" s="15"/>
      <c r="K80" s="10"/>
      <c r="L80" s="43"/>
    </row>
    <row r="81" spans="1:12" ht="16">
      <c r="A81" s="314"/>
      <c r="B81" s="318"/>
      <c r="C81" s="319"/>
      <c r="D81" s="319"/>
      <c r="E81" s="320"/>
      <c r="F81" s="319"/>
      <c r="G81" s="10">
        <v>5</v>
      </c>
      <c r="H81" s="13"/>
      <c r="I81" s="14"/>
      <c r="J81" s="15"/>
      <c r="K81" s="10"/>
      <c r="L81" s="43"/>
    </row>
    <row r="82" spans="1:12" ht="16">
      <c r="A82" s="314"/>
      <c r="B82" s="318"/>
      <c r="C82" s="319"/>
      <c r="D82" s="319"/>
      <c r="E82" s="320"/>
      <c r="F82" s="319"/>
      <c r="G82" s="10">
        <v>6</v>
      </c>
      <c r="H82" s="17"/>
      <c r="I82" s="10"/>
      <c r="J82" s="15"/>
      <c r="K82" s="10"/>
      <c r="L82" s="43"/>
    </row>
    <row r="83" spans="1:12" ht="16">
      <c r="A83" s="314"/>
      <c r="B83" s="318"/>
      <c r="C83" s="319"/>
      <c r="D83" s="319"/>
      <c r="E83" s="320"/>
      <c r="F83" s="319"/>
      <c r="G83" s="36">
        <v>7</v>
      </c>
      <c r="H83" s="13"/>
      <c r="I83" s="10"/>
      <c r="J83" s="15"/>
      <c r="K83" s="10"/>
      <c r="L83" s="43"/>
    </row>
    <row r="84" spans="1:12" ht="16">
      <c r="A84" s="314"/>
      <c r="B84" s="318"/>
      <c r="C84" s="319"/>
      <c r="D84" s="319"/>
      <c r="E84" s="320"/>
      <c r="F84" s="319"/>
      <c r="G84" s="10">
        <v>8</v>
      </c>
      <c r="H84" s="13"/>
      <c r="I84" s="10"/>
      <c r="J84" s="15"/>
      <c r="K84" s="10"/>
      <c r="L84" s="43"/>
    </row>
    <row r="85" spans="1:12" ht="16">
      <c r="A85" s="314"/>
      <c r="B85" s="318"/>
      <c r="C85" s="319"/>
      <c r="D85" s="319"/>
      <c r="E85" s="320"/>
      <c r="F85" s="319"/>
      <c r="G85" s="10">
        <v>9</v>
      </c>
      <c r="H85" s="13"/>
      <c r="I85" s="10"/>
      <c r="J85" s="15"/>
      <c r="K85" s="10"/>
      <c r="L85" s="43"/>
    </row>
    <row r="86" spans="1:12" ht="16">
      <c r="A86" s="314"/>
      <c r="B86" s="318"/>
      <c r="C86" s="319"/>
      <c r="D86" s="319"/>
      <c r="E86" s="313" t="s">
        <v>170</v>
      </c>
      <c r="F86" s="313"/>
      <c r="G86" s="313"/>
      <c r="H86" s="313"/>
      <c r="I86" s="32"/>
      <c r="J86" s="33"/>
      <c r="K86" s="34"/>
      <c r="L86" s="35">
        <f>SUM(L77:L85)</f>
        <v>0</v>
      </c>
    </row>
    <row r="87" spans="1:12" ht="17">
      <c r="A87" s="314"/>
      <c r="B87" s="318"/>
      <c r="C87" s="319"/>
      <c r="D87" s="319"/>
      <c r="E87" s="320" t="s">
        <v>171</v>
      </c>
      <c r="F87" s="320" t="s">
        <v>53</v>
      </c>
      <c r="G87" s="36">
        <v>1</v>
      </c>
      <c r="H87" s="38"/>
      <c r="I87" s="10"/>
      <c r="J87" s="39"/>
      <c r="K87" s="36"/>
      <c r="L87" s="40"/>
    </row>
    <row r="88" spans="1:12" ht="17">
      <c r="A88" s="314"/>
      <c r="B88" s="318"/>
      <c r="C88" s="319"/>
      <c r="D88" s="319"/>
      <c r="E88" s="320"/>
      <c r="F88" s="320"/>
      <c r="G88" s="36">
        <v>2</v>
      </c>
      <c r="H88" s="38"/>
      <c r="I88" s="36"/>
      <c r="J88" s="39"/>
      <c r="K88" s="36"/>
      <c r="L88" s="40"/>
    </row>
    <row r="89" spans="1:12" ht="102">
      <c r="A89" s="314" t="s">
        <v>329</v>
      </c>
      <c r="B89" s="318"/>
      <c r="C89" s="319"/>
      <c r="D89" s="319"/>
      <c r="E89" s="320" t="s">
        <v>173</v>
      </c>
      <c r="F89" s="319" t="s">
        <v>139</v>
      </c>
      <c r="G89" s="319">
        <v>1</v>
      </c>
      <c r="H89" s="98" t="s">
        <v>330</v>
      </c>
      <c r="I89" s="14" t="s">
        <v>308</v>
      </c>
      <c r="J89" s="99">
        <v>0.6</v>
      </c>
      <c r="K89" s="36"/>
      <c r="L89" s="40">
        <v>3.2</v>
      </c>
    </row>
    <row r="90" spans="1:12" ht="16">
      <c r="A90" s="314"/>
      <c r="B90" s="318"/>
      <c r="C90" s="319"/>
      <c r="D90" s="319"/>
      <c r="E90" s="320"/>
      <c r="F90" s="319"/>
      <c r="G90" s="319"/>
      <c r="H90" s="98"/>
      <c r="I90" s="14"/>
      <c r="J90" s="99"/>
      <c r="K90" s="36"/>
      <c r="L90" s="40"/>
    </row>
    <row r="91" spans="1:12" ht="16">
      <c r="A91" s="314"/>
      <c r="B91" s="318"/>
      <c r="C91" s="319"/>
      <c r="D91" s="319"/>
      <c r="E91" s="320"/>
      <c r="F91" s="319"/>
      <c r="G91" s="319"/>
      <c r="H91" s="98"/>
      <c r="I91" s="14"/>
      <c r="J91" s="99"/>
      <c r="K91" s="36"/>
      <c r="L91" s="40"/>
    </row>
    <row r="92" spans="1:12" ht="16">
      <c r="A92" s="314"/>
      <c r="B92" s="318"/>
      <c r="C92" s="319"/>
      <c r="D92" s="319"/>
      <c r="E92" s="320"/>
      <c r="F92" s="319"/>
      <c r="G92" s="319"/>
      <c r="H92" s="98"/>
      <c r="I92" s="14"/>
      <c r="J92" s="99"/>
      <c r="K92" s="36"/>
      <c r="L92" s="40"/>
    </row>
    <row r="93" spans="1:12" ht="16">
      <c r="A93" s="314"/>
      <c r="B93" s="318"/>
      <c r="C93" s="319"/>
      <c r="D93" s="319"/>
      <c r="E93" s="320"/>
      <c r="F93" s="319"/>
      <c r="G93" s="319"/>
      <c r="H93" s="98"/>
      <c r="I93" s="14"/>
      <c r="J93" s="99"/>
      <c r="K93" s="36"/>
      <c r="L93" s="40"/>
    </row>
    <row r="94" spans="1:12" ht="16">
      <c r="A94" s="314"/>
      <c r="B94" s="318"/>
      <c r="C94" s="319"/>
      <c r="D94" s="319"/>
      <c r="E94" s="313" t="s">
        <v>170</v>
      </c>
      <c r="F94" s="313"/>
      <c r="G94" s="313"/>
      <c r="H94" s="313"/>
      <c r="I94" s="32"/>
      <c r="J94" s="33"/>
      <c r="K94" s="34"/>
      <c r="L94" s="35">
        <f>SUM(L89:L93)</f>
        <v>3.2</v>
      </c>
    </row>
    <row r="95" spans="1:12" ht="16">
      <c r="A95" s="314"/>
      <c r="B95" s="318"/>
      <c r="C95" s="319"/>
      <c r="D95" s="319"/>
      <c r="E95" s="320" t="s">
        <v>171</v>
      </c>
      <c r="F95" s="320" t="s">
        <v>139</v>
      </c>
      <c r="G95" s="10">
        <v>1</v>
      </c>
      <c r="H95" s="98"/>
      <c r="I95" s="14"/>
      <c r="J95" s="39"/>
      <c r="K95" s="36"/>
      <c r="L95" s="40"/>
    </row>
    <row r="96" spans="1:12" ht="16">
      <c r="A96" s="314"/>
      <c r="B96" s="318"/>
      <c r="C96" s="319"/>
      <c r="D96" s="319"/>
      <c r="E96" s="320"/>
      <c r="F96" s="320"/>
      <c r="G96" s="10">
        <v>2</v>
      </c>
      <c r="H96" s="13"/>
      <c r="I96" s="14"/>
      <c r="J96" s="39"/>
      <c r="K96" s="36"/>
      <c r="L96" s="40"/>
    </row>
  </sheetData>
  <autoFilter ref="I1:I56" xr:uid="{00000000-0009-0000-0000-000007000000}"/>
  <mergeCells count="77">
    <mergeCell ref="F95:F96"/>
    <mergeCell ref="G89:G93"/>
    <mergeCell ref="H53:H55"/>
    <mergeCell ref="F65:F73"/>
    <mergeCell ref="F75:F76"/>
    <mergeCell ref="F77:F85"/>
    <mergeCell ref="F87:F88"/>
    <mergeCell ref="F89:F93"/>
    <mergeCell ref="E87:E88"/>
    <mergeCell ref="E89:E93"/>
    <mergeCell ref="E95:E96"/>
    <mergeCell ref="F2:F13"/>
    <mergeCell ref="F15:F16"/>
    <mergeCell ref="F17:F25"/>
    <mergeCell ref="F27:F28"/>
    <mergeCell ref="F29:F34"/>
    <mergeCell ref="F35:F37"/>
    <mergeCell ref="F39:F40"/>
    <mergeCell ref="F41:F46"/>
    <mergeCell ref="F47:F49"/>
    <mergeCell ref="F51:F52"/>
    <mergeCell ref="F53:F58"/>
    <mergeCell ref="F59:F61"/>
    <mergeCell ref="F63:F64"/>
    <mergeCell ref="D65:D76"/>
    <mergeCell ref="D77:D88"/>
    <mergeCell ref="D89:D96"/>
    <mergeCell ref="E2:E13"/>
    <mergeCell ref="E15:E16"/>
    <mergeCell ref="E17:E25"/>
    <mergeCell ref="E27:E28"/>
    <mergeCell ref="E29:E37"/>
    <mergeCell ref="E39:E40"/>
    <mergeCell ref="E41:E49"/>
    <mergeCell ref="E51:E52"/>
    <mergeCell ref="E53:E61"/>
    <mergeCell ref="E63:E64"/>
    <mergeCell ref="E65:E73"/>
    <mergeCell ref="E75:E76"/>
    <mergeCell ref="E77:E85"/>
    <mergeCell ref="D2:D16"/>
    <mergeCell ref="D17:D28"/>
    <mergeCell ref="D29:D40"/>
    <mergeCell ref="D41:D52"/>
    <mergeCell ref="D53:D64"/>
    <mergeCell ref="B65:B76"/>
    <mergeCell ref="B77:B88"/>
    <mergeCell ref="B89:B96"/>
    <mergeCell ref="C2:C16"/>
    <mergeCell ref="C17:C28"/>
    <mergeCell ref="C29:C40"/>
    <mergeCell ref="C41:C52"/>
    <mergeCell ref="C53:C64"/>
    <mergeCell ref="C65:C76"/>
    <mergeCell ref="C77:C88"/>
    <mergeCell ref="C89:C96"/>
    <mergeCell ref="E74:H74"/>
    <mergeCell ref="E86:H86"/>
    <mergeCell ref="E94:H94"/>
    <mergeCell ref="A2:A16"/>
    <mergeCell ref="A17:A28"/>
    <mergeCell ref="A29:A40"/>
    <mergeCell ref="A41:A52"/>
    <mergeCell ref="A53:A64"/>
    <mergeCell ref="A65:A76"/>
    <mergeCell ref="A77:A88"/>
    <mergeCell ref="A89:A96"/>
    <mergeCell ref="B2:B16"/>
    <mergeCell ref="B17:B28"/>
    <mergeCell ref="B29:B40"/>
    <mergeCell ref="B41:B52"/>
    <mergeCell ref="B53:B64"/>
    <mergeCell ref="E14:H14"/>
    <mergeCell ref="E26:H26"/>
    <mergeCell ref="E38:H38"/>
    <mergeCell ref="E50:H50"/>
    <mergeCell ref="E62:H62"/>
  </mergeCells>
  <phoneticPr fontId="34"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Z44"/>
  <sheetViews>
    <sheetView workbookViewId="0">
      <pane ySplit="1" topLeftCell="A32" activePane="bottomLeft" state="frozen"/>
      <selection pane="bottomLeft" activeCell="H40" sqref="H40"/>
    </sheetView>
  </sheetViews>
  <sheetFormatPr baseColWidth="10" defaultColWidth="9.1640625" defaultRowHeight="13"/>
  <cols>
    <col min="1" max="1" width="22.5" style="1" customWidth="1"/>
    <col min="2" max="2" width="11.6640625" style="1" customWidth="1"/>
    <col min="3" max="7" width="9.1640625" style="1"/>
    <col min="8" max="8" width="59.6640625" style="1" customWidth="1"/>
    <col min="9" max="11" width="9.1640625" style="1"/>
    <col min="12" max="12" width="19.5" style="2" customWidth="1"/>
    <col min="13" max="16384" width="9.1640625" style="1"/>
  </cols>
  <sheetData>
    <row r="1" spans="1:26" ht="57">
      <c r="A1" s="3" t="s">
        <v>151</v>
      </c>
      <c r="B1" s="4" t="s">
        <v>6</v>
      </c>
      <c r="C1" s="3" t="s">
        <v>152</v>
      </c>
      <c r="D1" s="3" t="s">
        <v>153</v>
      </c>
      <c r="E1" s="4" t="s">
        <v>154</v>
      </c>
      <c r="F1" s="3" t="s">
        <v>155</v>
      </c>
      <c r="G1" s="3" t="s">
        <v>1</v>
      </c>
      <c r="H1" s="5" t="s">
        <v>156</v>
      </c>
      <c r="I1" s="3" t="s">
        <v>157</v>
      </c>
      <c r="J1" s="6" t="s">
        <v>158</v>
      </c>
      <c r="K1" s="3" t="s">
        <v>159</v>
      </c>
      <c r="L1" s="7" t="s">
        <v>160</v>
      </c>
      <c r="M1" s="8"/>
      <c r="N1" s="8"/>
      <c r="O1" s="8"/>
      <c r="P1" s="8"/>
      <c r="Q1" s="8"/>
      <c r="R1" s="8"/>
      <c r="S1" s="8"/>
      <c r="T1" s="8"/>
      <c r="U1" s="8"/>
      <c r="V1" s="8"/>
      <c r="W1" s="8"/>
      <c r="X1" s="8"/>
      <c r="Y1" s="8"/>
      <c r="Z1" s="8"/>
    </row>
    <row r="2" spans="1:26" ht="17">
      <c r="A2" s="314" t="s">
        <v>331</v>
      </c>
      <c r="B2" s="318" t="s">
        <v>59</v>
      </c>
      <c r="C2" s="403" t="s">
        <v>314</v>
      </c>
      <c r="D2" s="319"/>
      <c r="E2" s="321" t="s">
        <v>173</v>
      </c>
      <c r="F2" s="324" t="s">
        <v>53</v>
      </c>
      <c r="G2" s="10">
        <v>1</v>
      </c>
      <c r="H2" s="13" t="s">
        <v>332</v>
      </c>
      <c r="I2" s="14" t="s">
        <v>333</v>
      </c>
      <c r="J2" s="15">
        <v>1</v>
      </c>
      <c r="K2" s="10"/>
      <c r="L2" s="9"/>
    </row>
    <row r="3" spans="1:26" ht="17">
      <c r="A3" s="314"/>
      <c r="B3" s="318"/>
      <c r="C3" s="319"/>
      <c r="D3" s="319"/>
      <c r="E3" s="322"/>
      <c r="F3" s="326"/>
      <c r="G3" s="10">
        <v>2</v>
      </c>
      <c r="H3" s="17" t="s">
        <v>334</v>
      </c>
      <c r="I3" s="14" t="s">
        <v>335</v>
      </c>
      <c r="J3" s="15">
        <v>1</v>
      </c>
      <c r="K3" s="10" t="s">
        <v>336</v>
      </c>
      <c r="L3" s="9"/>
    </row>
    <row r="4" spans="1:26" ht="24" customHeight="1">
      <c r="A4" s="314"/>
      <c r="B4" s="318"/>
      <c r="C4" s="319"/>
      <c r="D4" s="319"/>
      <c r="E4" s="322"/>
      <c r="F4" s="326"/>
      <c r="G4" s="319">
        <v>3</v>
      </c>
      <c r="H4" s="334" t="s">
        <v>337</v>
      </c>
      <c r="I4" s="14" t="s">
        <v>338</v>
      </c>
      <c r="J4" s="332">
        <v>0.98</v>
      </c>
      <c r="K4" s="324" t="s">
        <v>339</v>
      </c>
      <c r="L4" s="9"/>
    </row>
    <row r="5" spans="1:26" ht="22" customHeight="1">
      <c r="A5" s="314"/>
      <c r="B5" s="318"/>
      <c r="C5" s="319"/>
      <c r="D5" s="319"/>
      <c r="E5" s="322"/>
      <c r="F5" s="326"/>
      <c r="G5" s="319"/>
      <c r="H5" s="334"/>
      <c r="I5" s="14" t="s">
        <v>340</v>
      </c>
      <c r="J5" s="333"/>
      <c r="K5" s="326"/>
      <c r="L5" s="9"/>
    </row>
    <row r="6" spans="1:26" ht="22" customHeight="1">
      <c r="A6" s="314"/>
      <c r="B6" s="318"/>
      <c r="C6" s="319"/>
      <c r="D6" s="319"/>
      <c r="E6" s="322"/>
      <c r="F6" s="326"/>
      <c r="G6" s="319"/>
      <c r="H6" s="334"/>
      <c r="I6" s="14" t="s">
        <v>335</v>
      </c>
      <c r="J6" s="410"/>
      <c r="K6" s="325"/>
      <c r="L6" s="9"/>
    </row>
    <row r="7" spans="1:26" ht="22" customHeight="1">
      <c r="A7" s="314"/>
      <c r="B7" s="318"/>
      <c r="C7" s="319"/>
      <c r="D7" s="319"/>
      <c r="E7" s="322"/>
      <c r="F7" s="326"/>
      <c r="G7" s="22">
        <v>4</v>
      </c>
      <c r="H7" s="23" t="s">
        <v>341</v>
      </c>
      <c r="I7" s="22" t="s">
        <v>340</v>
      </c>
      <c r="J7" s="24">
        <v>1</v>
      </c>
      <c r="K7" s="10"/>
      <c r="L7" s="9"/>
    </row>
    <row r="8" spans="1:26" ht="22" customHeight="1">
      <c r="A8" s="314"/>
      <c r="B8" s="318"/>
      <c r="C8" s="319"/>
      <c r="D8" s="319"/>
      <c r="E8" s="322"/>
      <c r="F8" s="326"/>
      <c r="G8" s="319">
        <v>5</v>
      </c>
      <c r="H8" s="319" t="s">
        <v>342</v>
      </c>
      <c r="I8" s="14" t="s">
        <v>340</v>
      </c>
      <c r="J8" s="332">
        <v>1</v>
      </c>
      <c r="K8" s="324" t="s">
        <v>343</v>
      </c>
      <c r="L8" s="9"/>
    </row>
    <row r="9" spans="1:26" ht="17">
      <c r="A9" s="314"/>
      <c r="B9" s="318"/>
      <c r="C9" s="319"/>
      <c r="D9" s="319"/>
      <c r="E9" s="322"/>
      <c r="F9" s="326"/>
      <c r="G9" s="319"/>
      <c r="H9" s="334"/>
      <c r="I9" s="14" t="s">
        <v>338</v>
      </c>
      <c r="J9" s="410"/>
      <c r="K9" s="325"/>
      <c r="L9" s="9"/>
    </row>
    <row r="10" spans="1:26" ht="21" customHeight="1">
      <c r="A10" s="314"/>
      <c r="B10" s="318"/>
      <c r="C10" s="319"/>
      <c r="D10" s="319"/>
      <c r="E10" s="322"/>
      <c r="F10" s="326"/>
      <c r="G10" s="22">
        <v>6</v>
      </c>
      <c r="H10" s="25" t="s">
        <v>344</v>
      </c>
      <c r="I10" s="22" t="s">
        <v>333</v>
      </c>
      <c r="J10" s="24">
        <v>1</v>
      </c>
      <c r="K10" s="10"/>
      <c r="L10" s="9"/>
    </row>
    <row r="11" spans="1:26" ht="34">
      <c r="A11" s="314"/>
      <c r="B11" s="318"/>
      <c r="C11" s="319"/>
      <c r="D11" s="319"/>
      <c r="E11" s="322"/>
      <c r="F11" s="326"/>
      <c r="G11" s="26">
        <v>7</v>
      </c>
      <c r="H11" s="23" t="s">
        <v>345</v>
      </c>
      <c r="I11" s="22" t="s">
        <v>338</v>
      </c>
      <c r="J11" s="24">
        <v>1</v>
      </c>
      <c r="K11" s="10" t="s">
        <v>346</v>
      </c>
      <c r="L11" s="9"/>
    </row>
    <row r="12" spans="1:26" ht="33" customHeight="1">
      <c r="A12" s="314"/>
      <c r="B12" s="318"/>
      <c r="C12" s="319"/>
      <c r="D12" s="319"/>
      <c r="E12" s="322"/>
      <c r="F12" s="326"/>
      <c r="G12" s="22">
        <v>8</v>
      </c>
      <c r="H12" s="23" t="s">
        <v>347</v>
      </c>
      <c r="I12" s="22" t="s">
        <v>335</v>
      </c>
      <c r="J12" s="24">
        <v>1</v>
      </c>
      <c r="K12" s="10" t="s">
        <v>336</v>
      </c>
      <c r="L12" s="9"/>
    </row>
    <row r="13" spans="1:26" ht="25" customHeight="1">
      <c r="A13" s="314"/>
      <c r="B13" s="318"/>
      <c r="C13" s="319"/>
      <c r="D13" s="319"/>
      <c r="E13" s="322"/>
      <c r="F13" s="326"/>
      <c r="G13" s="319">
        <v>9</v>
      </c>
      <c r="H13" s="324" t="s">
        <v>348</v>
      </c>
      <c r="I13" s="10" t="s">
        <v>338</v>
      </c>
      <c r="J13" s="332">
        <v>0.8</v>
      </c>
      <c r="K13" s="324" t="s">
        <v>349</v>
      </c>
      <c r="L13" s="9">
        <v>1</v>
      </c>
    </row>
    <row r="14" spans="1:26" ht="23" customHeight="1">
      <c r="A14" s="314"/>
      <c r="B14" s="318"/>
      <c r="C14" s="319"/>
      <c r="D14" s="319"/>
      <c r="E14" s="322"/>
      <c r="F14" s="326"/>
      <c r="G14" s="319"/>
      <c r="H14" s="326"/>
      <c r="I14" s="10" t="s">
        <v>333</v>
      </c>
      <c r="J14" s="333"/>
      <c r="K14" s="326"/>
      <c r="L14" s="9">
        <v>1</v>
      </c>
    </row>
    <row r="15" spans="1:26" ht="23" customHeight="1">
      <c r="A15" s="314"/>
      <c r="B15" s="318"/>
      <c r="C15" s="319"/>
      <c r="D15" s="319"/>
      <c r="E15" s="322"/>
      <c r="F15" s="326"/>
      <c r="G15" s="10"/>
      <c r="H15" s="325"/>
      <c r="I15" s="10" t="s">
        <v>340</v>
      </c>
      <c r="J15" s="333"/>
      <c r="K15" s="326"/>
      <c r="L15" s="9">
        <v>1</v>
      </c>
    </row>
    <row r="16" spans="1:26" ht="23" customHeight="1">
      <c r="A16" s="314"/>
      <c r="B16" s="318"/>
      <c r="C16" s="319"/>
      <c r="D16" s="319"/>
      <c r="E16" s="322"/>
      <c r="F16" s="326"/>
      <c r="G16" s="319">
        <v>10</v>
      </c>
      <c r="H16" s="334" t="s">
        <v>350</v>
      </c>
      <c r="I16" s="10" t="s">
        <v>333</v>
      </c>
      <c r="J16" s="333">
        <v>0.9</v>
      </c>
      <c r="K16" s="326" t="s">
        <v>351</v>
      </c>
      <c r="L16" s="9"/>
    </row>
    <row r="17" spans="1:12" ht="23" customHeight="1">
      <c r="A17" s="314"/>
      <c r="B17" s="318"/>
      <c r="C17" s="319"/>
      <c r="D17" s="319"/>
      <c r="E17" s="322"/>
      <c r="F17" s="326"/>
      <c r="G17" s="319"/>
      <c r="H17" s="334"/>
      <c r="I17" s="10" t="s">
        <v>352</v>
      </c>
      <c r="J17" s="333"/>
      <c r="K17" s="326"/>
      <c r="L17" s="9"/>
    </row>
    <row r="18" spans="1:12" ht="23" customHeight="1">
      <c r="A18" s="314"/>
      <c r="B18" s="318"/>
      <c r="C18" s="319"/>
      <c r="D18" s="319"/>
      <c r="E18" s="322"/>
      <c r="F18" s="326"/>
      <c r="G18" s="319"/>
      <c r="H18" s="334"/>
      <c r="I18" s="10" t="s">
        <v>257</v>
      </c>
      <c r="J18" s="410"/>
      <c r="K18" s="325"/>
      <c r="L18" s="9"/>
    </row>
    <row r="19" spans="1:12" ht="23" customHeight="1">
      <c r="A19" s="314"/>
      <c r="B19" s="318"/>
      <c r="C19" s="319"/>
      <c r="D19" s="319"/>
      <c r="E19" s="322"/>
      <c r="F19" s="326"/>
      <c r="G19" s="319">
        <v>11</v>
      </c>
      <c r="H19" s="334" t="s">
        <v>353</v>
      </c>
      <c r="I19" s="10" t="s">
        <v>352</v>
      </c>
      <c r="J19" s="333">
        <v>0.8</v>
      </c>
      <c r="K19" s="21" t="s">
        <v>354</v>
      </c>
      <c r="L19" s="9">
        <v>1</v>
      </c>
    </row>
    <row r="20" spans="1:12" ht="23" customHeight="1">
      <c r="A20" s="314"/>
      <c r="B20" s="318"/>
      <c r="C20" s="319"/>
      <c r="D20" s="319"/>
      <c r="E20" s="322"/>
      <c r="F20" s="326"/>
      <c r="G20" s="319"/>
      <c r="H20" s="334"/>
      <c r="I20" s="10" t="s">
        <v>333</v>
      </c>
      <c r="J20" s="410"/>
      <c r="K20" s="21" t="s">
        <v>354</v>
      </c>
      <c r="L20" s="9">
        <v>1</v>
      </c>
    </row>
    <row r="21" spans="1:12" ht="23" customHeight="1">
      <c r="A21" s="314"/>
      <c r="B21" s="318"/>
      <c r="C21" s="319"/>
      <c r="D21" s="319"/>
      <c r="E21" s="322"/>
      <c r="F21" s="326"/>
      <c r="G21" s="405">
        <v>12</v>
      </c>
      <c r="H21" s="407" t="s">
        <v>355</v>
      </c>
      <c r="I21" s="27" t="s">
        <v>333</v>
      </c>
      <c r="J21" s="411">
        <v>0.9</v>
      </c>
      <c r="K21" s="412" t="s">
        <v>356</v>
      </c>
      <c r="L21" s="9">
        <v>2</v>
      </c>
    </row>
    <row r="22" spans="1:12" ht="23" customHeight="1">
      <c r="A22" s="314"/>
      <c r="B22" s="318"/>
      <c r="C22" s="319"/>
      <c r="D22" s="319"/>
      <c r="E22" s="322"/>
      <c r="F22" s="326"/>
      <c r="G22" s="405"/>
      <c r="H22" s="408"/>
      <c r="I22" s="27" t="s">
        <v>340</v>
      </c>
      <c r="J22" s="411"/>
      <c r="K22" s="412"/>
      <c r="L22" s="9">
        <v>4</v>
      </c>
    </row>
    <row r="23" spans="1:12" ht="23" customHeight="1">
      <c r="A23" s="314"/>
      <c r="B23" s="318"/>
      <c r="C23" s="319"/>
      <c r="D23" s="319"/>
      <c r="E23" s="322"/>
      <c r="F23" s="326"/>
      <c r="G23" s="405"/>
      <c r="H23" s="408"/>
      <c r="I23" s="27" t="s">
        <v>335</v>
      </c>
      <c r="J23" s="411"/>
      <c r="K23" s="412"/>
      <c r="L23" s="9">
        <v>5</v>
      </c>
    </row>
    <row r="24" spans="1:12" ht="23" customHeight="1">
      <c r="A24" s="314"/>
      <c r="B24" s="318"/>
      <c r="C24" s="319"/>
      <c r="D24" s="319"/>
      <c r="E24" s="322"/>
      <c r="F24" s="326"/>
      <c r="G24" s="405"/>
      <c r="H24" s="408"/>
      <c r="I24" s="27" t="s">
        <v>338</v>
      </c>
      <c r="J24" s="411"/>
      <c r="K24" s="412"/>
      <c r="L24" s="9">
        <v>4</v>
      </c>
    </row>
    <row r="25" spans="1:12" ht="23" customHeight="1">
      <c r="A25" s="314"/>
      <c r="B25" s="318"/>
      <c r="C25" s="319"/>
      <c r="D25" s="319"/>
      <c r="E25" s="322"/>
      <c r="F25" s="326"/>
      <c r="G25" s="405"/>
      <c r="H25" s="408"/>
      <c r="I25" s="27" t="s">
        <v>352</v>
      </c>
      <c r="J25" s="411"/>
      <c r="K25" s="412"/>
      <c r="L25" s="9"/>
    </row>
    <row r="26" spans="1:12" ht="23" customHeight="1">
      <c r="A26" s="314"/>
      <c r="B26" s="318"/>
      <c r="C26" s="319"/>
      <c r="D26" s="319"/>
      <c r="E26" s="322"/>
      <c r="F26" s="325"/>
      <c r="G26" s="405"/>
      <c r="H26" s="408"/>
      <c r="I26" s="10" t="s">
        <v>59</v>
      </c>
      <c r="J26" s="411"/>
      <c r="K26" s="413"/>
      <c r="L26" s="9"/>
    </row>
    <row r="27" spans="1:12" ht="23" customHeight="1">
      <c r="A27" s="314"/>
      <c r="B27" s="318"/>
      <c r="C27" s="319"/>
      <c r="D27" s="319"/>
      <c r="E27" s="322"/>
      <c r="F27" s="319" t="s">
        <v>357</v>
      </c>
      <c r="G27" s="10">
        <v>1</v>
      </c>
      <c r="H27" s="13" t="s">
        <v>358</v>
      </c>
      <c r="I27" s="10" t="s">
        <v>359</v>
      </c>
      <c r="J27" s="15">
        <v>1</v>
      </c>
      <c r="K27" s="10"/>
      <c r="L27" s="9">
        <v>5</v>
      </c>
    </row>
    <row r="28" spans="1:12" ht="23" customHeight="1">
      <c r="A28" s="314"/>
      <c r="B28" s="318"/>
      <c r="C28" s="319"/>
      <c r="D28" s="319"/>
      <c r="E28" s="322"/>
      <c r="F28" s="319"/>
      <c r="G28" s="10">
        <v>2</v>
      </c>
      <c r="H28" s="13" t="s">
        <v>360</v>
      </c>
      <c r="I28" s="10" t="s">
        <v>361</v>
      </c>
      <c r="J28" s="15">
        <v>1</v>
      </c>
      <c r="K28" s="10"/>
      <c r="L28" s="9">
        <v>5</v>
      </c>
    </row>
    <row r="29" spans="1:12" ht="23" customHeight="1">
      <c r="A29" s="314"/>
      <c r="B29" s="318"/>
      <c r="C29" s="319"/>
      <c r="D29" s="319"/>
      <c r="E29" s="322"/>
      <c r="F29" s="319"/>
      <c r="G29" s="10">
        <v>3</v>
      </c>
      <c r="H29" s="13" t="s">
        <v>360</v>
      </c>
      <c r="I29" s="10" t="s">
        <v>362</v>
      </c>
      <c r="J29" s="15">
        <v>1</v>
      </c>
      <c r="K29" s="10"/>
      <c r="L29" s="9">
        <v>5</v>
      </c>
    </row>
    <row r="30" spans="1:12" ht="23" customHeight="1">
      <c r="A30" s="314"/>
      <c r="B30" s="318"/>
      <c r="C30" s="319"/>
      <c r="D30" s="319"/>
      <c r="E30" s="322"/>
      <c r="F30" s="324" t="s">
        <v>363</v>
      </c>
      <c r="G30" s="10">
        <v>1</v>
      </c>
      <c r="H30" s="13" t="s">
        <v>364</v>
      </c>
      <c r="I30" s="10" t="s">
        <v>59</v>
      </c>
      <c r="J30" s="15">
        <v>0.1</v>
      </c>
      <c r="K30" s="10" t="s">
        <v>365</v>
      </c>
      <c r="L30" s="9"/>
    </row>
    <row r="31" spans="1:12" ht="24" customHeight="1">
      <c r="A31" s="314"/>
      <c r="B31" s="318"/>
      <c r="C31" s="319"/>
      <c r="D31" s="319"/>
      <c r="E31" s="322"/>
      <c r="F31" s="326"/>
      <c r="G31" s="10">
        <v>2</v>
      </c>
      <c r="H31" s="13" t="s">
        <v>366</v>
      </c>
      <c r="I31" s="10" t="s">
        <v>59</v>
      </c>
      <c r="J31" s="15">
        <v>0.5</v>
      </c>
      <c r="K31" s="10" t="s">
        <v>367</v>
      </c>
      <c r="L31" s="9"/>
    </row>
    <row r="32" spans="1:12" ht="34">
      <c r="A32" s="314"/>
      <c r="B32" s="318"/>
      <c r="C32" s="319"/>
      <c r="D32" s="319"/>
      <c r="E32" s="322"/>
      <c r="F32" s="326"/>
      <c r="G32" s="10">
        <v>3</v>
      </c>
      <c r="H32" s="13" t="s">
        <v>368</v>
      </c>
      <c r="I32" s="12" t="s">
        <v>59</v>
      </c>
      <c r="J32" s="18">
        <v>0.7</v>
      </c>
      <c r="K32" s="12" t="s">
        <v>369</v>
      </c>
      <c r="L32" s="9">
        <v>2</v>
      </c>
    </row>
    <row r="33" spans="1:12">
      <c r="A33" s="314"/>
      <c r="B33" s="318"/>
      <c r="C33" s="319"/>
      <c r="D33" s="319"/>
      <c r="E33" s="322"/>
      <c r="F33" s="326"/>
      <c r="G33" s="406">
        <v>4</v>
      </c>
      <c r="H33" s="409" t="s">
        <v>370</v>
      </c>
      <c r="I33" s="324" t="s">
        <v>59</v>
      </c>
      <c r="J33" s="332">
        <v>0.7</v>
      </c>
      <c r="K33" s="324" t="s">
        <v>371</v>
      </c>
      <c r="L33" s="329"/>
    </row>
    <row r="34" spans="1:12">
      <c r="A34" s="314"/>
      <c r="B34" s="318"/>
      <c r="C34" s="319"/>
      <c r="D34" s="319"/>
      <c r="E34" s="322"/>
      <c r="F34" s="326"/>
      <c r="G34" s="406"/>
      <c r="H34" s="409"/>
      <c r="I34" s="325"/>
      <c r="J34" s="410"/>
      <c r="K34" s="325"/>
      <c r="L34" s="414"/>
    </row>
    <row r="35" spans="1:12" ht="51">
      <c r="A35" s="314"/>
      <c r="B35" s="318"/>
      <c r="C35" s="319"/>
      <c r="D35" s="319"/>
      <c r="E35" s="322"/>
      <c r="F35" s="326"/>
      <c r="G35" s="28">
        <v>5</v>
      </c>
      <c r="H35" s="29" t="s">
        <v>372</v>
      </c>
      <c r="I35" s="16" t="s">
        <v>59</v>
      </c>
      <c r="J35" s="19">
        <v>0.3</v>
      </c>
      <c r="K35" s="16" t="s">
        <v>373</v>
      </c>
      <c r="L35" s="31"/>
    </row>
    <row r="36" spans="1:12" ht="17">
      <c r="A36" s="314"/>
      <c r="B36" s="318"/>
      <c r="C36" s="319"/>
      <c r="D36" s="319"/>
      <c r="E36" s="322"/>
      <c r="F36" s="326"/>
      <c r="G36" s="28">
        <v>6</v>
      </c>
      <c r="H36" s="29" t="s">
        <v>374</v>
      </c>
      <c r="I36" s="16" t="s">
        <v>333</v>
      </c>
      <c r="J36" s="19">
        <v>0.5</v>
      </c>
      <c r="K36" s="16" t="s">
        <v>375</v>
      </c>
      <c r="L36" s="31"/>
    </row>
    <row r="37" spans="1:12" ht="17">
      <c r="A37" s="314"/>
      <c r="B37" s="318"/>
      <c r="C37" s="319"/>
      <c r="D37" s="319"/>
      <c r="E37" s="322"/>
      <c r="F37" s="326"/>
      <c r="G37" s="324">
        <v>7</v>
      </c>
      <c r="H37" s="324" t="s">
        <v>376</v>
      </c>
      <c r="I37" s="12" t="s">
        <v>59</v>
      </c>
      <c r="J37" s="332">
        <v>0.7</v>
      </c>
      <c r="K37" s="324" t="s">
        <v>377</v>
      </c>
      <c r="L37" s="30">
        <v>1</v>
      </c>
    </row>
    <row r="38" spans="1:12" ht="20" customHeight="1">
      <c r="A38" s="314"/>
      <c r="B38" s="318"/>
      <c r="C38" s="319"/>
      <c r="D38" s="319"/>
      <c r="E38" s="323"/>
      <c r="F38" s="325"/>
      <c r="G38" s="325"/>
      <c r="H38" s="325"/>
      <c r="I38" s="12" t="s">
        <v>333</v>
      </c>
      <c r="J38" s="333"/>
      <c r="K38" s="326"/>
      <c r="L38" s="30">
        <v>1</v>
      </c>
    </row>
    <row r="39" spans="1:12" ht="16">
      <c r="A39" s="314"/>
      <c r="B39" s="318"/>
      <c r="C39" s="319"/>
      <c r="D39" s="319"/>
      <c r="E39" s="313" t="s">
        <v>170</v>
      </c>
      <c r="F39" s="313"/>
      <c r="G39" s="313"/>
      <c r="H39" s="313"/>
      <c r="I39" s="32"/>
      <c r="J39" s="33"/>
      <c r="K39" s="34"/>
      <c r="L39" s="35">
        <f>SUM(L2:L38)</f>
        <v>39</v>
      </c>
    </row>
    <row r="40" spans="1:12" ht="108">
      <c r="A40" s="314"/>
      <c r="B40" s="318"/>
      <c r="C40" s="319"/>
      <c r="D40" s="319"/>
      <c r="E40" s="320" t="s">
        <v>171</v>
      </c>
      <c r="F40" s="37" t="s">
        <v>53</v>
      </c>
      <c r="G40" s="36">
        <v>1</v>
      </c>
      <c r="H40" s="38" t="s">
        <v>378</v>
      </c>
      <c r="I40" s="10" t="s">
        <v>333</v>
      </c>
      <c r="J40" s="39">
        <v>0.95</v>
      </c>
      <c r="K40" s="10" t="s">
        <v>379</v>
      </c>
      <c r="L40" s="40"/>
    </row>
    <row r="41" spans="1:12" ht="18">
      <c r="A41" s="314"/>
      <c r="B41" s="318"/>
      <c r="C41" s="319"/>
      <c r="D41" s="319"/>
      <c r="E41" s="320"/>
      <c r="F41" s="404" t="s">
        <v>363</v>
      </c>
      <c r="G41" s="36">
        <v>1</v>
      </c>
      <c r="H41" s="38" t="s">
        <v>380</v>
      </c>
      <c r="I41" s="10" t="s">
        <v>59</v>
      </c>
      <c r="J41" s="39"/>
      <c r="K41" s="36"/>
      <c r="L41" s="40"/>
    </row>
    <row r="42" spans="1:12" ht="18">
      <c r="A42" s="314"/>
      <c r="B42" s="318"/>
      <c r="C42" s="319"/>
      <c r="D42" s="319"/>
      <c r="E42" s="320"/>
      <c r="F42" s="404"/>
      <c r="G42" s="36">
        <v>2</v>
      </c>
      <c r="H42" s="38" t="s">
        <v>381</v>
      </c>
      <c r="I42" s="10" t="s">
        <v>59</v>
      </c>
      <c r="J42" s="39"/>
      <c r="K42" s="36"/>
      <c r="L42" s="40"/>
    </row>
    <row r="43" spans="1:12" ht="21" customHeight="1">
      <c r="A43" s="314"/>
      <c r="B43" s="318"/>
      <c r="C43" s="319"/>
      <c r="D43" s="319"/>
      <c r="E43" s="320"/>
      <c r="F43" s="404"/>
      <c r="G43" s="36">
        <v>3</v>
      </c>
      <c r="H43" s="38" t="s">
        <v>382</v>
      </c>
      <c r="I43" s="10" t="s">
        <v>59</v>
      </c>
      <c r="J43" s="39"/>
      <c r="K43" s="36"/>
      <c r="L43" s="40"/>
    </row>
    <row r="44" spans="1:12" ht="18">
      <c r="A44" s="314"/>
      <c r="B44" s="318"/>
      <c r="C44" s="319"/>
      <c r="D44" s="319"/>
      <c r="E44" s="320"/>
      <c r="F44" s="404"/>
      <c r="G44" s="36">
        <v>4</v>
      </c>
      <c r="H44" s="38" t="s">
        <v>383</v>
      </c>
      <c r="I44" s="10" t="s">
        <v>59</v>
      </c>
      <c r="J44" s="39"/>
      <c r="K44" s="36"/>
      <c r="L44" s="40"/>
    </row>
  </sheetData>
  <autoFilter ref="A1:Z44" xr:uid="{00000000-0009-0000-0000-000008000000}"/>
  <mergeCells count="44">
    <mergeCell ref="L33:L34"/>
    <mergeCell ref="J37:J38"/>
    <mergeCell ref="K4:K6"/>
    <mergeCell ref="K8:K9"/>
    <mergeCell ref="K13:K15"/>
    <mergeCell ref="K16:K18"/>
    <mergeCell ref="K21:K26"/>
    <mergeCell ref="K33:K34"/>
    <mergeCell ref="K37:K38"/>
    <mergeCell ref="I33:I34"/>
    <mergeCell ref="J4:J6"/>
    <mergeCell ref="J8:J9"/>
    <mergeCell ref="J13:J15"/>
    <mergeCell ref="J16:J18"/>
    <mergeCell ref="J19:J20"/>
    <mergeCell ref="J21:J26"/>
    <mergeCell ref="J33:J34"/>
    <mergeCell ref="G21:G26"/>
    <mergeCell ref="G33:G34"/>
    <mergeCell ref="G37:G38"/>
    <mergeCell ref="H4:H6"/>
    <mergeCell ref="H8:H9"/>
    <mergeCell ref="H13:H15"/>
    <mergeCell ref="H16:H18"/>
    <mergeCell ref="H19:H20"/>
    <mergeCell ref="H21:H26"/>
    <mergeCell ref="H33:H34"/>
    <mergeCell ref="H37:H38"/>
    <mergeCell ref="E39:H39"/>
    <mergeCell ref="A2:A44"/>
    <mergeCell ref="B2:B44"/>
    <mergeCell ref="C2:C44"/>
    <mergeCell ref="D2:D44"/>
    <mergeCell ref="E2:E38"/>
    <mergeCell ref="E40:E44"/>
    <mergeCell ref="F2:F26"/>
    <mergeCell ref="F27:F29"/>
    <mergeCell ref="F30:F38"/>
    <mergeCell ref="F41:F44"/>
    <mergeCell ref="G4:G6"/>
    <mergeCell ref="G8:G9"/>
    <mergeCell ref="G13:G14"/>
    <mergeCell ref="G16:G18"/>
    <mergeCell ref="G19:G20"/>
  </mergeCells>
  <phoneticPr fontId="3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光营 周</cp:lastModifiedBy>
  <dcterms:created xsi:type="dcterms:W3CDTF">2015-06-05T18:19:00Z</dcterms:created>
  <dcterms:modified xsi:type="dcterms:W3CDTF">2026-06-08T16:18:37Z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2052-12.1.0.26375</vt:lpwstr>
  </property>
  <property fmtid="{D5CDD505-2E9C-101B-9397-08002B2CF9AE}" pid="4" name="CalculationRule">
    <vt:i4>0</vt:i4>
  </property>
</Properties>
</file>