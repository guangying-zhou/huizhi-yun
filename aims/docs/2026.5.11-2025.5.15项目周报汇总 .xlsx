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2" r:id="rId2"/>
    <sheet name="交付-房产组" sheetId="3" r:id="rId3"/>
    <sheet name="交付-物业组" sheetId="4" r:id="rId4"/>
    <sheet name="交付-AI大数据组" sheetId="5" r:id="rId5"/>
    <sheet name="交付-JD组" sheetId="6" r:id="rId6"/>
    <sheet name="产品研发部" sheetId="7" r:id="rId7"/>
    <sheet name="汇房智选部" sheetId="8" r:id="rId8"/>
  </sheets>
  <definedNames>
    <definedName name="_xlnm._FilterDatabase" localSheetId="1" hidden="1">'交付-不动产组'!$A$1:$L$33</definedName>
    <definedName name="_xlnm._FilterDatabase" localSheetId="7" hidden="1">汇房智选部!$I$1:$I$40</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<sst xmlns="http://schemas.openxmlformats.org/spreadsheetml/2006/main" count="828" uniqueCount="335">
  <si>
    <t>项目周报汇总（2026.5.11-2025.5.15）</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</si>
  <si>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</si>
  <si>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</si>
  <si>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</si>
  <si>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</si>
  <si>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</si>
  <si>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</si>
  <si>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</si>
  <si>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</si>
  <si>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</si>
  <si>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</si>
  <si>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</si>
  <si>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</si>
  <si>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</si>
  <si>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</si>
  <si>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</si>
  <si>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</si>
  <si>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</si>
  <si>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</si>
  <si>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</si>
  <si>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</si>
  <si>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</si>
  <si>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</si>
  <si>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</si>
  <si>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</si>
  <si>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</si>
  <si>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</si>
  <si>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</si>
  <si>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</si>
  <si>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</si>
  <si>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</si>
  <si>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</si>
  <si>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完成初验，目前处于各子系统陆续切换过程中，分好多系统需要信创上线  最后一个系统上线是今年10月份；4.17那周电子监督和电子证照本周上线，4.24周云柜台、智能审核、律师查询系统上线，截止5月15号没有新进展，5月底会迁移网上抵押项目。</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</si>
  <si>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</si>
  <si>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</si>
  <si>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</si>
  <si>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</si>
  <si>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</si>
  <si>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</si>
  <si>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</si>
  <si>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</si>
  <si>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</si>
  <si>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</si>
  <si>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</si>
  <si>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</si>
  <si>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</si>
  <si>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</si>
  <si>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</si>
  <si>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2025年12月完成初验，目前调整及测试中，甲方暂定5月份上线，服务器资源预计5月中旬能够到位</t>
  </si>
  <si>
    <t>21250606J</t>
  </si>
  <si>
    <t>山东省机关事务局职工房改管理系统适配改造项目</t>
  </si>
  <si>
    <t>付艳芳</t>
  </si>
  <si>
    <t>维护</t>
  </si>
  <si>
    <t>2025年12月完成终验，现在处于3年免费运维中</t>
  </si>
  <si>
    <t>宿松房产一体化平台</t>
  </si>
  <si>
    <t>刘存山</t>
  </si>
  <si>
    <t>开发</t>
  </si>
  <si>
    <t>合同跟进中</t>
  </si>
  <si>
    <t>本周维修资金系统开发完成，迁移程序完成</t>
  </si>
  <si>
    <t>物业组
（袁畅）</t>
  </si>
  <si>
    <t>日照市三平台融合、智慧物业、住宅专项维修资金系统信创改造项目</t>
  </si>
  <si>
    <t>王成</t>
  </si>
  <si>
    <t>还没组织验收，现在是上线配合推广阶段</t>
  </si>
  <si>
    <t>滨州智慧物业</t>
  </si>
  <si>
    <t>王壮</t>
  </si>
  <si>
    <t>实施</t>
  </si>
  <si>
    <t>有合同</t>
  </si>
  <si>
    <t>尾款追讨，公积金已初步答应拨付</t>
  </si>
  <si>
    <t>下周配合客户对试点区县进行推广（滨城、沾化、博兴）</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</si>
  <si>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</si>
  <si>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</si>
  <si>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</si>
  <si>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</si>
  <si>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</si>
  <si>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</si>
  <si>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</si>
  <si>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延迟</t>
  </si>
  <si>
    <t>无合同</t>
  </si>
  <si>
    <t>1、大汉平台对接不动产接口有问题，大汉一直在解决，这个还影响进度
2、缺少中级以上开发人员，毕彦信技术能力不足</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</si>
  <si>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</si>
  <si>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</si>
  <si>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</si>
  <si>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</si>
  <si>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</si>
  <si>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</si>
  <si>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</si>
  <si>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</si>
  <si>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</si>
  <si>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</si>
  <si>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</si>
  <si>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</si>
  <si>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</si>
  <si>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</si>
  <si>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</si>
  <si>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</si>
  <si>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房产项目运维</t>
  </si>
  <si>
    <t>维修资金项目运维</t>
  </si>
  <si>
    <t>智慧物业运维</t>
  </si>
  <si>
    <t>人力小计：</t>
  </si>
  <si>
    <t>人力饱和度</t>
  </si>
  <si>
    <t>袁畅借调软件项目部</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</si>
  <si>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</si>
  <si>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</si>
  <si>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</si>
  <si>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</si>
  <si>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</si>
  <si>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</si>
  <si>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</si>
  <si>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</si>
  <si>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</si>
  <si>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</si>
  <si>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</si>
  <si>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</si>
  <si>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济南市不动产登记系统功能拓展(研发支持)</t>
  </si>
  <si>
    <t>不动产电子监督系统功能拓展(研发支持)</t>
  </si>
  <si>
    <t>汇房智选部
（任建伟）</t>
  </si>
  <si>
    <t>22250903HF</t>
  </si>
  <si>
    <t>济南市联合资产交易公示平台</t>
  </si>
  <si>
    <t>王帅</t>
  </si>
  <si>
    <t>一直有小范围需求增加，进度会出现未增长状态</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</si>
  <si>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</si>
  <si>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</si>
  <si>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</si>
  <si>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</si>
  <si>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</si>
  <si>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</si>
  <si>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</si>
  <si>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</si>
  <si>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</si>
  <si>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</si>
  <si>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</si>
  <si>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</si>
  <si>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</si>
  <si>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</si>
  <si>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售前</t>
  </si>
  <si>
    <t>价格未谈拢</t>
  </si>
  <si>
    <t>房屋租赁管理系统(汇房云租)</t>
  </si>
  <si>
    <t>待立项</t>
  </si>
  <si>
    <t>挂起</t>
  </si>
  <si>
    <t>阳信房产超市运维&amp;乐居乳山</t>
  </si>
  <si>
    <t>安震、王帅</t>
  </si>
  <si>
    <t>软件项目部
(王成)</t>
  </si>
  <si>
    <t>日照银行智慧社区维护与升级</t>
  </si>
  <si>
    <t>泉农通二期销售售前支持</t>
  </si>
  <si>
    <t>刘传祥</t>
  </si>
  <si>
    <t>销售立项</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</si>
  <si>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</si>
  <si>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</si>
  <si>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</si>
  <si>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</si>
  <si>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</si>
  <si>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</si>
  <si>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</si>
  <si>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</si>
  <si>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</si>
  <si>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</si>
  <si>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济南市不动产登记系统功能拓展
项目编号：22220901</t>
  </si>
  <si>
    <t>统计任务：14条
1、宗地压盖数据表格属性补充，涉及9个表格。
2、林权数据统计。
3、统计给定楼幢下房屋有效查封情况。
4、统计26年至今电子勘误所有勘误记录明细。
5、宗地压盖数据属性补充。（周二）
6、统计给定公司名下全部不动产登记信息。
7、按照省厅下发《关于转发自然资源部登记持续化解历史遗留问题为群众和企业办证工作指导口径的通知》，统计给定楼幢编号办证情况。
8、宗地压盖数据属性补充（周三）。
9、宗地压盖数据属性补充（周四）。
10、统计25年、26年1-4月涉及企业办理各项业务的数量。
11、统计历下区泺源大街29号圣凯财富广场办证信息。
12、统计25年、26年1-4月涉及企业办理各项业务的明细。
13、统计登记系统内济阳、平阴的宅基地及地上房屋数据。
14、宗地压盖数据补充属性信息。（周五）</t>
  </si>
  <si>
    <t>应不动产信息管理部要求，整理编写26年上半年各项工作台账。</t>
  </si>
  <si>
    <t>不动产登记系统：测试近期新增功能，并发布版本。</t>
  </si>
  <si>
    <t>不动产登记中心参加会议：参加《信息管理部关于进一步做好不动产登记系统运维保障相关工作》调度会议。</t>
  </si>
  <si>
    <t>不动产登记系统-信息共享：爱山东上，不动产自然属性及限制信息查询接口，登记大类是宅基地的屏蔽掉。</t>
  </si>
  <si>
    <t>不动产登记系统：开发云柜台申请人相关人人像比对需求，已发布。</t>
  </si>
  <si>
    <t>张志鹏</t>
  </si>
  <si>
    <t>不动产登记系统-数据共享系统：法院接口优化：记录业务表申请人，证件号，坐落等信息</t>
  </si>
  <si>
    <t>参加抵押需求，农房宅基地数据两场会议。</t>
  </si>
  <si>
    <t>李中正</t>
  </si>
  <si>
    <t>数据汇交系统：增量数据汇交修改调用权籍坐标接口</t>
  </si>
  <si>
    <t>不动产登记系统：退件池字段调整，新增部分字段。</t>
  </si>
  <si>
    <t>（1）云柜台：先领证后交费业务不允许从爱山东缴费；
修复房信通查询楼幢列表bug(业务权利人无效时查不到楼幢);
二手房买卖、不动产证明核验爱山东发版。
（2）不动产证明核验、二手房买卖应用发版（排查uniapp页面跳转失败问题）
（3）给王廷果排查云柜台使用的全链条接口；云柜台、预受理系统非信创资源使用情况统计；</t>
  </si>
  <si>
    <t>合计</t>
  </si>
  <si>
    <t>下周计划</t>
  </si>
  <si>
    <t xml:space="preserve">济南市不动产登记中心不动产登记信息平台信创升级改造项目
项目编号：22250226
</t>
  </si>
  <si>
    <t>本周工作</t>
  </si>
  <si>
    <t>信创-登记系统</t>
  </si>
  <si>
    <t>（1）继续梳理登记系统受理业务过程调用外部接口情况，资源共享模块梳理。
（2）梳理登记系统对外提供接口明细，并通知相关单位进行打网申请。
（3）不动产登记信创迁移工作:梳理信创服务器172.16.12.73待发布项目情况，准备发布正式发布电子票件定时任务项目。</t>
  </si>
  <si>
    <t>平台登录：支持ie和Chrome兼容登录。</t>
  </si>
  <si>
    <t>(1)、信创机器访问项目多次点击后会出现无法访问的现象，初步判断和tomcat 配置的证书属性有关系    已优化
(2)、上传文件权限问题，解决方法：在tomcat里修改catalina.sh  UMASK="0022"
(3)、人脸识别功能报错，读取人头像URL 需要匹配信创内部地址
(4)、申报表生成报错，待处理
(5）、部署信创63服务器 电子勘误子系统  样式失效 待定位问题 
(6)、信创项目调用接口的信创地址</t>
  </si>
  <si>
    <t>李国强</t>
  </si>
  <si>
    <t>信创-电子监督系统、数据汇聚分平台</t>
  </si>
  <si>
    <t>其他</t>
  </si>
  <si>
    <t>网上抵押系统信创环境平台修改发布</t>
  </si>
  <si>
    <t>济南不动产登记平台运行维护
项目编号：41221101</t>
  </si>
  <si>
    <t>不动产软件运维</t>
  </si>
  <si>
    <t>处理登记系统、抵押系统等业务问题，共计 318 件，详情见附件1。
增量数据汇交每日巡检。</t>
  </si>
  <si>
    <t>李猛</t>
  </si>
  <si>
    <t>杨森</t>
  </si>
  <si>
    <t>不动产系统运维</t>
  </si>
  <si>
    <t>每日数据巡检问题数据汇交。 
每日不动产增量数据汇交系统查看。
将信创redas接口服务器63添加登记信创55上面的tomcat的https证书到java8密钥库中；将不动产登记信创nginx代理服务器62天假63上面redas的请求。
关于登记信创tomcat服务器开启war包共享加载，导致开发一往tomcat发项目包，tomcat开启的多播功能就吃服务器带宽，把带宽吃没，告知政务云目前是信创测试部署阶段，等到上线后，白天就不发包了。
沟通省直房改信创打通到不动产登记信创接口地址，需要怎么走流程。
数据汇交省厅前置机报文程序：对接何路，将数据汇交行政服务域信创机器62的堡垒机地址和账号密码发给何工。
给超图要数据汇交访问权籍不动产坐标接口(信创)的10.11的映射地址，开发将之前非信创的坐标接口地址换成信创的。
登记信息系统(信创)tomcat运行产生的数字化目录dragon下的webcam目录下的文件没有可读权限，沟通除了linux机器添加定时授权可执行权限的任务，开发在代码里边给文件赋权。
将信创v5vpn总共8个申请延期使用到26年10月30号。
将电子监督信创88的出口地址跟政务云申请修改，解决山东通访问电子监督映射的59.206.138.132地址，结果显示出口地址是59.206.138.72导致被山东通拦截的问题。
在登记信创55tomcat机器上面用银河麒麟镜像包里边expat和libxml2的rpm包将两个服务重新安装，然后tomcat的apr-util也编译安装成功。
在信创73机器上面tomcat配置139登记库、平台库和reiss信创瀚高库的数据源。
梳理2026年汇智不动产政务云资源清退停用计划表。
在信创接口服务器上复制一个tomcat做电子票据tomcat使用；在信创63机器上java8密钥库添加56机器tomcat的https证书。</t>
  </si>
  <si>
    <t>杨真真</t>
  </si>
  <si>
    <t>祝席成</t>
  </si>
  <si>
    <t xml:space="preserve">济南市房产交易管理平台拓展项目编号:22221201
</t>
  </si>
  <si>
    <t>99%</t>
  </si>
  <si>
    <t>对接交易与泉城链接口并梳理相关逻辑</t>
  </si>
  <si>
    <t xml:space="preserve">交易系统档案查询以及政务平台对接相关逻辑 </t>
  </si>
  <si>
    <t>交易系统测绘与证明相关业务维护</t>
  </si>
  <si>
    <t xml:space="preserve">山东省机关事务局职工房改管理系统适配改造项目：21250606J
</t>
  </si>
  <si>
    <t>运维</t>
  </si>
  <si>
    <t>1.济南市房改和不动产系统即将迁移信创环境，与省直对接的接口，需要提前将网络打通，跟信息中心协调需要网络打通流程以及整理现有的接口地址以及即将要打通的信创地址                                                                               2.上市交易接口文档重新编写优化                                    3.补全济南市房改库和公房库迁移失败的序列和索引        4.解决汉峪配租合同打印职工信息不展示的问题                                      5.帮葛秀乐调试汉峪出售房业务中退房受理单电脑无法打印的问题（其他电脑可正常打印）                                       6.帮鲁杰处理打印机无法打印并解决无法双面自动翻转的问题                                                                                     7.帮刘玉斌打印汉峪出售房退房受理单                               8.跟张扬确定济南市交易系统信创环境与省直接口交互地址  9.跟李工讨论确定房改系统，和房改接口项目放在哪台信创服务器。讨论可能会遇到的问题以及解决方案
10.跟宋雯雯确定需要修改的房改平台库表结构，并跟杨真真沟通确定重新，将这几个表迁移至瀚高库
11.整理省直房改信创系统与济南市房改系统，济南市不动产系统和济南市交易系统，接口交互的信创地址与对应的端口文档</t>
  </si>
  <si>
    <t xml:space="preserve">
1.修改房改和公房非加密信创环境版本并测试；
2.修改房改接口程序信创环境版本并测试；
3.填写房改系统申请不动产系统信创接口地址云资源需求申请表；
4.填写房改系统申请访问民婚姻登记接口打通网络申请表；
5.给张凤填写申请流程住建局数据资源申请；
6.和宫哲沟通房改和公房变更信创接口地址问题；
7.给保障中心王兵处理婚姻状况错误，无法添加配偶信息问题；
8.给莱芜专班郝主任沟通民政接口申请问题；
9.给姚永晶处理卧龙花园老数据录入老系统问题；
10.给张凤处理房测院黄孟鸣提交的长清数据问题；</t>
  </si>
  <si>
    <t>宋雯雯</t>
  </si>
  <si>
    <t>省直机关职工住房管理系统升级优化（上市交易模块上市交易申请初审详情页面编码测试）</t>
  </si>
  <si>
    <t>济南房产交易运维</t>
  </si>
  <si>
    <t xml:space="preserve">房管监测平台维护:
</t>
  </si>
  <si>
    <t>1.给信息科将老程序代码
2.查询并解决时间戳问题及梳理受影响数据
3.与张扬一起研究老程序合同模板问题
4.为甲方导出绿地集团商品房数据</t>
  </si>
  <si>
    <t>1、老系统资金监管增加异常退款处理页面的相关功能(完成70%)
2、老系统修改网签合同pdf模板样式(完成90%)
3、存量房网签及资金监管日常运维问题处理
4、给信息科统计受理科4月1号至今的业务人员工作量（完成100%）</t>
  </si>
  <si>
    <t>张杨</t>
  </si>
  <si>
    <t>处理测绘挂接、网签备案等业务问题，共计 49 件，详情件附件2。
检测平台每日巡检。
交易接口日志每日巡检。</t>
  </si>
  <si>
    <t>每日数据迁移的查看日志并删除多余备份。
市房改：在房改信创应用机器的tomcat8配置https。
填写交易和存量房系统安全资产台账导入模版发给李工。
将房改和交易那边三个信创v5vpn账号跟李苏楠申请延期到26年6月30号；
市房改：将房改平台库三张表从生产库迁移到信创瀚高库。
市房改两个系统申请访问不动产接口，修改宋雯雯提交的策略申请文档。</t>
  </si>
  <si>
    <t>省直上市交易页面接口对接；
修改爱山东"房产交易专区"合同下载bug；
根据测试问题清单优化系统：优化电子签名后预览问题；输入框添加历史记录；添加"打印"按钮等；
系统发包测试；</t>
  </si>
  <si>
    <t>董文超</t>
  </si>
  <si>
    <t>1、受理科问题台账中的问题处理（完成80%）
2、新增省直上市交易模块相关接口功能并与前端完成联调测试（完成100%）</t>
  </si>
  <si>
    <t>1.沟通受理科测试出的问题，并与张杨研究确定解决方案
2.修改迁移程序，并补充迁移问题数据</t>
  </si>
  <si>
    <t>存量房网签系统开发环境搭建</t>
  </si>
  <si>
    <t>郇正基</t>
  </si>
  <si>
    <t>维修资金迁移程序开发</t>
  </si>
  <si>
    <t>时守杰</t>
  </si>
  <si>
    <t>徐建飞</t>
  </si>
  <si>
    <t>景旭</t>
  </si>
  <si>
    <t>维修资金数据分析</t>
  </si>
  <si>
    <t>房产一体化项目：阳信、滨州、无棣、沾化、乳山维护；</t>
  </si>
  <si>
    <t>万德跃</t>
  </si>
  <si>
    <t>房产一体化：安徽地区、五莲、诸城维护</t>
  </si>
  <si>
    <t>滨州销售统计查询优化</t>
  </si>
  <si>
    <t>滨州房产一体化驻场维护</t>
  </si>
  <si>
    <t>吴胜傲</t>
  </si>
  <si>
    <t>维修资金系统维护：东营地区区、滨州地区维护；东营经开25年对账</t>
  </si>
  <si>
    <t>牛丽君</t>
  </si>
  <si>
    <t>1维修资金系统维护：高唐、滨州、东营、兖州、莱芜、潍坊滨海等地区维护
2 惠民维修资金系统维护调试</t>
  </si>
  <si>
    <t>赵衍峰</t>
  </si>
  <si>
    <t>日照维系资金驻场维护</t>
  </si>
  <si>
    <t>马睿</t>
  </si>
  <si>
    <t>滨州地区维修资金业务对接</t>
  </si>
  <si>
    <t>无棣维修资金对账</t>
  </si>
  <si>
    <t>王德智</t>
  </si>
  <si>
    <t>路红林</t>
  </si>
  <si>
    <t>东营区：对账</t>
  </si>
  <si>
    <t>孙达</t>
  </si>
  <si>
    <t>各地维修资金维护</t>
  </si>
  <si>
    <t>日照智慧物业维护</t>
  </si>
  <si>
    <t>日照市三平台融合、智慧物业、住宅专项维修资金系统信创改造项目
项目编号：22240822</t>
  </si>
  <si>
    <t>日照维修资金问题处理及测试</t>
  </si>
  <si>
    <t>潘春蕾</t>
  </si>
  <si>
    <t>智慧物业平台4家物业企业现场沟通推进</t>
  </si>
  <si>
    <t>袁畅</t>
  </si>
  <si>
    <t>日照维修资金运维</t>
  </si>
  <si>
    <t>智慧物业平台结合上周物业企业沟通情况优化调整</t>
  </si>
  <si>
    <t>滨州智慧物业
项目编号：23251211</t>
  </si>
  <si>
    <t>试点推进方案优化，现场沟通汇报</t>
  </si>
  <si>
    <t>系统功能测试</t>
  </si>
  <si>
    <t>段佑轩</t>
  </si>
  <si>
    <t>公积金对接测试</t>
  </si>
  <si>
    <t>业务功能测试</t>
  </si>
  <si>
    <t>许建飞</t>
  </si>
  <si>
    <t>试点推进区局现场沟通</t>
  </si>
  <si>
    <t>泉农通二期销售售前支持
项目编号：
121018</t>
  </si>
  <si>
    <t>农业局-泉农通小程序集成开发及测试</t>
  </si>
  <si>
    <t>王延磊</t>
  </si>
  <si>
    <t>韩华斌</t>
  </si>
  <si>
    <t>网信办-系统设计及开发</t>
  </si>
  <si>
    <t>农业局-泉农通小程序集成优化、现场汇报</t>
  </si>
  <si>
    <t>济南市不动产登记全量数据汇交及比对系统
项目编号：222201001</t>
  </si>
  <si>
    <t>信创服务器汇交原表数据同步程序开发测试，已有数据传输脚本编写，汇交原表数据同步</t>
  </si>
  <si>
    <t>济南市不动产登记电子监督系统功能拓展
项目编号：22220905</t>
  </si>
  <si>
    <t>90%</t>
  </si>
  <si>
    <t>1）退件情况：统计分析-退件明细调整为“退件情况”，包含两类：退件明细、退件量统计。
2）移动端适配：山东通访问电子监督大屏和后台管理界面，实现移动端自适应。
3）统计分析：智能审核日报银行统计增加字段。
4）处理新月报业务网办情况数据重复问题。
5）查询截至目前不动产登记系统内平阴县所有林权的登记，字段包括：登记类型、业务号、不动产权证号、登记时间、面积。
6）信创电子监督对接山东通单点登录，编写测试报告。</t>
  </si>
  <si>
    <t>毕彦信</t>
  </si>
  <si>
    <t>闫元泉</t>
  </si>
  <si>
    <t>不动产登记人工智能数字人(一期)项目
项目编号：21250326</t>
  </si>
  <si>
    <t>85%</t>
  </si>
  <si>
    <t>1）编写AI检索设计文档，基于本地GPU服务器测试关键字检索、语义检索、向量化入库、知识库问答代码。
2）知识库检索：对接大模型接口，在关键字检索基础上增加语义检索、知识库向量化、AI问答。
3）本地GPU服务器进行向量模型部署、ES部署、kibana部署。
4）智能预受理：基于本地GPU服务器qwen3.5 9b模型，编写python代码进行智能预受理测试。</t>
  </si>
  <si>
    <t>电子监督系统标准化产品改造
项目编号：21250313J</t>
  </si>
  <si>
    <t>住房贷款计算器软著申请材料</t>
  </si>
  <si>
    <t>住房贷款项目验收材料-软件设计说明</t>
  </si>
  <si>
    <t>住房贷款项目国产化集成调试</t>
  </si>
  <si>
    <t>卢波</t>
  </si>
  <si>
    <t>住房贷款项目验收材料编写-测试大纲</t>
  </si>
  <si>
    <t>基层经费监管系统升级研发（二期）
项目编号：
210123ZHJJ02</t>
  </si>
  <si>
    <t>系统运维管理</t>
  </si>
  <si>
    <t>王晓阳</t>
  </si>
  <si>
    <t>相关检查材料整理</t>
  </si>
  <si>
    <t>技术委员会、部门协调、工作汇报等</t>
  </si>
  <si>
    <t>起草产品研发部跨部门技术支持协作规范、项目管理问题分析</t>
  </si>
  <si>
    <t>智慧房产产品线项目
项目编号：21260422</t>
  </si>
  <si>
    <t>1.退款申请：合同查询、存款查询、退款支付列表前后端已完成；
2.退款管理:前后端完成，未联调接口；
3.监管合同生成-B:前端完成。</t>
  </si>
  <si>
    <t xml:space="preserve">商品房资金监管系统
1、监管项目管理 已完成
2、监管项目终止 已完成
3、监管项目变更已完成
4、资金退款 功能 已联调（保存、提交审核，删除，查看）
</t>
  </si>
  <si>
    <t>郭培培</t>
  </si>
  <si>
    <t>1.存量房网签系统：完成需求文档的补充
2.存量房资金监管系统：需求梳理</t>
  </si>
  <si>
    <t>张燕</t>
  </si>
  <si>
    <t>商品房系统：验收测试</t>
  </si>
  <si>
    <t>1.完善销售许可审批后推送房产平台接口
2. 通用业务增加兼容原有接口
3. 定义推送预售合同到监管系统
4.完善从业主体注册备案(因业务类别调整)
5.完善业务编号生成功能(将耗时代码提到事务之前执行)
6.完善网签备案实体类(和数据库文档保持一致)
7.Redis缓存频繁出现异常，更换成Lettuce连接缓存</t>
  </si>
  <si>
    <t>彭步坤</t>
  </si>
  <si>
    <t>商品房网签与监管系统：
1、优化楼盘表组件，无单元楼盘展示异常问题
2、销售许可部分接口重新联调 - 完成
3、监管项目接口联调 -完成
4、监管终止功能-已完成
5、资金退款接口联调 - 进行中</t>
  </si>
  <si>
    <t>王光辉</t>
  </si>
  <si>
    <t>查看平台及业务代码、测试</t>
  </si>
  <si>
    <t>数据治理平台
项目编号：21260423</t>
  </si>
  <si>
    <t>数据质量模块优化完成</t>
  </si>
  <si>
    <t>数据血缘整体模块研发完成</t>
  </si>
  <si>
    <t>编号规则Redis/db双端一致性优化；
编号规则中的序列模块调整为仅依赖redis原子递增；
编号规则片段优化：页面下拉选择汉化、完善填报信息、格式校验</t>
  </si>
  <si>
    <t>编号规则管理：增加自定义序列号起始值功能
字典管理：
字典管理基础功能测试
字典项管理调整为抽屉打开
任务编排：
字段映射支持下拉选择字典与编号规则配置</t>
  </si>
  <si>
    <t>任务编排：
测试多表关联情况下序列号取多个源字段功能是否正常
修复字段字典转换无匹配规则失效问题
其他字典转换逻辑测试</t>
  </si>
  <si>
    <t>1.登记系统登记簿页面增加量化表，量化抵押权，量化查封登记展示（100%）
2.业务限制信息接口修改查封土地限制改为如果有量化自然幢调整为查看有量化幢查封接口（100%）
3.查封登记-抵押登记  首次-转移-变更-注销以及更正登记登簿接口改造，量化登记系统提供功能(100%)
4.协助处理数据汇交反馈问题，以及调整调用超图接口（100%）</t>
  </si>
  <si>
    <t>窦延群</t>
  </si>
  <si>
    <t>1、土地量化接受功能修改
2、测试抵押、变更登簿功能
3、测试土地量化业务客体挂接功能开发
4、处理云网签下线以及相关业务量统计</t>
  </si>
  <si>
    <t>不动产登记系统软硬件诊断报告（分析及编写报告、整改内容）</t>
  </si>
  <si>
    <t>参加不动产工作会议，整理不动产近两年未申报预算的重点工作</t>
  </si>
  <si>
    <t xml:space="preserve">济南市联合资产交易公示平台
项目编号：22250903HF
</t>
  </si>
  <si>
    <t>1.企业申请入驻页面功能开发与接口联调：
2.企业端企业申请入驻相关管理页面开发与联调；
3.联合资产房源展厅小程序、web端首页功能页面调整与联调；
4.房源展厅小程序房源发布平台服务选项功能开发与联调；
5.企业端通知公告置顶功能开发与联调；</t>
  </si>
  <si>
    <t>赵旺</t>
  </si>
  <si>
    <t>1.开发企业入驻功能与联调测试；
2.通知公告置顶功能开发与联调测试；
3.解决发布房源房源合并异常bug;</t>
  </si>
  <si>
    <t>安震</t>
  </si>
  <si>
    <t>UI设计：
1.房源展厅PC端，移动端首页；
2.房源详情页银行服务展示；
3.实人认证说明页；
4.个人房源发布选择服务页；
5.公证处现场够用UI设计调整事项；</t>
  </si>
  <si>
    <t>冯庆召</t>
  </si>
  <si>
    <t>1.针对个人发布房源时房子无法选择的问题，配合后台联调修改并完成测试验证；
2.完成房源详情页经纪人列表数据接口对接与联调测试；
3.对个人房源发布流程逻辑进行优化调整并完成测试验证；
4.对接房源详情页金融服务接口；</t>
  </si>
  <si>
    <t>梁超</t>
  </si>
  <si>
    <t>1. 不动产公益性自主交易平台方案讨论与编写；
2. 联合资产平台建设需求优化进度推进、演示内容推进；
3. 不动产公益性自主交易平台方案、报价预算编写；
4. 齐鲁公证处客户现场演示平台，与客户沟通平台优化事项；
5. 平台优化事项设计进度，开发进度任务安排推进；
6. 会议纪要需求梳理；
7. 车位备案与客户、法信对接方案变更讨论与进度推进；</t>
  </si>
  <si>
    <t>1. 不动产公益性自主交易平台方案讨论与编写；
2. 不动产公益性自主交易平台方案、报价预算编写；</t>
  </si>
  <si>
    <t xml:space="preserve">车位使用权公证备案平台
项目编号：22250829HF
</t>
  </si>
  <si>
    <t>1.车位备案法信接口对接逻辑修改，测试验证、排查问题、业务逻辑梳理，新增接口对接
2.与前端联调车位备案各个接口日志保存sdk调用联调；</t>
  </si>
  <si>
    <t>许兴欣</t>
  </si>
  <si>
    <t>1.法信获取小程序链接状态返回调整，车位图库审批增加详情接口，区位图功能联调；
2.车位备案申请和提交过滤无效车位，法信证书状态同步问题排查支撑；
3.证书生成查询优化调整，法信回调接口梳理支撑；</t>
  </si>
  <si>
    <t>赵敬</t>
  </si>
  <si>
    <t>1.完成小区编辑模块区位图上传功能的接口对接与联调；
2.完成车位审批详情模块页面新增功能的接口对接与联调；
3.完成小程序备案流程各阶段操作日志接口对接，同步完成备案文件删除接口变更，并查询 Web 端所有使用该删除接口的功能点，进行接口参数变更；</t>
  </si>
  <si>
    <t xml:space="preserve">汇房云经纪人
项目编号：21250418
</t>
  </si>
  <si>
    <t>--</t>
  </si>
  <si>
    <t>重构交易签约功能
解约撤销，保存完直接变为待发起合同-功能测试
合同流程变更（不需要审批），作废 解约协议功能，解约中提示已解约的bug</t>
  </si>
  <si>
    <t>蔡高情</t>
  </si>
  <si>
    <t>通联支付、银联支付对接，问题沟通，文档熟悉
汇房云交易流程梳理，佣金与扣除项需求沟通</t>
  </si>
  <si>
    <t>设计</t>
  </si>
  <si>
    <t xml:space="preserve">汇房云培训考试
项目编号：
</t>
  </si>
  <si>
    <t>枣庄培训考试运维处理，协会培训支持</t>
  </si>
  <si>
    <t>卓识网安业务平台系统
项目编号：22251028HFJ</t>
  </si>
  <si>
    <t>测试</t>
  </si>
  <si>
    <t>公司内部系统维护升级项目
项目编号：21250801J</t>
  </si>
  <si>
    <t>阳信房产超市运维</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</si>
</sst>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 numFmtId="178" formatCode="yyyy/m/d;@"/>
  </numFmts>
  <fonts count="43">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font>
    <font>
      <sz val="11"/>
      <color rgb="FF060A26"/>
      <name val="等线"/>
      <charset val="134"/>
      <scheme val="minor"/>
    </font>
    <font>
      <sz val="12"/>
      <color rgb="FF000000"/>
      <name val="等线"/>
      <charset val="134"/>
      <scheme val="minor"/>
    </font>
    <font>
      <sz val="9"/>
      <color rgb="FF000000"/>
      <name val="等线"/>
      <charset val="134"/>
      <scheme val="minor"/>
    </font>
    <font>
      <sz val="10"/>
      <color rgb="FF000000"/>
      <name val="宋体"/>
      <charset val="134"/>
    </font>
    <font>
      <sz val="10"/>
      <color rgb="FF000000"/>
      <name val="SimSun"/>
      <charset val="134"/>
    </font>
    <font>
      <sz val="10"/>
      <color rgb="FFFF0000"/>
      <name val="等线"/>
      <charset val="134"/>
      <scheme val="minor"/>
    </font>
    <font>
      <sz val="11"/>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sz val="11"/>
      <color rgb="FFFF0000"/>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sz val="9"/>
      <name val="宋体"/>
      <charset val="134"/>
    </font>
    <font>
      <b/>
      <sz val="9"/>
      <name val="宋体"/>
      <charset val="134"/>
    </font>
  </fonts>
  <fills count="38">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28"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9" applyNumberFormat="0" applyFill="0" applyAlignment="0" applyProtection="0">
      <alignment vertical="center"/>
    </xf>
    <xf numFmtId="0" fontId="26" fillId="0" borderId="29" applyNumberFormat="0" applyFill="0" applyAlignment="0" applyProtection="0">
      <alignment vertical="center"/>
    </xf>
    <xf numFmtId="0" fontId="27" fillId="0" borderId="30" applyNumberFormat="0" applyFill="0" applyAlignment="0" applyProtection="0">
      <alignment vertical="center"/>
    </xf>
    <xf numFmtId="0" fontId="27" fillId="0" borderId="0" applyNumberFormat="0" applyFill="0" applyBorder="0" applyAlignment="0" applyProtection="0">
      <alignment vertical="center"/>
    </xf>
    <xf numFmtId="0" fontId="28" fillId="8" borderId="31" applyNumberFormat="0" applyAlignment="0" applyProtection="0">
      <alignment vertical="center"/>
    </xf>
    <xf numFmtId="0" fontId="29" fillId="9" borderId="32" applyNumberFormat="0" applyAlignment="0" applyProtection="0">
      <alignment vertical="center"/>
    </xf>
    <xf numFmtId="0" fontId="30" fillId="9" borderId="31" applyNumberFormat="0" applyAlignment="0" applyProtection="0">
      <alignment vertical="center"/>
    </xf>
    <xf numFmtId="0" fontId="31" fillId="10" borderId="33" applyNumberFormat="0" applyAlignment="0" applyProtection="0">
      <alignment vertical="center"/>
    </xf>
    <xf numFmtId="0" fontId="32" fillId="0" borderId="34" applyNumberFormat="0" applyFill="0" applyAlignment="0" applyProtection="0">
      <alignment vertical="center"/>
    </xf>
    <xf numFmtId="0" fontId="33" fillId="0" borderId="35"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xf numFmtId="9" fontId="39" fillId="0" borderId="0" applyFont="0" applyFill="0" applyBorder="0" applyAlignment="0" applyProtection="0">
      <alignment vertical="center"/>
    </xf>
    <xf numFmtId="9" fontId="0" fillId="0" borderId="0" applyFont="0" applyFill="0" applyBorder="0" applyAlignment="0" applyProtection="0">
      <alignment vertical="center"/>
    </xf>
    <xf numFmtId="176" fontId="39" fillId="0" borderId="0">
      <alignment vertical="center"/>
    </xf>
    <xf numFmtId="176" fontId="39" fillId="0" borderId="0">
      <alignment vertical="center"/>
    </xf>
    <xf numFmtId="176" fontId="1" fillId="0" borderId="0">
      <alignment vertical="center"/>
    </xf>
    <xf numFmtId="0" fontId="1" fillId="0" borderId="0">
      <alignment vertical="center"/>
    </xf>
    <xf numFmtId="0"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40"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pplyBorder="0">
      <alignment vertical="center"/>
    </xf>
  </cellStyleXfs>
  <cellXfs count="339">
    <xf numFmtId="176" fontId="0" fillId="0" borderId="0" xfId="0"/>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178" fontId="5" fillId="0" borderId="1" xfId="0" applyNumberFormat="1" applyFont="1" applyBorder="1" applyAlignment="1">
      <alignment horizontal="left" vertical="center" wrapText="1"/>
    </xf>
    <xf numFmtId="0" fontId="5" fillId="2" borderId="1" xfId="0" applyNumberFormat="1" applyFont="1" applyFill="1" applyBorder="1" applyAlignment="1">
      <alignment horizontal="center"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4" xfId="0" applyNumberFormat="1" applyFont="1" applyFill="1" applyBorder="1" applyAlignment="1">
      <alignment horizontal="left" vertical="center" wrapText="1"/>
    </xf>
    <xf numFmtId="0" fontId="5" fillId="2" borderId="5"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2" xfId="0" applyNumberFormat="1" applyFont="1" applyFill="1" applyBorder="1" applyAlignment="1">
      <alignment vertical="center"/>
    </xf>
    <xf numFmtId="177" fontId="5" fillId="2" borderId="2" xfId="0" applyNumberFormat="1" applyFont="1" applyFill="1" applyBorder="1" applyAlignment="1">
      <alignment horizontal="center" vertical="center"/>
    </xf>
    <xf numFmtId="0" fontId="5" fillId="2" borderId="6" xfId="0" applyNumberFormat="1" applyFont="1" applyFill="1" applyBorder="1" applyAlignment="1">
      <alignment horizontal="center" vertical="center"/>
    </xf>
    <xf numFmtId="0" fontId="5" fillId="2" borderId="7" xfId="0" applyNumberFormat="1" applyFont="1" applyFill="1" applyBorder="1" applyAlignment="1">
      <alignment horizontal="left" vertical="center" wrapText="1"/>
    </xf>
    <xf numFmtId="0" fontId="5" fillId="2" borderId="7" xfId="0" applyNumberFormat="1" applyFont="1" applyFill="1" applyBorder="1" applyAlignment="1">
      <alignment horizontal="center" vertical="center"/>
    </xf>
    <xf numFmtId="9" fontId="5" fillId="2" borderId="7" xfId="0" applyNumberFormat="1" applyFont="1" applyFill="1" applyBorder="1" applyAlignment="1">
      <alignment horizontal="center" vertical="center"/>
    </xf>
    <xf numFmtId="0" fontId="5" fillId="2" borderId="7" xfId="0" applyNumberFormat="1" applyFont="1" applyFill="1" applyBorder="1" applyAlignment="1">
      <alignment vertical="center"/>
    </xf>
    <xf numFmtId="177" fontId="5" fillId="2" borderId="7" xfId="0" applyNumberFormat="1" applyFont="1" applyFill="1" applyBorder="1" applyAlignment="1">
      <alignment horizontal="center" vertical="center"/>
    </xf>
    <xf numFmtId="0" fontId="5" fillId="0" borderId="8" xfId="0" applyNumberFormat="1" applyFont="1" applyBorder="1" applyAlignment="1">
      <alignment horizontal="center" vertical="center" wrapText="1"/>
    </xf>
    <xf numFmtId="0" fontId="5" fillId="2" borderId="9" xfId="0" applyNumberFormat="1" applyFont="1" applyFill="1" applyBorder="1" applyAlignment="1">
      <alignment horizontal="center" vertical="center"/>
    </xf>
    <xf numFmtId="0" fontId="5" fillId="2" borderId="7" xfId="0" applyNumberFormat="1" applyFont="1" applyFill="1" applyBorder="1" applyAlignment="1">
      <alignment wrapText="1"/>
    </xf>
    <xf numFmtId="0" fontId="5" fillId="3" borderId="1" xfId="0" applyNumberFormat="1" applyFont="1" applyFill="1" applyBorder="1" applyAlignment="1">
      <alignment horizontal="center" vertical="center"/>
    </xf>
    <xf numFmtId="0" fontId="5" fillId="3" borderId="8" xfId="0" applyNumberFormat="1" applyFont="1" applyFill="1" applyBorder="1" applyAlignment="1">
      <alignment horizontal="center" vertical="center"/>
    </xf>
    <xf numFmtId="9" fontId="5" fillId="3" borderId="8" xfId="0" applyNumberFormat="1" applyFont="1" applyFill="1" applyBorder="1" applyAlignment="1">
      <alignment vertical="center"/>
    </xf>
    <xf numFmtId="0" fontId="5" fillId="3" borderId="8" xfId="0" applyNumberFormat="1" applyFont="1" applyFill="1" applyBorder="1" applyAlignment="1">
      <alignment vertical="center"/>
    </xf>
    <xf numFmtId="177" fontId="5" fillId="3" borderId="8" xfId="0" applyNumberFormat="1" applyFont="1" applyFill="1" applyBorder="1" applyAlignment="1">
      <alignment horizontal="center"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wrapText="1"/>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177" fontId="5" fillId="0" borderId="1" xfId="0" applyNumberFormat="1" applyFont="1" applyBorder="1" applyAlignment="1">
      <alignment horizontal="center" vertical="center"/>
    </xf>
    <xf numFmtId="0" fontId="4" fillId="0" borderId="2" xfId="0" applyNumberFormat="1" applyFont="1" applyBorder="1" applyAlignment="1">
      <alignment horizontal="left" vertical="center" wrapText="1"/>
    </xf>
    <xf numFmtId="0"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77" fontId="5" fillId="0" borderId="2" xfId="0" applyNumberFormat="1" applyFont="1" applyBorder="1" applyAlignment="1">
      <alignment horizontal="center" vertical="center"/>
    </xf>
    <xf numFmtId="0" fontId="5" fillId="0" borderId="9" xfId="0" applyNumberFormat="1" applyFont="1" applyBorder="1" applyAlignment="1">
      <alignment horizontal="center" vertical="center" wrapText="1"/>
    </xf>
    <xf numFmtId="0" fontId="0" fillId="0" borderId="3" xfId="0" applyNumberFormat="1" applyBorder="1"/>
    <xf numFmtId="0" fontId="0" fillId="0" borderId="8" xfId="0" applyNumberFormat="1" applyBorder="1"/>
    <xf numFmtId="0" fontId="5" fillId="0" borderId="1" xfId="0" applyNumberFormat="1" applyFont="1" applyFill="1" applyBorder="1" applyAlignment="1">
      <alignment horizontal="center" vertical="center" wrapText="1"/>
    </xf>
    <xf numFmtId="0" fontId="6" fillId="0" borderId="7" xfId="0" applyNumberFormat="1" applyFont="1" applyFill="1" applyBorder="1" applyAlignment="1">
      <alignment vertical="center" wrapText="1"/>
    </xf>
    <xf numFmtId="0" fontId="6" fillId="0" borderId="7" xfId="0" applyNumberFormat="1" applyFont="1" applyFill="1" applyBorder="1" applyAlignment="1">
      <alignment horizontal="center" vertical="center" wrapText="1"/>
    </xf>
    <xf numFmtId="0" fontId="5" fillId="0" borderId="8" xfId="0" applyNumberFormat="1" applyFont="1" applyBorder="1" applyAlignment="1">
      <alignment horizontal="left" vertical="center" wrapText="1"/>
    </xf>
    <xf numFmtId="0" fontId="5" fillId="2" borderId="8" xfId="0" applyNumberFormat="1" applyFont="1" applyFill="1" applyBorder="1" applyAlignment="1">
      <alignment horizontal="center" vertical="center" wrapText="1"/>
    </xf>
    <xf numFmtId="9" fontId="5" fillId="0" borderId="8" xfId="0" applyNumberFormat="1" applyFont="1" applyBorder="1" applyAlignment="1">
      <alignment horizontal="center" vertical="center" wrapText="1"/>
    </xf>
    <xf numFmtId="177" fontId="5" fillId="2" borderId="8" xfId="0" applyNumberFormat="1" applyFont="1" applyFill="1" applyBorder="1" applyAlignment="1">
      <alignment horizontal="center" vertical="center"/>
    </xf>
    <xf numFmtId="0" fontId="5" fillId="0" borderId="1" xfId="0" applyNumberFormat="1" applyFont="1" applyBorder="1" applyAlignment="1">
      <alignment horizontal="left" vertical="center"/>
    </xf>
    <xf numFmtId="0" fontId="5" fillId="0" borderId="8" xfId="0" applyNumberFormat="1" applyFont="1" applyBorder="1" applyAlignment="1">
      <alignment wrapText="1"/>
    </xf>
    <xf numFmtId="0" fontId="5" fillId="0" borderId="2" xfId="0" applyNumberFormat="1" applyFont="1" applyBorder="1" applyAlignment="1">
      <alignment horizontal="left" vertical="center"/>
    </xf>
    <xf numFmtId="9" fontId="5" fillId="0" borderId="2" xfId="0" applyNumberFormat="1" applyFont="1" applyBorder="1" applyAlignment="1">
      <alignment horizontal="center" vertical="center" wrapText="1"/>
    </xf>
    <xf numFmtId="0" fontId="5" fillId="0" borderId="9" xfId="0" applyNumberFormat="1" applyFont="1" applyBorder="1" applyAlignment="1">
      <alignment horizontal="center" vertical="center"/>
    </xf>
    <xf numFmtId="0" fontId="5" fillId="0" borderId="7" xfId="0" applyNumberFormat="1" applyFont="1" applyBorder="1" applyAlignment="1">
      <alignment horizontal="left" vertical="center" wrapText="1"/>
    </xf>
    <xf numFmtId="0" fontId="5" fillId="2" borderId="10" xfId="0" applyNumberFormat="1" applyFont="1" applyFill="1" applyBorder="1" applyAlignment="1">
      <alignment horizontal="center" vertical="center" wrapText="1"/>
    </xf>
    <xf numFmtId="9" fontId="5" fillId="0" borderId="7" xfId="0" applyNumberFormat="1" applyFont="1" applyBorder="1" applyAlignment="1">
      <alignment horizontal="center" vertical="center" wrapText="1"/>
    </xf>
    <xf numFmtId="0" fontId="5" fillId="0" borderId="10" xfId="0" applyNumberFormat="1" applyFont="1" applyBorder="1" applyAlignment="1">
      <alignment horizontal="center" vertical="center" wrapText="1"/>
    </xf>
    <xf numFmtId="0" fontId="5" fillId="0" borderId="11" xfId="0" applyNumberFormat="1" applyFont="1" applyBorder="1" applyAlignment="1">
      <alignment horizontal="left" vertical="center" wrapText="1"/>
    </xf>
    <xf numFmtId="0" fontId="7" fillId="0" borderId="0" xfId="0" applyNumberFormat="1" applyFont="1" applyAlignment="1">
      <alignment wrapText="1"/>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8" fillId="0" borderId="7" xfId="0" applyNumberFormat="1" applyFont="1" applyFill="1" applyBorder="1" applyAlignment="1">
      <alignment horizontal="center" vertical="center" wrapText="1"/>
    </xf>
    <xf numFmtId="0" fontId="3" fillId="0" borderId="7" xfId="0" applyNumberFormat="1" applyFont="1" applyFill="1" applyBorder="1" applyAlignment="1">
      <alignment horizontal="center" vertical="center"/>
    </xf>
    <xf numFmtId="0" fontId="3" fillId="0" borderId="7" xfId="0" applyNumberFormat="1" applyFont="1" applyFill="1" applyBorder="1" applyAlignment="1">
      <alignment horizontal="center" vertical="center" wrapText="1"/>
    </xf>
    <xf numFmtId="0" fontId="3" fillId="0" borderId="7" xfId="0" applyNumberFormat="1" applyFont="1" applyFill="1" applyBorder="1" applyAlignment="1">
      <alignment horizontal="left" vertical="center" wrapText="1"/>
    </xf>
    <xf numFmtId="9" fontId="3" fillId="0" borderId="7"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xf>
    <xf numFmtId="0" fontId="8" fillId="0" borderId="4" xfId="0"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xf>
    <xf numFmtId="0"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xf>
    <xf numFmtId="0" fontId="10" fillId="0" borderId="7" xfId="0" applyNumberFormat="1" applyFont="1" applyFill="1" applyBorder="1" applyAlignment="1">
      <alignment vertical="center" wrapText="1"/>
    </xf>
    <xf numFmtId="0" fontId="10" fillId="0" borderId="7" xfId="0" applyNumberFormat="1" applyFont="1" applyFill="1" applyBorder="1" applyAlignment="1">
      <alignment horizontal="center" vertical="center" wrapText="1"/>
    </xf>
    <xf numFmtId="0" fontId="8" fillId="0" borderId="12" xfId="0" applyNumberFormat="1" applyFont="1" applyFill="1" applyBorder="1" applyAlignment="1">
      <alignment horizontal="center" vertical="center" wrapText="1"/>
    </xf>
    <xf numFmtId="0" fontId="9" fillId="0" borderId="12" xfId="0" applyNumberFormat="1" applyFont="1" applyFill="1" applyBorder="1" applyAlignment="1">
      <alignment horizontal="center" vertical="center"/>
    </xf>
    <xf numFmtId="0" fontId="3" fillId="0" borderId="12" xfId="0" applyNumberFormat="1" applyFont="1" applyFill="1" applyBorder="1" applyAlignment="1">
      <alignment horizontal="center" vertical="center" wrapText="1"/>
    </xf>
    <xf numFmtId="0" fontId="3" fillId="0" borderId="12" xfId="0" applyNumberFormat="1" applyFont="1" applyFill="1" applyBorder="1" applyAlignment="1">
      <alignment horizontal="center" vertical="center"/>
    </xf>
    <xf numFmtId="0" fontId="3" fillId="0" borderId="13" xfId="0" applyNumberFormat="1" applyFont="1" applyFill="1" applyBorder="1" applyAlignment="1">
      <alignment horizontal="center" vertical="center" wrapText="1"/>
    </xf>
    <xf numFmtId="0" fontId="10" fillId="0" borderId="4" xfId="0" applyNumberFormat="1" applyFont="1" applyFill="1" applyBorder="1" applyAlignment="1">
      <alignment vertical="center" wrapText="1"/>
    </xf>
    <xf numFmtId="0" fontId="10" fillId="0" borderId="4" xfId="0" applyNumberFormat="1" applyFont="1" applyFill="1" applyBorder="1" applyAlignment="1">
      <alignment horizontal="center" vertical="center" wrapText="1"/>
    </xf>
    <xf numFmtId="9" fontId="3" fillId="0" borderId="4" xfId="0" applyNumberFormat="1" applyFont="1" applyFill="1" applyBorder="1" applyAlignment="1">
      <alignment horizontal="center" vertical="center" wrapText="1"/>
    </xf>
    <xf numFmtId="177" fontId="3" fillId="0" borderId="4"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xf>
    <xf numFmtId="0" fontId="10" fillId="0" borderId="7" xfId="0" applyNumberFormat="1" applyFont="1" applyFill="1" applyBorder="1" applyAlignment="1">
      <alignment horizontal="left" vertical="center" wrapText="1"/>
    </xf>
    <xf numFmtId="0" fontId="3" fillId="0" borderId="13" xfId="0" applyNumberFormat="1" applyFont="1" applyFill="1" applyBorder="1" applyAlignment="1">
      <alignment horizontal="center" vertical="center"/>
    </xf>
    <xf numFmtId="0" fontId="10" fillId="0" borderId="7" xfId="0" applyNumberFormat="1" applyFont="1" applyFill="1" applyBorder="1" applyAlignment="1">
      <alignment horizontal="left" vertical="center"/>
    </xf>
    <xf numFmtId="0" fontId="3" fillId="3" borderId="14" xfId="0" applyNumberFormat="1" applyFont="1" applyFill="1" applyBorder="1" applyAlignment="1">
      <alignment horizontal="center" vertical="center"/>
    </xf>
    <xf numFmtId="0" fontId="3" fillId="3" borderId="15" xfId="0" applyNumberFormat="1" applyFont="1" applyFill="1" applyBorder="1" applyAlignment="1">
      <alignment horizontal="center" vertical="center"/>
    </xf>
    <xf numFmtId="0" fontId="3" fillId="3" borderId="16" xfId="0" applyNumberFormat="1" applyFont="1" applyFill="1" applyBorder="1" applyAlignment="1">
      <alignment horizontal="center" vertical="center"/>
    </xf>
    <xf numFmtId="0" fontId="3" fillId="3" borderId="13" xfId="0" applyNumberFormat="1" applyFont="1" applyFill="1" applyBorder="1" applyAlignment="1">
      <alignment horizontal="center" vertical="center"/>
    </xf>
    <xf numFmtId="9" fontId="3" fillId="3" borderId="13" xfId="0" applyNumberFormat="1" applyFont="1" applyFill="1" applyBorder="1" applyAlignment="1">
      <alignment vertical="center"/>
    </xf>
    <xf numFmtId="0" fontId="3" fillId="3" borderId="13" xfId="0" applyNumberFormat="1" applyFont="1" applyFill="1" applyBorder="1" applyAlignment="1">
      <alignment vertical="center"/>
    </xf>
    <xf numFmtId="177" fontId="3" fillId="3" borderId="13" xfId="0" applyNumberFormat="1" applyFont="1" applyFill="1" applyBorder="1" applyAlignment="1">
      <alignment horizontal="center" vertical="center"/>
    </xf>
    <xf numFmtId="0" fontId="8" fillId="0" borderId="13" xfId="0" applyNumberFormat="1" applyFont="1" applyFill="1" applyBorder="1" applyAlignment="1">
      <alignment horizontal="center" vertical="center" wrapText="1"/>
    </xf>
    <xf numFmtId="0" fontId="9" fillId="0" borderId="13" xfId="0" applyNumberFormat="1" applyFont="1" applyFill="1" applyBorder="1" applyAlignment="1">
      <alignment horizontal="center" vertical="center"/>
    </xf>
    <xf numFmtId="9" fontId="3" fillId="0" borderId="7" xfId="0" applyNumberFormat="1" applyFont="1" applyFill="1" applyBorder="1" applyAlignment="1">
      <alignment horizontal="center" vertical="center"/>
    </xf>
    <xf numFmtId="0" fontId="11" fillId="0" borderId="7" xfId="0" applyNumberFormat="1" applyFont="1" applyFill="1" applyBorder="1" applyAlignment="1">
      <alignment horizontal="left" vertical="center" wrapText="1"/>
    </xf>
    <xf numFmtId="0" fontId="10" fillId="0" borderId="14" xfId="0" applyNumberFormat="1" applyFont="1" applyFill="1" applyBorder="1" applyAlignment="1">
      <alignment horizontal="center" vertical="center" wrapText="1"/>
    </xf>
    <xf numFmtId="0" fontId="10" fillId="0" borderId="17" xfId="0" applyNumberFormat="1" applyFont="1" applyFill="1" applyBorder="1" applyAlignment="1">
      <alignment horizontal="center" vertical="center" wrapText="1"/>
    </xf>
    <xf numFmtId="0" fontId="10" fillId="0" borderId="17" xfId="0" applyNumberFormat="1" applyFont="1" applyFill="1" applyBorder="1" applyAlignment="1">
      <alignment horizontal="left" vertical="center" wrapText="1"/>
    </xf>
    <xf numFmtId="0" fontId="3" fillId="0" borderId="7" xfId="0" applyNumberFormat="1" applyFont="1" applyFill="1" applyBorder="1" applyAlignment="1">
      <alignment vertical="center"/>
    </xf>
    <xf numFmtId="0" fontId="10" fillId="0" borderId="18" xfId="0" applyNumberFormat="1" applyFont="1" applyFill="1" applyBorder="1" applyAlignment="1">
      <alignment horizontal="center" vertical="center" wrapText="1"/>
    </xf>
    <xf numFmtId="0" fontId="10" fillId="0" borderId="13" xfId="0" applyNumberFormat="1" applyFont="1" applyFill="1" applyBorder="1" applyAlignment="1">
      <alignment vertical="center" wrapText="1"/>
    </xf>
    <xf numFmtId="9" fontId="3" fillId="0" borderId="13" xfId="0" applyNumberFormat="1" applyFont="1" applyFill="1" applyBorder="1" applyAlignment="1">
      <alignment horizontal="right" vertical="center"/>
    </xf>
    <xf numFmtId="0" fontId="3" fillId="0" borderId="13" xfId="0" applyNumberFormat="1" applyFont="1" applyFill="1" applyBorder="1" applyAlignment="1">
      <alignment vertical="center"/>
    </xf>
    <xf numFmtId="177" fontId="3" fillId="0" borderId="13" xfId="0" applyNumberFormat="1" applyFont="1" applyFill="1" applyBorder="1" applyAlignment="1">
      <alignment horizontal="center" vertical="center"/>
    </xf>
    <xf numFmtId="0" fontId="3" fillId="0" borderId="7" xfId="0" applyNumberFormat="1" applyFont="1" applyFill="1" applyBorder="1" applyAlignment="1">
      <alignment horizontal="left" vertical="center"/>
    </xf>
    <xf numFmtId="9" fontId="3" fillId="0" borderId="7" xfId="0" applyNumberFormat="1" applyFont="1" applyFill="1" applyBorder="1" applyAlignment="1">
      <alignment vertical="center"/>
    </xf>
    <xf numFmtId="0" fontId="3" fillId="3" borderId="7" xfId="0" applyNumberFormat="1" applyFont="1" applyFill="1" applyBorder="1" applyAlignment="1">
      <alignment horizontal="center" vertical="center"/>
    </xf>
    <xf numFmtId="9" fontId="3" fillId="3" borderId="7" xfId="0" applyNumberFormat="1" applyFont="1" applyFill="1" applyBorder="1" applyAlignment="1">
      <alignment vertical="center"/>
    </xf>
    <xf numFmtId="0" fontId="3" fillId="3" borderId="7" xfId="0" applyNumberFormat="1" applyFont="1" applyFill="1" applyBorder="1" applyAlignment="1">
      <alignment vertical="center"/>
    </xf>
    <xf numFmtId="177" fontId="3" fillId="3" borderId="7" xfId="0" applyNumberFormat="1" applyFont="1" applyFill="1" applyBorder="1" applyAlignment="1">
      <alignment horizontal="center" vertical="center"/>
    </xf>
    <xf numFmtId="0" fontId="1" fillId="0" borderId="0" xfId="0" applyNumberFormat="1" applyFont="1" applyAlignment="1">
      <alignment vertical="center" wrapText="1"/>
    </xf>
    <xf numFmtId="0" fontId="1" fillId="0" borderId="0" xfId="0" applyNumberFormat="1" applyFont="1" applyAlignment="1">
      <alignment horizontal="center" vertical="center" wrapText="1"/>
    </xf>
    <xf numFmtId="0" fontId="2" fillId="0" borderId="2" xfId="0" applyNumberFormat="1" applyFont="1" applyBorder="1" applyAlignment="1">
      <alignment horizontal="center" vertical="center" wrapText="1"/>
    </xf>
    <xf numFmtId="0" fontId="4" fillId="0" borderId="2" xfId="0" applyNumberFormat="1" applyFont="1" applyBorder="1" applyAlignment="1">
      <alignment horizontal="center" vertical="center"/>
    </xf>
    <xf numFmtId="177" fontId="5" fillId="4" borderId="1" xfId="0" applyNumberFormat="1" applyFont="1" applyFill="1" applyBorder="1" applyAlignment="1">
      <alignment horizontal="center" vertical="center"/>
    </xf>
    <xf numFmtId="0" fontId="2" fillId="0" borderId="3" xfId="0" applyNumberFormat="1" applyFont="1" applyBorder="1" applyAlignment="1">
      <alignment horizontal="center" vertical="center" wrapText="1"/>
    </xf>
    <xf numFmtId="0" fontId="4" fillId="0" borderId="3" xfId="0" applyNumberFormat="1" applyFont="1" applyBorder="1" applyAlignment="1">
      <alignment horizontal="center" vertical="center"/>
    </xf>
    <xf numFmtId="9" fontId="5" fillId="0" borderId="3" xfId="0" applyNumberFormat="1" applyFont="1" applyBorder="1" applyAlignment="1">
      <alignment horizontal="center" vertical="center" wrapText="1"/>
    </xf>
    <xf numFmtId="0" fontId="5" fillId="0" borderId="3" xfId="0" applyNumberFormat="1" applyFont="1" applyBorder="1" applyAlignment="1">
      <alignment horizontal="center" vertical="center"/>
    </xf>
    <xf numFmtId="0" fontId="5" fillId="0" borderId="8" xfId="0" applyNumberFormat="1" applyFont="1" applyBorder="1" applyAlignment="1">
      <alignment horizontal="center" vertical="center"/>
    </xf>
    <xf numFmtId="0" fontId="2" fillId="0" borderId="8" xfId="0" applyNumberFormat="1" applyFont="1" applyBorder="1" applyAlignment="1">
      <alignment horizontal="center" vertical="center" wrapText="1"/>
    </xf>
    <xf numFmtId="0" fontId="4" fillId="0" borderId="8" xfId="0" applyNumberFormat="1" applyFont="1" applyBorder="1" applyAlignment="1">
      <alignment horizontal="center" vertical="center"/>
    </xf>
    <xf numFmtId="0" fontId="5" fillId="0" borderId="1" xfId="0" applyNumberFormat="1" applyFont="1" applyBorder="1" applyAlignment="1">
      <alignment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176" fontId="2" fillId="0" borderId="13" xfId="0" applyFont="1" applyBorder="1" applyAlignment="1">
      <alignment horizontal="center" vertical="center" wrapText="1"/>
    </xf>
    <xf numFmtId="176" fontId="4" fillId="0" borderId="13" xfId="0" applyFont="1" applyBorder="1" applyAlignment="1">
      <alignment horizontal="left" vertical="center"/>
    </xf>
    <xf numFmtId="49" fontId="5" fillId="0" borderId="13" xfId="0" applyNumberFormat="1" applyFont="1" applyBorder="1" applyAlignment="1">
      <alignment horizontal="center" vertical="center" wrapText="1"/>
    </xf>
    <xf numFmtId="176" fontId="5" fillId="0" borderId="13" xfId="0" applyFont="1" applyBorder="1" applyAlignment="1">
      <alignment horizontal="center" vertical="center" wrapText="1"/>
    </xf>
    <xf numFmtId="176" fontId="5" fillId="0" borderId="13" xfId="0" applyFont="1" applyBorder="1" applyAlignment="1">
      <alignment horizontal="center" vertical="center"/>
    </xf>
    <xf numFmtId="0" fontId="5" fillId="0" borderId="8" xfId="0" applyNumberFormat="1" applyFont="1" applyFill="1" applyBorder="1" applyAlignment="1">
      <alignment horizontal="center" vertical="center" wrapText="1"/>
    </xf>
    <xf numFmtId="0" fontId="5" fillId="0" borderId="2" xfId="0" applyNumberFormat="1" applyFont="1" applyBorder="1" applyAlignment="1">
      <alignment horizontal="left" vertical="center" wrapText="1"/>
    </xf>
    <xf numFmtId="0" fontId="5" fillId="0" borderId="19" xfId="0" applyNumberFormat="1" applyFont="1" applyBorder="1" applyAlignment="1">
      <alignment horizontal="center" vertical="center" wrapText="1"/>
    </xf>
    <xf numFmtId="176" fontId="5" fillId="0" borderId="7" xfId="0" applyFont="1" applyBorder="1" applyAlignment="1">
      <alignment horizontal="center" vertical="center" wrapText="1"/>
    </xf>
    <xf numFmtId="177" fontId="5" fillId="0" borderId="7" xfId="0" applyNumberFormat="1" applyFont="1" applyBorder="1" applyAlignment="1">
      <alignment horizontal="center" vertical="center"/>
    </xf>
    <xf numFmtId="176" fontId="2" fillId="0" borderId="7" xfId="0" applyFont="1" applyBorder="1" applyAlignment="1">
      <alignment horizontal="center" vertical="center" wrapText="1"/>
    </xf>
    <xf numFmtId="176" fontId="4" fillId="0" borderId="7" xfId="0" applyFont="1" applyBorder="1" applyAlignment="1">
      <alignment horizontal="left" vertical="center"/>
    </xf>
    <xf numFmtId="49" fontId="5" fillId="0" borderId="7" xfId="0" applyNumberFormat="1" applyFont="1" applyBorder="1" applyAlignment="1">
      <alignment horizontal="center" vertical="center" wrapText="1"/>
    </xf>
    <xf numFmtId="176" fontId="5" fillId="0" borderId="7" xfId="0" applyFont="1" applyBorder="1" applyAlignment="1">
      <alignment horizontal="center" vertical="center"/>
    </xf>
    <xf numFmtId="176" fontId="5" fillId="0" borderId="4" xfId="0" applyFont="1" applyBorder="1" applyAlignment="1">
      <alignment horizontal="center" vertical="center"/>
    </xf>
    <xf numFmtId="176" fontId="5" fillId="0" borderId="4" xfId="0" applyFont="1" applyBorder="1" applyAlignment="1">
      <alignment horizontal="center" vertical="center" wrapText="1"/>
    </xf>
    <xf numFmtId="0" fontId="5" fillId="0" borderId="2" xfId="0" applyNumberFormat="1" applyFont="1" applyFill="1" applyBorder="1" applyAlignment="1">
      <alignment horizontal="center" vertical="center" wrapText="1"/>
    </xf>
    <xf numFmtId="176" fontId="5" fillId="3" borderId="20" xfId="0" applyFont="1" applyFill="1" applyBorder="1" applyAlignment="1">
      <alignment horizontal="center" vertical="center"/>
    </xf>
    <xf numFmtId="176" fontId="5" fillId="3" borderId="11" xfId="0" applyFont="1" applyFill="1" applyBorder="1" applyAlignment="1">
      <alignment horizontal="center" vertical="center"/>
    </xf>
    <xf numFmtId="176" fontId="5" fillId="3" borderId="21" xfId="0" applyFont="1" applyFill="1" applyBorder="1" applyAlignment="1">
      <alignment horizontal="center" vertical="center"/>
    </xf>
    <xf numFmtId="176" fontId="5" fillId="3" borderId="4" xfId="0" applyFont="1" applyFill="1" applyBorder="1" applyAlignment="1">
      <alignment horizontal="center" vertical="center"/>
    </xf>
    <xf numFmtId="9" fontId="5" fillId="3" borderId="7" xfId="0" applyNumberFormat="1" applyFont="1" applyFill="1" applyBorder="1" applyAlignment="1">
      <alignment vertical="center"/>
    </xf>
    <xf numFmtId="176" fontId="5" fillId="3" borderId="7" xfId="0" applyFont="1" applyFill="1" applyBorder="1" applyAlignment="1">
      <alignment vertical="center"/>
    </xf>
    <xf numFmtId="177" fontId="5" fillId="3" borderId="7" xfId="0" applyNumberFormat="1" applyFont="1" applyFill="1" applyBorder="1" applyAlignment="1">
      <alignment horizontal="center" vertical="center"/>
    </xf>
    <xf numFmtId="176" fontId="5" fillId="0" borderId="22" xfId="0" applyFont="1" applyBorder="1" applyAlignment="1">
      <alignment horizontal="center" vertical="center"/>
    </xf>
    <xf numFmtId="176" fontId="4" fillId="0" borderId="13" xfId="0" applyFont="1" applyBorder="1" applyAlignment="1">
      <alignment horizontal="left" vertical="center" wrapText="1"/>
    </xf>
    <xf numFmtId="9" fontId="5" fillId="0" borderId="16" xfId="0" applyNumberFormat="1" applyFont="1" applyBorder="1" applyAlignment="1">
      <alignment horizontal="center" vertical="center"/>
    </xf>
    <xf numFmtId="176" fontId="5" fillId="0" borderId="14" xfId="0" applyFont="1" applyBorder="1" applyAlignment="1">
      <alignment horizontal="center" vertical="center"/>
    </xf>
    <xf numFmtId="176" fontId="4" fillId="0" borderId="7" xfId="0" applyFont="1" applyBorder="1" applyAlignment="1">
      <alignment vertical="center"/>
    </xf>
    <xf numFmtId="176" fontId="5" fillId="0" borderId="23" xfId="0" applyFont="1" applyBorder="1" applyAlignment="1">
      <alignment horizontal="left" vertical="center" wrapText="1"/>
    </xf>
    <xf numFmtId="176" fontId="5" fillId="0" borderId="16" xfId="0" applyFont="1" applyBorder="1" applyAlignment="1">
      <alignment horizontal="center" vertical="center" wrapText="1"/>
    </xf>
    <xf numFmtId="176" fontId="5" fillId="0" borderId="1" xfId="0" applyFont="1" applyBorder="1" applyAlignment="1">
      <alignment horizontal="left" vertical="center" wrapText="1"/>
    </xf>
    <xf numFmtId="176" fontId="5" fillId="0" borderId="24" xfId="0" applyFont="1" applyBorder="1" applyAlignment="1">
      <alignment vertical="center" wrapText="1"/>
    </xf>
    <xf numFmtId="176" fontId="5" fillId="3" borderId="7" xfId="0" applyFont="1" applyFill="1" applyBorder="1" applyAlignment="1">
      <alignment horizontal="center" vertical="center"/>
    </xf>
    <xf numFmtId="0" fontId="5" fillId="0" borderId="7" xfId="0" applyNumberFormat="1" applyFont="1" applyBorder="1" applyAlignment="1">
      <alignment vertical="center" wrapText="1"/>
    </xf>
    <xf numFmtId="9" fontId="5" fillId="0" borderId="7" xfId="0" applyNumberFormat="1" applyFont="1" applyBorder="1" applyAlignment="1">
      <alignment horizontal="center" vertical="center"/>
    </xf>
    <xf numFmtId="0" fontId="5" fillId="0" borderId="25"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24" xfId="0" applyNumberFormat="1" applyFont="1" applyBorder="1" applyAlignment="1">
      <alignment horizontal="left" vertical="center" wrapText="1"/>
    </xf>
    <xf numFmtId="0" fontId="5" fillId="0" borderId="7"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8" xfId="0" applyFont="1" applyBorder="1" applyAlignment="1">
      <alignment horizontal="left" vertical="center" wrapText="1"/>
    </xf>
    <xf numFmtId="176" fontId="5" fillId="3" borderId="9" xfId="0" applyFont="1" applyFill="1" applyBorder="1" applyAlignment="1">
      <alignment horizontal="center" vertical="center"/>
    </xf>
    <xf numFmtId="176" fontId="5" fillId="3" borderId="10" xfId="0" applyFont="1" applyFill="1" applyBorder="1" applyAlignment="1">
      <alignment horizontal="center" vertical="center"/>
    </xf>
    <xf numFmtId="176" fontId="5" fillId="3" borderId="1" xfId="0" applyFont="1" applyFill="1" applyBorder="1" applyAlignment="1">
      <alignment vertical="center"/>
    </xf>
    <xf numFmtId="0" fontId="5" fillId="0" borderId="1" xfId="0" applyNumberFormat="1" applyFont="1" applyBorder="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9"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lignment horizontal="left" vertical="center"/>
    </xf>
    <xf numFmtId="0" fontId="5" fillId="0" borderId="1" xfId="0" applyNumberFormat="1" applyFont="1" applyFill="1" applyBorder="1" applyAlignment="1">
      <alignment vertical="top" wrapText="1"/>
    </xf>
    <xf numFmtId="0" fontId="5" fillId="0" borderId="3" xfId="0" applyNumberFormat="1" applyFont="1" applyFill="1" applyBorder="1" applyAlignment="1">
      <alignment horizontal="center" vertical="center"/>
    </xf>
    <xf numFmtId="0" fontId="4" fillId="3"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2"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177" fontId="12"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5" fillId="0" borderId="8"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8"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5" fillId="0" borderId="2" xfId="0" applyNumberFormat="1" applyFont="1" applyFill="1" applyBorder="1" applyAlignment="1">
      <alignment horizontal="left" vertical="center" wrapText="1"/>
    </xf>
    <xf numFmtId="0" fontId="8" fillId="0" borderId="2" xfId="0" applyNumberFormat="1" applyFont="1" applyFill="1" applyBorder="1" applyAlignment="1">
      <alignment horizontal="center" vertical="center" wrapText="1"/>
    </xf>
    <xf numFmtId="0" fontId="9" fillId="0" borderId="2" xfId="0" applyNumberFormat="1" applyFont="1" applyFill="1" applyBorder="1" applyAlignment="1">
      <alignment horizontal="center" vertical="center"/>
    </xf>
    <xf numFmtId="9"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xf>
    <xf numFmtId="9"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xf>
    <xf numFmtId="0" fontId="3" fillId="0" borderId="8" xfId="0" applyNumberFormat="1" applyFont="1" applyFill="1" applyBorder="1" applyAlignment="1">
      <alignment horizontal="center" vertical="center"/>
    </xf>
    <xf numFmtId="0" fontId="8" fillId="0" borderId="8" xfId="0" applyNumberFormat="1" applyFont="1" applyFill="1" applyBorder="1" applyAlignment="1">
      <alignment horizontal="center" vertical="center" wrapText="1"/>
    </xf>
    <xf numFmtId="0" fontId="9" fillId="0" borderId="8" xfId="0" applyNumberFormat="1" applyFont="1" applyFill="1" applyBorder="1" applyAlignment="1">
      <alignment horizontal="center" vertical="center"/>
    </xf>
    <xf numFmtId="9" fontId="3" fillId="0" borderId="8" xfId="0" applyNumberFormat="1" applyFont="1" applyFill="1" applyBorder="1" applyAlignment="1">
      <alignment horizontal="center" vertical="center" wrapText="1"/>
    </xf>
    <xf numFmtId="0" fontId="3" fillId="0" borderId="8"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xf>
    <xf numFmtId="9" fontId="3" fillId="3" borderId="1" xfId="0" applyNumberFormat="1" applyFont="1" applyFill="1" applyBorder="1" applyAlignment="1">
      <alignment vertical="center"/>
    </xf>
    <xf numFmtId="0" fontId="3" fillId="3" borderId="1" xfId="0" applyNumberFormat="1" applyFont="1" applyFill="1" applyBorder="1" applyAlignment="1">
      <alignment vertical="center"/>
    </xf>
    <xf numFmtId="177" fontId="3" fillId="3" borderId="1" xfId="0" applyNumberFormat="1" applyFont="1" applyFill="1" applyBorder="1" applyAlignment="1">
      <alignment horizontal="center" vertical="center"/>
    </xf>
    <xf numFmtId="0" fontId="8" fillId="0" borderId="1" xfId="0" applyNumberFormat="1" applyFont="1" applyFill="1" applyBorder="1" applyAlignment="1">
      <alignment vertical="center" wrapText="1"/>
    </xf>
    <xf numFmtId="0" fontId="9" fillId="0" borderId="1" xfId="0" applyNumberFormat="1" applyFont="1" applyFill="1" applyBorder="1" applyAlignment="1">
      <alignment vertical="center"/>
    </xf>
    <xf numFmtId="0" fontId="3" fillId="0" borderId="1" xfId="0" applyNumberFormat="1" applyFont="1" applyFill="1" applyBorder="1" applyAlignment="1">
      <alignment vertical="center" wrapText="1"/>
    </xf>
    <xf numFmtId="0" fontId="13" fillId="0" borderId="1" xfId="0" applyNumberFormat="1" applyFont="1" applyFill="1" applyBorder="1" applyAlignment="1">
      <alignment horizontal="left" vertical="center" wrapText="1"/>
    </xf>
    <xf numFmtId="9" fontId="3" fillId="0"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14" fillId="5" borderId="1" xfId="0" applyFont="1" applyFill="1" applyBorder="1" applyAlignment="1">
      <alignment horizontal="center" vertical="center"/>
    </xf>
    <xf numFmtId="0" fontId="15" fillId="5" borderId="1" xfId="0" applyNumberFormat="1" applyFont="1" applyFill="1" applyBorder="1" applyAlignment="1">
      <alignment horizontal="center" vertical="center"/>
    </xf>
    <xf numFmtId="176" fontId="15" fillId="5" borderId="1" xfId="0" applyFont="1" applyFill="1" applyBorder="1" applyAlignment="1">
      <alignment horizontal="center" vertical="center"/>
    </xf>
    <xf numFmtId="9" fontId="15" fillId="5" borderId="1" xfId="0" applyNumberFormat="1" applyFont="1" applyFill="1" applyBorder="1" applyAlignment="1">
      <alignment horizontal="center" vertical="center"/>
    </xf>
    <xf numFmtId="0" fontId="15" fillId="5" borderId="1" xfId="0" applyNumberFormat="1" applyFont="1" applyFill="1" applyBorder="1" applyAlignment="1">
      <alignment horizontal="center" vertical="center" wrapText="1"/>
    </xf>
    <xf numFmtId="49" fontId="15" fillId="5" borderId="1" xfId="0" applyNumberFormat="1" applyFont="1" applyFill="1" applyBorder="1" applyAlignment="1">
      <alignment horizontal="center" vertical="center" wrapText="1"/>
    </xf>
    <xf numFmtId="176" fontId="15" fillId="5" borderId="1" xfId="0" applyFont="1" applyFill="1" applyBorder="1" applyAlignment="1">
      <alignment horizontal="center" vertical="center" wrapText="1"/>
    </xf>
    <xf numFmtId="0" fontId="16" fillId="0" borderId="1" xfId="0" applyNumberFormat="1" applyFont="1" applyBorder="1" applyAlignment="1">
      <alignment horizontal="center" vertical="center"/>
    </xf>
    <xf numFmtId="176" fontId="16" fillId="0" borderId="2" xfId="0" applyFont="1" applyBorder="1" applyAlignment="1">
      <alignment horizontal="center" vertical="center" wrapText="1"/>
    </xf>
    <xf numFmtId="176" fontId="16" fillId="0" borderId="1" xfId="0" applyFont="1" applyBorder="1" applyAlignment="1">
      <alignment horizontal="center" vertical="center" wrapText="1"/>
    </xf>
    <xf numFmtId="176" fontId="16" fillId="0" borderId="1" xfId="0" applyFont="1" applyBorder="1" applyAlignment="1">
      <alignment vertical="center"/>
    </xf>
    <xf numFmtId="176" fontId="16" fillId="0" borderId="1" xfId="0" applyFont="1" applyBorder="1" applyAlignment="1">
      <alignment horizontal="center" vertical="center"/>
    </xf>
    <xf numFmtId="9" fontId="16" fillId="0" borderId="1" xfId="0" applyNumberFormat="1" applyFont="1" applyBorder="1" applyAlignment="1">
      <alignment horizontal="center" vertical="center"/>
    </xf>
    <xf numFmtId="0" fontId="16" fillId="0" borderId="1" xfId="0" applyNumberFormat="1" applyFont="1" applyBorder="1" applyAlignment="1">
      <alignment horizontal="center" vertical="center" wrapText="1"/>
    </xf>
    <xf numFmtId="0" fontId="16"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wrapText="1"/>
    </xf>
    <xf numFmtId="176" fontId="16" fillId="0" borderId="1" xfId="0" applyFont="1" applyBorder="1" applyAlignment="1">
      <alignment vertical="center" wrapText="1"/>
    </xf>
    <xf numFmtId="176" fontId="16" fillId="0" borderId="3" xfId="0" applyFont="1" applyBorder="1" applyAlignment="1">
      <alignment horizontal="center" vertical="center"/>
    </xf>
    <xf numFmtId="9" fontId="16" fillId="0" borderId="1" xfId="0" applyNumberFormat="1" applyFont="1" applyFill="1" applyBorder="1" applyAlignment="1" applyProtection="1">
      <alignment horizontal="center" vertical="center"/>
    </xf>
    <xf numFmtId="176" fontId="16" fillId="0" borderId="1" xfId="0" applyFont="1" applyFill="1" applyBorder="1" applyAlignment="1">
      <alignment horizontal="center" vertical="center" wrapText="1"/>
    </xf>
    <xf numFmtId="176" fontId="16" fillId="0" borderId="1" xfId="0" applyFont="1" applyFill="1" applyBorder="1" applyAlignment="1">
      <alignment horizontal="center" vertical="center"/>
    </xf>
    <xf numFmtId="176" fontId="16" fillId="6" borderId="1" xfId="0" applyFont="1" applyFill="1" applyBorder="1" applyAlignment="1">
      <alignment horizontal="center" vertical="center"/>
    </xf>
    <xf numFmtId="9" fontId="16" fillId="0" borderId="1" xfId="0" applyNumberFormat="1" applyFont="1" applyFill="1" applyBorder="1" applyAlignment="1">
      <alignment horizontal="center" vertical="center"/>
    </xf>
    <xf numFmtId="176" fontId="16" fillId="6" borderId="1" xfId="0" applyFont="1" applyFill="1" applyBorder="1" applyAlignment="1">
      <alignment horizontal="center" vertical="center" wrapText="1"/>
    </xf>
    <xf numFmtId="176" fontId="16" fillId="0" borderId="1" xfId="0" applyFont="1" applyFill="1" applyBorder="1" applyAlignment="1">
      <alignment vertical="center"/>
    </xf>
    <xf numFmtId="0" fontId="17" fillId="0"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6" fontId="16" fillId="0" borderId="3" xfId="0" applyFont="1" applyBorder="1" applyAlignment="1">
      <alignment horizontal="center" vertical="center" wrapText="1"/>
    </xf>
    <xf numFmtId="49" fontId="17" fillId="0" borderId="1"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176" fontId="17" fillId="6" borderId="1" xfId="0" applyFont="1" applyFill="1" applyBorder="1" applyAlignment="1">
      <alignment horizontal="center" vertical="center"/>
    </xf>
    <xf numFmtId="0" fontId="16" fillId="0" borderId="26" xfId="0" applyNumberFormat="1" applyFont="1" applyBorder="1" applyAlignment="1">
      <alignment horizontal="center" vertical="center"/>
    </xf>
    <xf numFmtId="176" fontId="16" fillId="0" borderId="27" xfId="0" applyFont="1" applyBorder="1" applyAlignment="1">
      <alignment horizontal="center" vertical="center"/>
    </xf>
    <xf numFmtId="176" fontId="16" fillId="0" borderId="26" xfId="0" applyFont="1" applyBorder="1" applyAlignment="1">
      <alignment horizontal="center" vertical="center"/>
    </xf>
    <xf numFmtId="176" fontId="16" fillId="5" borderId="26" xfId="0" applyFont="1" applyFill="1" applyBorder="1" applyAlignment="1">
      <alignment horizontal="center" vertical="center"/>
    </xf>
    <xf numFmtId="0" fontId="16" fillId="5" borderId="26" xfId="0" applyNumberFormat="1" applyFont="1" applyFill="1" applyBorder="1" applyAlignment="1">
      <alignment horizontal="center" vertical="center"/>
    </xf>
    <xf numFmtId="0" fontId="17" fillId="5" borderId="26" xfId="0" applyNumberFormat="1" applyFont="1" applyFill="1" applyBorder="1" applyAlignment="1">
      <alignment horizontal="center" vertical="center"/>
    </xf>
    <xf numFmtId="176" fontId="16" fillId="5" borderId="26" xfId="0" applyFont="1" applyFill="1" applyBorder="1" applyAlignment="1">
      <alignment horizontal="center" vertical="center" wrapText="1"/>
    </xf>
    <xf numFmtId="9" fontId="16" fillId="5" borderId="26" xfId="0" applyNumberFormat="1" applyFont="1" applyFill="1" applyBorder="1" applyAlignment="1">
      <alignment horizontal="center" vertical="center"/>
    </xf>
    <xf numFmtId="176" fontId="16" fillId="0" borderId="26" xfId="0" applyFont="1" applyBorder="1" applyAlignment="1">
      <alignment horizontal="center" vertical="center" wrapText="1"/>
    </xf>
    <xf numFmtId="0" fontId="16" fillId="0" borderId="8" xfId="0" applyNumberFormat="1" applyFont="1" applyBorder="1" applyAlignment="1">
      <alignment horizontal="center" vertical="center"/>
    </xf>
    <xf numFmtId="0" fontId="16" fillId="0" borderId="8" xfId="0" applyNumberFormat="1" applyFont="1" applyFill="1" applyBorder="1" applyAlignment="1">
      <alignment horizontal="center" vertical="center"/>
    </xf>
    <xf numFmtId="176" fontId="16" fillId="0" borderId="8" xfId="0" applyFont="1" applyFill="1" applyBorder="1" applyAlignment="1">
      <alignment vertical="center"/>
    </xf>
    <xf numFmtId="176" fontId="16" fillId="0" borderId="8" xfId="0" applyFont="1" applyFill="1" applyBorder="1" applyAlignment="1">
      <alignment horizontal="center" vertical="center"/>
    </xf>
    <xf numFmtId="9" fontId="16" fillId="0" borderId="8"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wrapText="1"/>
    </xf>
    <xf numFmtId="0" fontId="17" fillId="0" borderId="8" xfId="0" applyNumberFormat="1" applyFont="1" applyFill="1" applyBorder="1" applyAlignment="1">
      <alignment horizontal="center" vertical="center"/>
    </xf>
    <xf numFmtId="176" fontId="19" fillId="0" borderId="8" xfId="0" applyFont="1" applyFill="1" applyBorder="1" applyAlignment="1">
      <alignment vertical="center" wrapText="1"/>
    </xf>
    <xf numFmtId="0" fontId="16" fillId="0" borderId="2" xfId="0" applyNumberFormat="1" applyFont="1" applyFill="1" applyBorder="1" applyAlignment="1">
      <alignment horizontal="center" vertical="center"/>
    </xf>
    <xf numFmtId="0" fontId="16" fillId="0" borderId="2" xfId="0" applyNumberFormat="1" applyFont="1" applyBorder="1" applyAlignment="1">
      <alignment horizontal="center" vertical="center"/>
    </xf>
    <xf numFmtId="176" fontId="16" fillId="0" borderId="2" xfId="0" applyFont="1" applyBorder="1" applyAlignment="1">
      <alignment vertical="center"/>
    </xf>
    <xf numFmtId="176" fontId="16" fillId="0" borderId="2" xfId="0" applyFont="1" applyBorder="1" applyAlignment="1">
      <alignment horizontal="center" vertical="center"/>
    </xf>
    <xf numFmtId="9" fontId="16" fillId="0" borderId="2" xfId="0" applyNumberFormat="1" applyFont="1" applyBorder="1" applyAlignment="1">
      <alignment horizontal="center" vertical="center"/>
    </xf>
    <xf numFmtId="0" fontId="16" fillId="0" borderId="2" xfId="0" applyNumberFormat="1" applyFont="1" applyBorder="1" applyAlignment="1">
      <alignment horizontal="center" vertical="center" wrapText="1"/>
    </xf>
    <xf numFmtId="176" fontId="16" fillId="0" borderId="2" xfId="0" applyFont="1" applyBorder="1" applyAlignment="1">
      <alignment vertical="center" wrapText="1"/>
    </xf>
    <xf numFmtId="176" fontId="16" fillId="0" borderId="2" xfId="0" applyFont="1" applyFill="1" applyBorder="1" applyAlignment="1">
      <alignment horizontal="center" vertical="center"/>
    </xf>
    <xf numFmtId="176" fontId="16" fillId="0" borderId="27" xfId="0" applyFont="1" applyBorder="1" applyAlignment="1">
      <alignment horizontal="center" vertical="center" wrapText="1"/>
    </xf>
    <xf numFmtId="176" fontId="16" fillId="0" borderId="8" xfId="0" applyFont="1" applyBorder="1" applyAlignment="1">
      <alignment horizontal="center" vertical="center" wrapText="1"/>
    </xf>
    <xf numFmtId="176" fontId="16" fillId="0" borderId="8" xfId="0" applyFont="1" applyBorder="1" applyAlignment="1">
      <alignment vertical="center"/>
    </xf>
    <xf numFmtId="176" fontId="16" fillId="0" borderId="8" xfId="0" applyFont="1" applyFill="1" applyBorder="1" applyAlignment="1">
      <alignment horizontal="center" vertical="center" wrapText="1"/>
    </xf>
    <xf numFmtId="176" fontId="16" fillId="3" borderId="8" xfId="0" applyFont="1" applyFill="1" applyBorder="1" applyAlignment="1">
      <alignment horizontal="center" vertical="center"/>
    </xf>
    <xf numFmtId="176" fontId="16" fillId="0" borderId="8" xfId="0" applyFont="1" applyFill="1" applyBorder="1" applyAlignment="1">
      <alignment vertical="center" wrapText="1"/>
    </xf>
    <xf numFmtId="176" fontId="19" fillId="0" borderId="1" xfId="0" applyFont="1" applyFill="1" applyBorder="1" applyAlignment="1">
      <alignment vertical="center" wrapText="1"/>
    </xf>
    <xf numFmtId="0" fontId="16" fillId="0" borderId="9" xfId="0" applyNumberFormat="1" applyFont="1" applyFill="1" applyBorder="1" applyAlignment="1">
      <alignment horizontal="center" vertical="center"/>
    </xf>
    <xf numFmtId="0" fontId="16" fillId="0" borderId="10" xfId="0" applyNumberFormat="1" applyFont="1" applyFill="1" applyBorder="1" applyAlignment="1">
      <alignment horizontal="center" vertical="center"/>
    </xf>
    <xf numFmtId="176" fontId="16" fillId="0" borderId="8" xfId="0" applyFont="1" applyBorder="1" applyAlignment="1">
      <alignment horizontal="center" vertical="center"/>
    </xf>
    <xf numFmtId="9" fontId="16" fillId="0" borderId="8" xfId="0" applyNumberFormat="1" applyFont="1" applyBorder="1" applyAlignment="1">
      <alignment horizontal="center" vertical="center"/>
    </xf>
    <xf numFmtId="49" fontId="16" fillId="0" borderId="8" xfId="0" applyNumberFormat="1" applyFont="1" applyFill="1" applyBorder="1" applyAlignment="1">
      <alignment horizontal="center" vertical="center" wrapText="1"/>
    </xf>
    <xf numFmtId="176" fontId="16" fillId="0" borderId="8" xfId="0" applyFont="1" applyBorder="1" applyAlignment="1">
      <alignment vertical="center" wrapText="1"/>
    </xf>
    <xf numFmtId="0" fontId="16" fillId="0" borderId="3" xfId="0" applyNumberFormat="1" applyFont="1" applyBorder="1" applyAlignment="1">
      <alignment horizontal="center" vertical="center"/>
    </xf>
    <xf numFmtId="176" fontId="16" fillId="0" borderId="3" xfId="0" applyFont="1" applyBorder="1" applyAlignment="1">
      <alignment vertical="center" wrapText="1"/>
    </xf>
    <xf numFmtId="176" fontId="16" fillId="0" borderId="3" xfId="0" applyFont="1" applyBorder="1" applyAlignment="1">
      <alignment vertical="center"/>
    </xf>
    <xf numFmtId="0" fontId="16" fillId="0" borderId="0" xfId="0" applyNumberFormat="1" applyFont="1" applyAlignment="1">
      <alignment horizontal="center" vertical="center"/>
    </xf>
    <xf numFmtId="176" fontId="16" fillId="0" borderId="0" xfId="0" applyFont="1" applyAlignment="1">
      <alignment horizontal="center" vertical="center"/>
    </xf>
    <xf numFmtId="176" fontId="16" fillId="0" borderId="0" xfId="0" applyFont="1" applyAlignment="1">
      <alignment vertical="center"/>
    </xf>
    <xf numFmtId="0" fontId="16"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5"/>
  <sheetViews>
    <sheetView tabSelected="1" zoomScale="70" zoomScaleNormal="70" workbookViewId="0">
      <pane xSplit="5" ySplit="2" topLeftCell="F3" activePane="bottomRight" state="frozen"/>
      <selection/>
      <selection pane="topRight"/>
      <selection pane="bottomLeft"/>
      <selection pane="bottomRight" activeCell="L6" sqref="L6"/>
    </sheetView>
  </sheetViews>
  <sheetFormatPr defaultColWidth="9" defaultRowHeight="13.8"/>
  <cols>
    <col min="1" max="1" width="7.11111111111111" style="259" customWidth="1"/>
    <col min="2" max="2" width="15.4444444444444" customWidth="1"/>
    <col min="3" max="3" width="14.4444444444444" customWidth="1"/>
    <col min="4" max="4" width="21.8888888888889" style="259"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260" customWidth="1"/>
    <col min="11" max="11" width="11.3333333333333" style="259" customWidth="1"/>
    <col min="12" max="12" width="20.6296296296296" customWidth="1"/>
    <col min="13" max="13" width="19.7777777777778" style="259" customWidth="1"/>
    <col min="14" max="14" width="20.1574074074074" style="259" customWidth="1"/>
    <col min="15" max="15" width="21.2685185185185" style="261" customWidth="1"/>
    <col min="16" max="16" width="19.2037037037037" customWidth="1"/>
    <col min="17" max="17" width="16.3518518518519" customWidth="1"/>
    <col min="18" max="18" width="85.2314814814815" customWidth="1"/>
  </cols>
  <sheetData>
    <row r="1" ht="37.5" customHeight="1" spans="1:18">
      <c r="A1" s="262" t="s">
        <v>0</v>
      </c>
      <c r="B1" s="262"/>
      <c r="C1" s="262"/>
      <c r="D1" s="262"/>
      <c r="E1" s="262"/>
      <c r="F1" s="262"/>
      <c r="G1" s="262"/>
      <c r="H1" s="262"/>
      <c r="I1" s="262"/>
      <c r="J1" s="262"/>
      <c r="K1" s="262"/>
      <c r="L1" s="262"/>
      <c r="M1" s="262"/>
      <c r="N1" s="262"/>
      <c r="O1" s="262"/>
      <c r="P1" s="262"/>
      <c r="Q1" s="262"/>
      <c r="R1" s="262"/>
    </row>
    <row r="2" ht="30" customHeight="1" spans="1:18">
      <c r="A2" s="263" t="s">
        <v>1</v>
      </c>
      <c r="B2" s="264" t="s">
        <v>2</v>
      </c>
      <c r="C2" s="264" t="s">
        <v>3</v>
      </c>
      <c r="D2" s="263" t="s">
        <v>4</v>
      </c>
      <c r="E2" s="264" t="s">
        <v>5</v>
      </c>
      <c r="F2" s="264" t="s">
        <v>6</v>
      </c>
      <c r="G2" s="264" t="s">
        <v>7</v>
      </c>
      <c r="H2" s="264" t="s">
        <v>8</v>
      </c>
      <c r="I2" s="264" t="s">
        <v>9</v>
      </c>
      <c r="J2" s="265" t="s">
        <v>10</v>
      </c>
      <c r="K2" s="266" t="s">
        <v>11</v>
      </c>
      <c r="L2" s="264" t="s">
        <v>12</v>
      </c>
      <c r="M2" s="263" t="s">
        <v>13</v>
      </c>
      <c r="N2" s="263" t="s">
        <v>14</v>
      </c>
      <c r="O2" s="267" t="s">
        <v>15</v>
      </c>
      <c r="P2" s="268" t="s">
        <v>16</v>
      </c>
      <c r="Q2" s="264" t="s">
        <v>17</v>
      </c>
      <c r="R2" s="264" t="s">
        <v>18</v>
      </c>
    </row>
    <row r="3" ht="35" customHeight="1" spans="1:18">
      <c r="A3" s="269">
        <v>1</v>
      </c>
      <c r="B3" s="270" t="s">
        <v>19</v>
      </c>
      <c r="C3" s="271" t="s">
        <v>20</v>
      </c>
      <c r="D3" s="269">
        <v>22220901</v>
      </c>
      <c r="E3" s="272" t="s">
        <v>21</v>
      </c>
      <c r="F3" s="273" t="s">
        <v>22</v>
      </c>
      <c r="G3" s="273" t="s">
        <v>23</v>
      </c>
      <c r="H3" s="273" t="s">
        <v>24</v>
      </c>
      <c r="I3" s="273" t="s">
        <v>25</v>
      </c>
      <c r="J3" s="274" t="s">
        <v>26</v>
      </c>
      <c r="K3" s="275" t="s">
        <v>27</v>
      </c>
      <c r="L3" s="273"/>
      <c r="M3" s="276">
        <v>12</v>
      </c>
      <c r="N3" s="276">
        <v>11.63</v>
      </c>
      <c r="O3" s="277" t="str">
        <f>ROUND(N3-M3,2)&amp;"("&amp;ROUND(((N3-M3)/M3*100),0)&amp;"%)"</f>
        <v>-0.37(-3%)</v>
      </c>
      <c r="P3" s="278"/>
      <c r="Q3" s="272"/>
      <c r="R3" s="273"/>
    </row>
    <row r="4" ht="64" customHeight="1" spans="1:18">
      <c r="A4" s="269">
        <v>2</v>
      </c>
      <c r="B4" s="279"/>
      <c r="C4" s="273"/>
      <c r="D4" s="269">
        <v>22250226</v>
      </c>
      <c r="E4" s="272" t="s">
        <v>28</v>
      </c>
      <c r="F4" s="273" t="s">
        <v>22</v>
      </c>
      <c r="G4" s="273" t="s">
        <v>29</v>
      </c>
      <c r="H4" s="273" t="s">
        <v>30</v>
      </c>
      <c r="I4" s="273" t="s">
        <v>25</v>
      </c>
      <c r="J4" s="280">
        <v>0.93</v>
      </c>
      <c r="K4" s="275" t="s">
        <v>31</v>
      </c>
      <c r="L4" s="273"/>
      <c r="M4" s="276">
        <v>4</v>
      </c>
      <c r="N4" s="276">
        <v>10</v>
      </c>
      <c r="O4" s="277" t="str">
        <f t="shared" ref="O4:O6" si="0">ROUND(N4-M4,2)&amp;"("&amp;ROUND(((N4-M4)/M4*100),0)&amp;"%)"</f>
        <v>6(150%)</v>
      </c>
      <c r="P4" s="278"/>
      <c r="Q4" s="272"/>
      <c r="R4" s="281" t="s">
        <v>32</v>
      </c>
    </row>
    <row r="5" ht="32" customHeight="1" spans="1:18">
      <c r="A5" s="269">
        <v>3</v>
      </c>
      <c r="B5" s="279"/>
      <c r="C5" s="273"/>
      <c r="D5" s="269">
        <v>22220202</v>
      </c>
      <c r="E5" s="272" t="s">
        <v>33</v>
      </c>
      <c r="F5" s="273" t="s">
        <v>34</v>
      </c>
      <c r="G5" s="271" t="s">
        <v>35</v>
      </c>
      <c r="H5" s="273" t="s">
        <v>24</v>
      </c>
      <c r="I5" s="273" t="s">
        <v>25</v>
      </c>
      <c r="J5" s="274" t="s">
        <v>26</v>
      </c>
      <c r="K5" s="275" t="s">
        <v>31</v>
      </c>
      <c r="L5" s="278"/>
      <c r="M5" s="276">
        <v>0</v>
      </c>
      <c r="N5" s="276">
        <v>0</v>
      </c>
      <c r="O5" s="277">
        <v>0</v>
      </c>
      <c r="P5" s="271"/>
      <c r="Q5" s="272"/>
      <c r="R5" s="281" t="s">
        <v>36</v>
      </c>
    </row>
    <row r="6" ht="23" customHeight="1" spans="1:18">
      <c r="A6" s="269">
        <v>4</v>
      </c>
      <c r="B6" s="279"/>
      <c r="C6" s="273"/>
      <c r="D6" s="269">
        <v>22220701</v>
      </c>
      <c r="E6" s="272" t="s">
        <v>37</v>
      </c>
      <c r="F6" s="273" t="s">
        <v>34</v>
      </c>
      <c r="G6" s="271" t="s">
        <v>35</v>
      </c>
      <c r="H6" s="273" t="s">
        <v>24</v>
      </c>
      <c r="I6" s="273" t="s">
        <v>25</v>
      </c>
      <c r="J6" s="274" t="s">
        <v>26</v>
      </c>
      <c r="K6" s="275" t="s">
        <v>31</v>
      </c>
      <c r="L6" s="278"/>
      <c r="M6" s="276">
        <v>0</v>
      </c>
      <c r="N6" s="276">
        <v>0</v>
      </c>
      <c r="O6" s="277">
        <v>0</v>
      </c>
      <c r="P6" s="271"/>
      <c r="Q6" s="272"/>
      <c r="R6" s="281" t="s">
        <v>38</v>
      </c>
    </row>
    <row r="7" ht="23" customHeight="1" spans="1:18">
      <c r="A7" s="269">
        <v>5</v>
      </c>
      <c r="B7" s="279"/>
      <c r="C7" s="271" t="s">
        <v>39</v>
      </c>
      <c r="D7" s="269">
        <v>22221201</v>
      </c>
      <c r="E7" s="272" t="s">
        <v>40</v>
      </c>
      <c r="F7" s="273" t="s">
        <v>41</v>
      </c>
      <c r="G7" s="271" t="s">
        <v>23</v>
      </c>
      <c r="H7" s="273" t="s">
        <v>24</v>
      </c>
      <c r="I7" s="273" t="s">
        <v>25</v>
      </c>
      <c r="J7" s="274">
        <v>0.99</v>
      </c>
      <c r="K7" s="275" t="s">
        <v>42</v>
      </c>
      <c r="L7" s="273"/>
      <c r="M7" s="276">
        <v>3</v>
      </c>
      <c r="N7" s="276">
        <v>3</v>
      </c>
      <c r="O7" s="277" t="str">
        <f t="shared" ref="O7:O15" si="1">N7-M7&amp;"("&amp;ROUND(((N7-M7)/M7*100),0)&amp;"%)"</f>
        <v>0(0%)</v>
      </c>
      <c r="P7" s="278"/>
      <c r="Q7" s="272"/>
      <c r="R7" s="282"/>
    </row>
    <row r="8" ht="23" customHeight="1" spans="1:18">
      <c r="A8" s="269">
        <v>6</v>
      </c>
      <c r="B8" s="279"/>
      <c r="C8" s="273"/>
      <c r="D8" s="269">
        <v>22250314</v>
      </c>
      <c r="E8" s="272" t="s">
        <v>43</v>
      </c>
      <c r="F8" s="273" t="s">
        <v>44</v>
      </c>
      <c r="G8" s="273" t="s">
        <v>29</v>
      </c>
      <c r="H8" s="273" t="s">
        <v>30</v>
      </c>
      <c r="I8" s="283" t="s">
        <v>45</v>
      </c>
      <c r="J8" s="284">
        <v>0.95</v>
      </c>
      <c r="K8" s="275" t="s">
        <v>46</v>
      </c>
      <c r="L8" s="273"/>
      <c r="M8" s="276">
        <v>8.5</v>
      </c>
      <c r="N8" s="276">
        <v>9.5</v>
      </c>
      <c r="O8" s="277" t="str">
        <f t="shared" si="1"/>
        <v>1(12%)</v>
      </c>
      <c r="P8" s="285" t="s">
        <v>47</v>
      </c>
      <c r="Q8" s="272"/>
      <c r="R8" s="281" t="s">
        <v>48</v>
      </c>
    </row>
    <row r="9" ht="23" customHeight="1" spans="1:18">
      <c r="A9" s="269">
        <v>7</v>
      </c>
      <c r="B9" s="279"/>
      <c r="C9" s="273"/>
      <c r="D9" s="276" t="s">
        <v>49</v>
      </c>
      <c r="E9" s="286" t="s">
        <v>50</v>
      </c>
      <c r="F9" s="282" t="s">
        <v>51</v>
      </c>
      <c r="G9" s="282" t="s">
        <v>29</v>
      </c>
      <c r="H9" s="282" t="s">
        <v>52</v>
      </c>
      <c r="I9" s="282" t="s">
        <v>25</v>
      </c>
      <c r="J9" s="274" t="s">
        <v>26</v>
      </c>
      <c r="K9" s="277" t="s">
        <v>46</v>
      </c>
      <c r="L9" s="282"/>
      <c r="M9" s="287">
        <v>7</v>
      </c>
      <c r="N9" s="287">
        <v>10</v>
      </c>
      <c r="O9" s="277" t="str">
        <f t="shared" si="1"/>
        <v>3(43%)</v>
      </c>
      <c r="P9" s="278"/>
      <c r="Q9" s="272"/>
      <c r="R9" s="282" t="s">
        <v>53</v>
      </c>
    </row>
    <row r="10" ht="23" customHeight="1" spans="1:18">
      <c r="A10" s="269">
        <v>8</v>
      </c>
      <c r="B10" s="279"/>
      <c r="C10" s="273"/>
      <c r="D10" s="276">
        <v>23260410</v>
      </c>
      <c r="E10" s="286" t="s">
        <v>54</v>
      </c>
      <c r="F10" s="282" t="s">
        <v>55</v>
      </c>
      <c r="G10" s="282" t="s">
        <v>29</v>
      </c>
      <c r="H10" s="273" t="s">
        <v>56</v>
      </c>
      <c r="I10" s="282" t="s">
        <v>25</v>
      </c>
      <c r="J10" s="284">
        <v>0.3</v>
      </c>
      <c r="K10" s="277" t="s">
        <v>42</v>
      </c>
      <c r="L10" s="282" t="s">
        <v>57</v>
      </c>
      <c r="M10" s="287">
        <v>6.5</v>
      </c>
      <c r="N10" s="287">
        <v>16.5</v>
      </c>
      <c r="O10" s="288" t="str">
        <f t="shared" si="1"/>
        <v>10(154%)</v>
      </c>
      <c r="P10" s="281"/>
      <c r="Q10" s="286"/>
      <c r="R10" s="281" t="s">
        <v>58</v>
      </c>
    </row>
    <row r="11" ht="23" customHeight="1" spans="1:18">
      <c r="A11" s="269">
        <v>9</v>
      </c>
      <c r="B11" s="279"/>
      <c r="C11" s="270" t="s">
        <v>59</v>
      </c>
      <c r="D11" s="276">
        <v>22240822</v>
      </c>
      <c r="E11" s="286" t="s">
        <v>60</v>
      </c>
      <c r="F11" s="282" t="s">
        <v>61</v>
      </c>
      <c r="G11" s="282" t="s">
        <v>29</v>
      </c>
      <c r="H11" s="282" t="s">
        <v>52</v>
      </c>
      <c r="I11" s="282" t="s">
        <v>25</v>
      </c>
      <c r="J11" s="284">
        <v>1</v>
      </c>
      <c r="K11" s="277" t="s">
        <v>31</v>
      </c>
      <c r="L11" s="282"/>
      <c r="M11" s="287">
        <v>3</v>
      </c>
      <c r="N11" s="287">
        <v>4</v>
      </c>
      <c r="O11" s="277" t="str">
        <f t="shared" si="1"/>
        <v>1(33%)</v>
      </c>
      <c r="P11" s="281"/>
      <c r="Q11" s="286"/>
      <c r="R11" s="282" t="s">
        <v>62</v>
      </c>
    </row>
    <row r="12" ht="23" customHeight="1" spans="1:18">
      <c r="A12" s="269">
        <v>10</v>
      </c>
      <c r="B12" s="279"/>
      <c r="C12" s="289"/>
      <c r="D12" s="276">
        <v>23251211</v>
      </c>
      <c r="E12" s="286" t="s">
        <v>63</v>
      </c>
      <c r="F12" s="282" t="s">
        <v>64</v>
      </c>
      <c r="G12" s="282" t="s">
        <v>29</v>
      </c>
      <c r="H12" s="282" t="s">
        <v>65</v>
      </c>
      <c r="I12" s="282" t="s">
        <v>25</v>
      </c>
      <c r="J12" s="284">
        <v>0.9</v>
      </c>
      <c r="K12" s="277" t="s">
        <v>66</v>
      </c>
      <c r="L12" s="281" t="s">
        <v>67</v>
      </c>
      <c r="M12" s="287">
        <v>14</v>
      </c>
      <c r="N12" s="287">
        <v>11.5</v>
      </c>
      <c r="O12" s="290" t="str">
        <f t="shared" si="1"/>
        <v>-2.5(-18%)</v>
      </c>
      <c r="P12" s="281"/>
      <c r="Q12" s="286"/>
      <c r="R12" s="282" t="s">
        <v>68</v>
      </c>
    </row>
    <row r="13" ht="23" customHeight="1" spans="1:18">
      <c r="A13" s="276">
        <v>12</v>
      </c>
      <c r="B13" s="279"/>
      <c r="C13" s="271" t="s">
        <v>69</v>
      </c>
      <c r="D13" s="269">
        <v>222201001</v>
      </c>
      <c r="E13" s="272" t="s">
        <v>70</v>
      </c>
      <c r="F13" s="273" t="s">
        <v>71</v>
      </c>
      <c r="G13" s="271" t="s">
        <v>35</v>
      </c>
      <c r="H13" s="273" t="s">
        <v>24</v>
      </c>
      <c r="I13" s="273" t="s">
        <v>25</v>
      </c>
      <c r="J13" s="274">
        <v>0.99</v>
      </c>
      <c r="K13" s="275" t="s">
        <v>31</v>
      </c>
      <c r="L13" s="278"/>
      <c r="M13" s="287">
        <v>1.5</v>
      </c>
      <c r="N13" s="287">
        <v>4</v>
      </c>
      <c r="O13" s="277">
        <v>1.5</v>
      </c>
      <c r="P13" s="271"/>
      <c r="Q13" s="272"/>
      <c r="R13" s="282" t="s">
        <v>72</v>
      </c>
    </row>
    <row r="14" ht="41" customHeight="1" spans="1:18">
      <c r="A14" s="276">
        <v>13</v>
      </c>
      <c r="B14" s="279"/>
      <c r="C14" s="273"/>
      <c r="D14" s="269">
        <v>22220905</v>
      </c>
      <c r="E14" s="272" t="s">
        <v>73</v>
      </c>
      <c r="F14" s="273" t="s">
        <v>71</v>
      </c>
      <c r="G14" s="271" t="s">
        <v>35</v>
      </c>
      <c r="H14" s="273" t="s">
        <v>24</v>
      </c>
      <c r="I14" s="273" t="s">
        <v>25</v>
      </c>
      <c r="J14" s="274">
        <v>0.99</v>
      </c>
      <c r="K14" s="275" t="s">
        <v>27</v>
      </c>
      <c r="L14" s="278"/>
      <c r="M14" s="287">
        <v>7</v>
      </c>
      <c r="N14" s="287">
        <v>5.5</v>
      </c>
      <c r="O14" s="291" t="str">
        <f>N14-M14&amp;"("&amp;ROUND(((N14-M14)/M14*100),0)&amp;"%)"</f>
        <v>-1.5(-21%)</v>
      </c>
      <c r="P14" s="278"/>
      <c r="Q14" s="272"/>
      <c r="R14" s="282" t="s">
        <v>74</v>
      </c>
    </row>
    <row r="15" ht="43" customHeight="1" spans="1:18">
      <c r="A15" s="276">
        <v>14</v>
      </c>
      <c r="B15" s="279"/>
      <c r="C15" s="273"/>
      <c r="D15" s="269">
        <v>21250326</v>
      </c>
      <c r="E15" s="272" t="s">
        <v>75</v>
      </c>
      <c r="F15" s="273" t="s">
        <v>71</v>
      </c>
      <c r="G15" s="271" t="s">
        <v>29</v>
      </c>
      <c r="H15" s="273" t="s">
        <v>56</v>
      </c>
      <c r="I15" s="292" t="s">
        <v>76</v>
      </c>
      <c r="J15" s="284">
        <v>0.85</v>
      </c>
      <c r="K15" s="275" t="s">
        <v>77</v>
      </c>
      <c r="L15" s="271"/>
      <c r="M15" s="287">
        <v>7</v>
      </c>
      <c r="N15" s="287">
        <v>10</v>
      </c>
      <c r="O15" s="277" t="str">
        <f t="shared" ref="O14:O23" si="2">N15-M15&amp;"("&amp;ROUND(((N15-M15)/M15*100),0)&amp;"%)"</f>
        <v>3(43%)</v>
      </c>
      <c r="P15" s="278"/>
      <c r="Q15" s="272"/>
      <c r="R15" s="281" t="s">
        <v>78</v>
      </c>
    </row>
    <row r="16" ht="23" customHeight="1" spans="1:18">
      <c r="A16" s="276">
        <v>15</v>
      </c>
      <c r="B16" s="279"/>
      <c r="C16" s="273"/>
      <c r="D16" s="269" t="s">
        <v>79</v>
      </c>
      <c r="E16" s="272" t="s">
        <v>80</v>
      </c>
      <c r="F16" s="273" t="s">
        <v>81</v>
      </c>
      <c r="G16" s="271" t="s">
        <v>29</v>
      </c>
      <c r="H16" s="273" t="s">
        <v>82</v>
      </c>
      <c r="I16" s="273" t="s">
        <v>25</v>
      </c>
      <c r="J16" s="284">
        <v>0.99</v>
      </c>
      <c r="K16" s="275" t="s">
        <v>77</v>
      </c>
      <c r="L16" s="271"/>
      <c r="M16" s="287">
        <v>0</v>
      </c>
      <c r="N16" s="287">
        <v>0</v>
      </c>
      <c r="O16" s="277">
        <v>0</v>
      </c>
      <c r="P16" s="278"/>
      <c r="Q16" s="272"/>
      <c r="R16" s="273" t="s">
        <v>83</v>
      </c>
    </row>
    <row r="17" ht="23" customHeight="1" spans="1:18">
      <c r="A17" s="269">
        <v>16</v>
      </c>
      <c r="B17" s="279"/>
      <c r="C17" s="271" t="s">
        <v>84</v>
      </c>
      <c r="D17" s="269" t="s">
        <v>85</v>
      </c>
      <c r="E17" s="272" t="s">
        <v>86</v>
      </c>
      <c r="F17" s="273" t="s">
        <v>87</v>
      </c>
      <c r="G17" s="273" t="s">
        <v>29</v>
      </c>
      <c r="H17" s="273" t="s">
        <v>30</v>
      </c>
      <c r="I17" s="273" t="s">
        <v>25</v>
      </c>
      <c r="J17" s="274">
        <v>0.95</v>
      </c>
      <c r="K17" s="275"/>
      <c r="L17" s="273"/>
      <c r="M17" s="287">
        <v>4</v>
      </c>
      <c r="N17" s="287">
        <v>5.5</v>
      </c>
      <c r="O17" s="291" t="str">
        <f t="shared" si="2"/>
        <v>1.5(38%)</v>
      </c>
      <c r="P17" s="278"/>
      <c r="Q17" s="272"/>
      <c r="R17" s="271" t="s">
        <v>88</v>
      </c>
    </row>
    <row r="18" ht="23" customHeight="1" spans="1:18">
      <c r="A18" s="269">
        <v>17</v>
      </c>
      <c r="B18" s="279"/>
      <c r="C18" s="273"/>
      <c r="D18" s="276"/>
      <c r="E18" s="272" t="s">
        <v>89</v>
      </c>
      <c r="F18" s="273" t="s">
        <v>87</v>
      </c>
      <c r="G18" s="273" t="s">
        <v>29</v>
      </c>
      <c r="H18" s="282" t="s">
        <v>52</v>
      </c>
      <c r="I18" s="273" t="s">
        <v>25</v>
      </c>
      <c r="J18" s="274" t="s">
        <v>26</v>
      </c>
      <c r="K18" s="275"/>
      <c r="L18" s="273"/>
      <c r="M18" s="287">
        <v>4</v>
      </c>
      <c r="N18" s="287">
        <v>6.5</v>
      </c>
      <c r="O18" s="291" t="str">
        <f t="shared" si="2"/>
        <v>2.5(63%)</v>
      </c>
      <c r="P18" s="278"/>
      <c r="Q18" s="272"/>
      <c r="R18" s="281"/>
    </row>
    <row r="19" ht="23" customHeight="1" spans="1:18">
      <c r="A19" s="269">
        <v>18</v>
      </c>
      <c r="B19" s="279"/>
      <c r="C19" s="271" t="s">
        <v>90</v>
      </c>
      <c r="D19" s="269" t="s">
        <v>91</v>
      </c>
      <c r="E19" s="272" t="s">
        <v>92</v>
      </c>
      <c r="F19" s="273" t="s">
        <v>93</v>
      </c>
      <c r="G19" s="273" t="s">
        <v>29</v>
      </c>
      <c r="H19" s="282" t="s">
        <v>52</v>
      </c>
      <c r="I19" s="273" t="s">
        <v>25</v>
      </c>
      <c r="J19" s="274" t="s">
        <v>26</v>
      </c>
      <c r="K19" s="275"/>
      <c r="L19" s="273"/>
      <c r="M19" s="287">
        <v>17</v>
      </c>
      <c r="N19" s="287">
        <v>18</v>
      </c>
      <c r="O19" s="291" t="str">
        <f t="shared" si="2"/>
        <v>1(6%)</v>
      </c>
      <c r="P19" s="281"/>
      <c r="Q19" s="286"/>
      <c r="R19" s="282"/>
    </row>
    <row r="20" ht="23" customHeight="1" spans="1:18">
      <c r="A20" s="269">
        <v>19</v>
      </c>
      <c r="B20" s="279"/>
      <c r="C20" s="273"/>
      <c r="D20" s="269"/>
      <c r="E20" s="272" t="s">
        <v>94</v>
      </c>
      <c r="F20" s="273" t="s">
        <v>44</v>
      </c>
      <c r="G20" s="273" t="s">
        <v>29</v>
      </c>
      <c r="H20" s="282" t="s">
        <v>52</v>
      </c>
      <c r="I20" s="273" t="s">
        <v>25</v>
      </c>
      <c r="J20" s="274" t="s">
        <v>26</v>
      </c>
      <c r="K20" s="275"/>
      <c r="L20" s="273"/>
      <c r="M20" s="276">
        <v>7.1</v>
      </c>
      <c r="N20" s="276">
        <v>9</v>
      </c>
      <c r="O20" s="277" t="str">
        <f t="shared" si="2"/>
        <v>1.9(27%)</v>
      </c>
      <c r="P20" s="281"/>
      <c r="Q20" s="286"/>
      <c r="R20" s="282"/>
    </row>
    <row r="21" ht="23" customHeight="1" spans="1:18">
      <c r="A21" s="269">
        <v>20</v>
      </c>
      <c r="B21" s="279"/>
      <c r="C21" s="273"/>
      <c r="D21" s="269"/>
      <c r="E21" s="272" t="s">
        <v>95</v>
      </c>
      <c r="F21" s="273" t="s">
        <v>55</v>
      </c>
      <c r="G21" s="273" t="s">
        <v>29</v>
      </c>
      <c r="H21" s="282" t="s">
        <v>52</v>
      </c>
      <c r="I21" s="273" t="s">
        <v>25</v>
      </c>
      <c r="J21" s="274" t="s">
        <v>26</v>
      </c>
      <c r="K21" s="275"/>
      <c r="L21" s="271"/>
      <c r="M21" s="276">
        <v>10.5</v>
      </c>
      <c r="N21" s="276">
        <v>11</v>
      </c>
      <c r="O21" s="277" t="str">
        <f t="shared" si="2"/>
        <v>0.5(5%)</v>
      </c>
      <c r="P21" s="278"/>
      <c r="Q21" s="272"/>
      <c r="R21" s="282"/>
    </row>
    <row r="22" ht="23" customHeight="1" spans="1:18">
      <c r="A22" s="269">
        <v>21</v>
      </c>
      <c r="B22" s="279"/>
      <c r="C22" s="273"/>
      <c r="D22" s="269"/>
      <c r="E22" s="272" t="s">
        <v>96</v>
      </c>
      <c r="F22" s="273" t="s">
        <v>64</v>
      </c>
      <c r="G22" s="273" t="s">
        <v>29</v>
      </c>
      <c r="H22" s="282" t="s">
        <v>52</v>
      </c>
      <c r="I22" s="273" t="s">
        <v>25</v>
      </c>
      <c r="J22" s="274" t="s">
        <v>26</v>
      </c>
      <c r="K22" s="275"/>
      <c r="L22" s="271"/>
      <c r="M22" s="276">
        <v>20.7</v>
      </c>
      <c r="N22" s="276">
        <v>27</v>
      </c>
      <c r="O22" s="277" t="str">
        <f t="shared" si="2"/>
        <v>6.3(30%)</v>
      </c>
      <c r="P22" s="278"/>
      <c r="Q22" s="272"/>
      <c r="R22" s="282"/>
    </row>
    <row r="23" ht="23" customHeight="1" spans="1:18">
      <c r="A23" s="269">
        <v>22</v>
      </c>
      <c r="B23" s="279"/>
      <c r="C23" s="273"/>
      <c r="D23" s="269"/>
      <c r="E23" s="272" t="s">
        <v>97</v>
      </c>
      <c r="F23" s="273" t="s">
        <v>64</v>
      </c>
      <c r="G23" s="273" t="s">
        <v>29</v>
      </c>
      <c r="H23" s="282" t="s">
        <v>52</v>
      </c>
      <c r="I23" s="273" t="s">
        <v>25</v>
      </c>
      <c r="J23" s="274" t="s">
        <v>26</v>
      </c>
      <c r="K23" s="275"/>
      <c r="L23" s="271"/>
      <c r="M23" s="276">
        <v>2</v>
      </c>
      <c r="N23" s="276">
        <v>3</v>
      </c>
      <c r="O23" s="277" t="str">
        <f t="shared" si="2"/>
        <v>1(50%)</v>
      </c>
      <c r="P23" s="278"/>
      <c r="Q23" s="272"/>
      <c r="R23" s="282"/>
    </row>
    <row r="24" ht="38.25" customHeight="1" spans="1:18">
      <c r="A24" s="293"/>
      <c r="B24" s="294"/>
      <c r="C24" s="295"/>
      <c r="D24" s="295"/>
      <c r="E24" s="295"/>
      <c r="F24" s="295"/>
      <c r="G24" s="295"/>
      <c r="H24" s="296"/>
      <c r="I24" s="296"/>
      <c r="J24" s="297"/>
      <c r="K24" s="297"/>
      <c r="L24" s="296" t="s">
        <v>98</v>
      </c>
      <c r="M24" s="298">
        <f>SUM(M3:M23)</f>
        <v>138.8</v>
      </c>
      <c r="N24" s="297">
        <f>SUM(N3:N23)</f>
        <v>175.63</v>
      </c>
      <c r="O24" s="297"/>
      <c r="P24" s="299" t="s">
        <v>99</v>
      </c>
      <c r="Q24" s="300">
        <f>N24/34/5</f>
        <v>1.03311764705882</v>
      </c>
      <c r="R24" s="301" t="s">
        <v>100</v>
      </c>
    </row>
    <row r="25" ht="29" customHeight="1" spans="1:18">
      <c r="A25" s="302">
        <v>23</v>
      </c>
      <c r="B25" s="289" t="s">
        <v>101</v>
      </c>
      <c r="C25" s="289" t="s">
        <v>102</v>
      </c>
      <c r="D25" s="303" t="s">
        <v>103</v>
      </c>
      <c r="E25" s="304" t="s">
        <v>104</v>
      </c>
      <c r="F25" s="305" t="s">
        <v>105</v>
      </c>
      <c r="G25" s="305" t="s">
        <v>29</v>
      </c>
      <c r="H25" s="305" t="s">
        <v>106</v>
      </c>
      <c r="I25" s="305" t="s">
        <v>25</v>
      </c>
      <c r="J25" s="306">
        <v>0.5</v>
      </c>
      <c r="K25" s="307"/>
      <c r="L25" s="305"/>
      <c r="M25" s="308">
        <v>0</v>
      </c>
      <c r="N25" s="308">
        <v>0</v>
      </c>
      <c r="O25" s="277">
        <v>0</v>
      </c>
      <c r="P25" s="309"/>
      <c r="Q25" s="304"/>
      <c r="R25" s="305"/>
    </row>
    <row r="26" ht="29" customHeight="1" spans="1:18">
      <c r="A26" s="302">
        <v>24</v>
      </c>
      <c r="B26" s="289"/>
      <c r="C26" s="289"/>
      <c r="D26" s="303"/>
      <c r="E26" s="304" t="s">
        <v>107</v>
      </c>
      <c r="F26" s="305" t="s">
        <v>108</v>
      </c>
      <c r="G26" s="305" t="s">
        <v>29</v>
      </c>
      <c r="H26" s="273" t="s">
        <v>56</v>
      </c>
      <c r="I26" s="305" t="s">
        <v>25</v>
      </c>
      <c r="J26" s="306" t="s">
        <v>23</v>
      </c>
      <c r="K26" s="307"/>
      <c r="L26" s="305"/>
      <c r="M26" s="276">
        <v>2.5</v>
      </c>
      <c r="N26" s="276">
        <v>1</v>
      </c>
      <c r="O26" s="277" t="str">
        <f t="shared" ref="O25:O30" si="3">N26-M26&amp;"("&amp;ROUND(((N26-M26)/M26*100),0)&amp;"%)"</f>
        <v>-1.5(-60%)</v>
      </c>
      <c r="P26" s="309"/>
      <c r="Q26" s="304"/>
      <c r="R26" s="305" t="s">
        <v>109</v>
      </c>
    </row>
    <row r="27" ht="25" customHeight="1" spans="1:18">
      <c r="A27" s="269">
        <v>25</v>
      </c>
      <c r="B27" s="289"/>
      <c r="C27" s="289"/>
      <c r="D27" s="269">
        <v>21260422</v>
      </c>
      <c r="E27" s="272" t="s">
        <v>110</v>
      </c>
      <c r="F27" s="273" t="s">
        <v>111</v>
      </c>
      <c r="G27" s="305" t="s">
        <v>29</v>
      </c>
      <c r="H27" s="273" t="s">
        <v>56</v>
      </c>
      <c r="I27" s="273" t="s">
        <v>25</v>
      </c>
      <c r="J27" s="274">
        <v>0.55</v>
      </c>
      <c r="K27" s="275"/>
      <c r="L27" s="271"/>
      <c r="M27" s="310">
        <v>19</v>
      </c>
      <c r="N27" s="310">
        <v>23.5</v>
      </c>
      <c r="O27" s="277" t="str">
        <f t="shared" si="3"/>
        <v>4.5(24%)</v>
      </c>
      <c r="P27" s="278"/>
      <c r="Q27" s="272"/>
      <c r="R27" s="282"/>
    </row>
    <row r="28" ht="25" customHeight="1" spans="1:18">
      <c r="A28" s="269">
        <v>26</v>
      </c>
      <c r="B28" s="289"/>
      <c r="C28" s="289"/>
      <c r="D28" s="311">
        <v>21260423</v>
      </c>
      <c r="E28" s="312" t="s">
        <v>112</v>
      </c>
      <c r="F28" s="273" t="s">
        <v>111</v>
      </c>
      <c r="G28" s="305" t="s">
        <v>29</v>
      </c>
      <c r="H28" s="313" t="s">
        <v>56</v>
      </c>
      <c r="I28" s="313" t="s">
        <v>25</v>
      </c>
      <c r="J28" s="314">
        <v>0.3</v>
      </c>
      <c r="K28" s="315"/>
      <c r="L28" s="270"/>
      <c r="M28" s="310">
        <v>7</v>
      </c>
      <c r="N28" s="310">
        <v>8.37</v>
      </c>
      <c r="O28" s="277" t="str">
        <f t="shared" si="3"/>
        <v>1.37(20%)</v>
      </c>
      <c r="P28" s="316"/>
      <c r="Q28" s="312"/>
      <c r="R28" s="317"/>
    </row>
    <row r="29" ht="25" customHeight="1" spans="1:18">
      <c r="A29" s="269">
        <v>27</v>
      </c>
      <c r="B29" s="289"/>
      <c r="C29" s="289"/>
      <c r="D29" s="269">
        <v>22220901</v>
      </c>
      <c r="E29" s="272" t="s">
        <v>113</v>
      </c>
      <c r="F29" s="273" t="s">
        <v>22</v>
      </c>
      <c r="G29" s="273" t="s">
        <v>23</v>
      </c>
      <c r="H29" s="273" t="s">
        <v>24</v>
      </c>
      <c r="I29" s="273" t="s">
        <v>25</v>
      </c>
      <c r="J29" s="274" t="s">
        <v>26</v>
      </c>
      <c r="K29" s="315"/>
      <c r="L29" s="270"/>
      <c r="M29" s="310">
        <v>9.5</v>
      </c>
      <c r="N29" s="310">
        <v>13</v>
      </c>
      <c r="O29" s="277" t="str">
        <f t="shared" si="3"/>
        <v>3.5(37%)</v>
      </c>
      <c r="P29" s="316"/>
      <c r="Q29" s="312"/>
      <c r="R29" s="317"/>
    </row>
    <row r="30" ht="25" customHeight="1" spans="1:18">
      <c r="A30" s="269">
        <v>28</v>
      </c>
      <c r="B30" s="289"/>
      <c r="C30" s="289"/>
      <c r="D30" s="311">
        <v>22220905</v>
      </c>
      <c r="E30" s="316" t="s">
        <v>114</v>
      </c>
      <c r="F30" s="313" t="s">
        <v>71</v>
      </c>
      <c r="G30" s="273" t="s">
        <v>23</v>
      </c>
      <c r="H30" s="313" t="s">
        <v>24</v>
      </c>
      <c r="I30" s="313" t="s">
        <v>25</v>
      </c>
      <c r="J30" s="274" t="s">
        <v>26</v>
      </c>
      <c r="K30" s="315"/>
      <c r="L30" s="270"/>
      <c r="M30" s="310">
        <v>1</v>
      </c>
      <c r="N30" s="310">
        <v>0</v>
      </c>
      <c r="O30" s="277" t="str">
        <f t="shared" si="3"/>
        <v>-1(-100%)</v>
      </c>
      <c r="P30" s="316"/>
      <c r="Q30" s="312"/>
      <c r="R30" s="317"/>
    </row>
    <row r="31" ht="41" customHeight="1" spans="1:18">
      <c r="A31" s="293"/>
      <c r="B31" s="318"/>
      <c r="C31" s="295"/>
      <c r="D31" s="295"/>
      <c r="E31" s="295"/>
      <c r="F31" s="295"/>
      <c r="G31" s="295"/>
      <c r="H31" s="296"/>
      <c r="I31" s="296"/>
      <c r="J31" s="297"/>
      <c r="K31" s="297"/>
      <c r="L31" s="296" t="s">
        <v>98</v>
      </c>
      <c r="M31" s="298">
        <f>SUM(M25:M30)</f>
        <v>39</v>
      </c>
      <c r="N31" s="297">
        <f>SUM(N25:N30)</f>
        <v>45.87</v>
      </c>
      <c r="O31" s="297"/>
      <c r="P31" s="299" t="s">
        <v>99</v>
      </c>
      <c r="Q31" s="300">
        <f>N31/10/5</f>
        <v>0.9174</v>
      </c>
      <c r="R31" s="301"/>
    </row>
    <row r="32" ht="23" customHeight="1" spans="1:18">
      <c r="A32" s="302">
        <v>29</v>
      </c>
      <c r="B32" s="289" t="s">
        <v>115</v>
      </c>
      <c r="C32" s="319" t="s">
        <v>102</v>
      </c>
      <c r="D32" s="303" t="s">
        <v>116</v>
      </c>
      <c r="E32" s="320" t="s">
        <v>117</v>
      </c>
      <c r="F32" s="305" t="s">
        <v>118</v>
      </c>
      <c r="G32" s="321" t="s">
        <v>29</v>
      </c>
      <c r="H32" s="305" t="s">
        <v>56</v>
      </c>
      <c r="I32" s="322" t="s">
        <v>76</v>
      </c>
      <c r="J32" s="306">
        <v>0.95</v>
      </c>
      <c r="K32" s="307" t="s">
        <v>31</v>
      </c>
      <c r="L32" s="305"/>
      <c r="M32" s="303">
        <v>13.75</v>
      </c>
      <c r="N32" s="303">
        <v>27</v>
      </c>
      <c r="O32" s="307" t="str">
        <f>ROUND(N32-M32,2)&amp;"("&amp;ROUND(((N32-M32)/M32)*100,0)&amp;"%)"</f>
        <v>13.25(96%)</v>
      </c>
      <c r="P32" s="323"/>
      <c r="Q32" s="304"/>
      <c r="R32" s="305" t="s">
        <v>119</v>
      </c>
    </row>
    <row r="33" ht="23" customHeight="1" spans="1:18">
      <c r="A33" s="302">
        <v>30</v>
      </c>
      <c r="B33" s="289"/>
      <c r="C33" s="271"/>
      <c r="D33" s="269">
        <v>21250418</v>
      </c>
      <c r="E33" s="286" t="s">
        <v>120</v>
      </c>
      <c r="F33" s="273" t="s">
        <v>121</v>
      </c>
      <c r="G33" s="273" t="s">
        <v>29</v>
      </c>
      <c r="H33" s="273" t="s">
        <v>24</v>
      </c>
      <c r="I33" s="273" t="s">
        <v>25</v>
      </c>
      <c r="J33" s="274" t="s">
        <v>26</v>
      </c>
      <c r="K33" s="269" t="s">
        <v>77</v>
      </c>
      <c r="L33" s="282"/>
      <c r="M33" s="276">
        <v>7.25</v>
      </c>
      <c r="N33" s="276">
        <v>5</v>
      </c>
      <c r="O33" s="307" t="str">
        <f>ROUND(N33-M33,2)&amp;"("&amp;ROUND(((N33-M33)/M33)*100,0)&amp;"%)"</f>
        <v>-2.25(-31%)</v>
      </c>
      <c r="P33" s="324"/>
      <c r="Q33" s="286"/>
      <c r="R33" s="281"/>
    </row>
    <row r="34" ht="23" customHeight="1" spans="1:18">
      <c r="A34" s="302">
        <v>31</v>
      </c>
      <c r="B34" s="289"/>
      <c r="C34" s="271"/>
      <c r="D34" s="276" t="s">
        <v>122</v>
      </c>
      <c r="E34" s="272" t="s">
        <v>123</v>
      </c>
      <c r="F34" s="282" t="s">
        <v>121</v>
      </c>
      <c r="G34" s="281" t="s">
        <v>29</v>
      </c>
      <c r="H34" s="282" t="s">
        <v>56</v>
      </c>
      <c r="I34" s="282" t="s">
        <v>25</v>
      </c>
      <c r="J34" s="284">
        <v>0.97</v>
      </c>
      <c r="K34" s="277" t="s">
        <v>31</v>
      </c>
      <c r="L34" s="282"/>
      <c r="M34" s="276">
        <v>10.6</v>
      </c>
      <c r="N34" s="276">
        <v>11</v>
      </c>
      <c r="O34" s="307" t="str">
        <f>ROUND(N34-M34,2)&amp;"("&amp;ROUND(((N34-M34)/M34)*100,0)&amp;"%)"</f>
        <v>0.4(4%)</v>
      </c>
      <c r="P34" s="324"/>
      <c r="Q34" s="286"/>
      <c r="R34" s="281"/>
    </row>
    <row r="35" ht="23" customHeight="1" spans="1:18">
      <c r="A35" s="302">
        <v>32</v>
      </c>
      <c r="B35" s="289"/>
      <c r="C35" s="271"/>
      <c r="D35" s="276" t="s">
        <v>124</v>
      </c>
      <c r="E35" s="286" t="s">
        <v>125</v>
      </c>
      <c r="F35" s="282" t="s">
        <v>121</v>
      </c>
      <c r="G35" s="281" t="s">
        <v>29</v>
      </c>
      <c r="H35" s="282" t="s">
        <v>30</v>
      </c>
      <c r="I35" s="282" t="s">
        <v>25</v>
      </c>
      <c r="J35" s="284">
        <v>0.99</v>
      </c>
      <c r="K35" s="277"/>
      <c r="L35" s="282"/>
      <c r="M35" s="276"/>
      <c r="N35" s="276"/>
      <c r="O35" s="307" t="e">
        <f>ROUND(N35-M35,2)&amp;"("&amp;ROUND(((N35-M35)/M35)*100,0)&amp;"%)"</f>
        <v>#DIV/0!</v>
      </c>
      <c r="P35" s="324"/>
      <c r="Q35" s="286"/>
      <c r="R35" s="281" t="s">
        <v>126</v>
      </c>
    </row>
    <row r="36" ht="23" customHeight="1" spans="1:18">
      <c r="A36" s="302">
        <v>33</v>
      </c>
      <c r="B36" s="289"/>
      <c r="C36" s="271"/>
      <c r="D36" s="269" t="s">
        <v>127</v>
      </c>
      <c r="E36" s="272" t="s">
        <v>128</v>
      </c>
      <c r="F36" s="282" t="s">
        <v>121</v>
      </c>
      <c r="G36" s="273" t="s">
        <v>29</v>
      </c>
      <c r="H36" s="273" t="s">
        <v>24</v>
      </c>
      <c r="I36" s="282" t="s">
        <v>25</v>
      </c>
      <c r="J36" s="274" t="s">
        <v>26</v>
      </c>
      <c r="K36" s="269" t="s">
        <v>77</v>
      </c>
      <c r="L36" s="272"/>
      <c r="M36" s="269">
        <v>1</v>
      </c>
      <c r="N36" s="269">
        <v>1</v>
      </c>
      <c r="O36" s="307" t="str">
        <f>ROUND(N36-M36,2)&amp;"("&amp;ROUND(((N36-M36)/M36)*100,0)&amp;"%)"</f>
        <v>0(0%)</v>
      </c>
      <c r="P36" s="272"/>
      <c r="Q36" s="286"/>
      <c r="R36" s="281"/>
    </row>
    <row r="37" ht="23" customHeight="1" spans="1:18">
      <c r="A37" s="302">
        <v>34</v>
      </c>
      <c r="B37" s="289"/>
      <c r="C37" s="271"/>
      <c r="D37" s="269" t="s">
        <v>129</v>
      </c>
      <c r="E37" s="272" t="s">
        <v>130</v>
      </c>
      <c r="F37" s="273" t="s">
        <v>121</v>
      </c>
      <c r="G37" s="273" t="s">
        <v>29</v>
      </c>
      <c r="H37" s="273" t="s">
        <v>24</v>
      </c>
      <c r="I37" s="273" t="s">
        <v>25</v>
      </c>
      <c r="J37" s="274" t="s">
        <v>26</v>
      </c>
      <c r="K37" s="275" t="s">
        <v>77</v>
      </c>
      <c r="L37" s="271"/>
      <c r="M37" s="269"/>
      <c r="N37" s="269"/>
      <c r="O37" s="307"/>
      <c r="P37" s="278"/>
      <c r="Q37" s="272"/>
      <c r="R37" s="281"/>
    </row>
    <row r="38" ht="23" customHeight="1" spans="1:18">
      <c r="A38" s="302">
        <v>35</v>
      </c>
      <c r="B38" s="289"/>
      <c r="C38" s="271"/>
      <c r="D38" s="269">
        <v>21250417</v>
      </c>
      <c r="E38" s="272" t="s">
        <v>131</v>
      </c>
      <c r="F38" s="273" t="s">
        <v>132</v>
      </c>
      <c r="G38" s="273" t="s">
        <v>29</v>
      </c>
      <c r="H38" s="282" t="s">
        <v>24</v>
      </c>
      <c r="I38" s="273" t="s">
        <v>25</v>
      </c>
      <c r="J38" s="274" t="s">
        <v>26</v>
      </c>
      <c r="K38" s="269" t="s">
        <v>77</v>
      </c>
      <c r="L38" s="272"/>
      <c r="M38" s="269"/>
      <c r="N38" s="269"/>
      <c r="O38" s="307"/>
      <c r="P38" s="272"/>
      <c r="Q38" s="272"/>
      <c r="R38" s="281"/>
    </row>
    <row r="39" ht="23" customHeight="1" spans="1:18">
      <c r="A39" s="302">
        <v>36</v>
      </c>
      <c r="B39" s="289"/>
      <c r="C39" s="271"/>
      <c r="D39" s="269"/>
      <c r="E39" s="286" t="s">
        <v>133</v>
      </c>
      <c r="F39" s="282"/>
      <c r="G39" s="281" t="s">
        <v>35</v>
      </c>
      <c r="H39" s="282" t="s">
        <v>134</v>
      </c>
      <c r="I39" s="273"/>
      <c r="J39" s="274"/>
      <c r="K39" s="275"/>
      <c r="L39" s="271"/>
      <c r="M39" s="269"/>
      <c r="N39" s="269"/>
      <c r="O39" s="307"/>
      <c r="P39" s="278"/>
      <c r="Q39" s="272"/>
      <c r="R39" s="281" t="s">
        <v>135</v>
      </c>
    </row>
    <row r="40" ht="23" customHeight="1" spans="1:18">
      <c r="A40" s="302">
        <v>37</v>
      </c>
      <c r="B40" s="289"/>
      <c r="C40" s="271"/>
      <c r="D40" s="269"/>
      <c r="E40" s="286" t="s">
        <v>136</v>
      </c>
      <c r="F40" s="273"/>
      <c r="G40" s="273" t="s">
        <v>137</v>
      </c>
      <c r="H40" s="273" t="s">
        <v>138</v>
      </c>
      <c r="I40" s="273"/>
      <c r="J40" s="274"/>
      <c r="K40" s="275"/>
      <c r="L40" s="271"/>
      <c r="M40" s="269"/>
      <c r="N40" s="269"/>
      <c r="O40" s="307"/>
      <c r="P40" s="278"/>
      <c r="Q40" s="272"/>
      <c r="R40" s="281"/>
    </row>
    <row r="41" ht="23" customHeight="1" spans="1:18">
      <c r="A41" s="302">
        <v>38</v>
      </c>
      <c r="B41" s="289"/>
      <c r="C41" s="325" t="s">
        <v>91</v>
      </c>
      <c r="D41" s="326"/>
      <c r="E41" s="272" t="s">
        <v>139</v>
      </c>
      <c r="F41" s="273" t="s">
        <v>140</v>
      </c>
      <c r="G41" s="273" t="s">
        <v>29</v>
      </c>
      <c r="H41" s="282"/>
      <c r="I41" s="282"/>
      <c r="J41" s="284"/>
      <c r="K41" s="277"/>
      <c r="L41" s="282"/>
      <c r="M41" s="276">
        <v>2</v>
      </c>
      <c r="N41" s="276"/>
      <c r="O41" s="307" t="str">
        <f>ROUND(N41-M41,2)&amp;"("&amp;ROUND(((N41-M41)/M41)*100,0)&amp;"%)"</f>
        <v>-2(-100%)</v>
      </c>
      <c r="P41" s="324"/>
      <c r="Q41" s="286"/>
      <c r="R41" s="281"/>
    </row>
    <row r="42" ht="47" customHeight="1" spans="1:18">
      <c r="A42" s="293"/>
      <c r="B42" s="318"/>
      <c r="C42" s="295"/>
      <c r="D42" s="295"/>
      <c r="E42" s="295"/>
      <c r="F42" s="295"/>
      <c r="G42" s="295"/>
      <c r="H42" s="296"/>
      <c r="I42" s="296"/>
      <c r="J42" s="297"/>
      <c r="K42" s="297"/>
      <c r="L42" s="296" t="s">
        <v>98</v>
      </c>
      <c r="M42" s="298">
        <f>SUM(M32:M41)</f>
        <v>34.6</v>
      </c>
      <c r="N42" s="297">
        <f>SUM(N32:N41)</f>
        <v>44</v>
      </c>
      <c r="O42" s="297"/>
      <c r="P42" s="299" t="s">
        <v>99</v>
      </c>
      <c r="Q42" s="300">
        <f>N42/7/5</f>
        <v>1.25714285714286</v>
      </c>
      <c r="R42" s="301"/>
    </row>
    <row r="43" ht="28" customHeight="1" spans="1:18">
      <c r="A43" s="302">
        <v>39</v>
      </c>
      <c r="B43" s="289" t="s">
        <v>141</v>
      </c>
      <c r="C43" s="327" t="s">
        <v>102</v>
      </c>
      <c r="D43" s="302">
        <v>22210906</v>
      </c>
      <c r="E43" s="320" t="s">
        <v>142</v>
      </c>
      <c r="F43" s="327" t="s">
        <v>61</v>
      </c>
      <c r="G43" s="327" t="s">
        <v>23</v>
      </c>
      <c r="H43" s="327" t="s">
        <v>56</v>
      </c>
      <c r="I43" s="327" t="s">
        <v>25</v>
      </c>
      <c r="J43" s="328" t="s">
        <v>23</v>
      </c>
      <c r="K43" s="302"/>
      <c r="L43" s="327"/>
      <c r="M43" s="308">
        <v>31</v>
      </c>
      <c r="N43" s="308">
        <v>41</v>
      </c>
      <c r="O43" s="329" t="str">
        <f>N43-M43&amp;"("&amp;ROUND(((N43-M43)/M43*100),0)&amp;"%)"</f>
        <v>10(32%)</v>
      </c>
      <c r="P43" s="330"/>
      <c r="Q43" s="320"/>
      <c r="R43" s="319"/>
    </row>
    <row r="44" ht="28" customHeight="1" spans="1:18">
      <c r="A44" s="331">
        <v>40</v>
      </c>
      <c r="B44" s="289"/>
      <c r="C44" s="279"/>
      <c r="D44" s="269">
        <v>121018</v>
      </c>
      <c r="E44" s="272" t="s">
        <v>143</v>
      </c>
      <c r="F44" s="273" t="s">
        <v>144</v>
      </c>
      <c r="G44" s="273" t="s">
        <v>145</v>
      </c>
      <c r="H44" s="273" t="s">
        <v>134</v>
      </c>
      <c r="I44" s="273" t="s">
        <v>25</v>
      </c>
      <c r="J44" s="274" t="s">
        <v>26</v>
      </c>
      <c r="K44" s="275"/>
      <c r="L44" s="273"/>
      <c r="M44" s="287">
        <v>17</v>
      </c>
      <c r="N44" s="287">
        <v>16</v>
      </c>
      <c r="O44" s="329" t="str">
        <f>N44-M44&amp;"("&amp;ROUND(((N44-M44)/M44*100),0)&amp;"%)"</f>
        <v>-1(-6%)</v>
      </c>
      <c r="P44" s="332"/>
      <c r="Q44" s="333"/>
      <c r="R44" s="289"/>
    </row>
    <row r="45" ht="40" customHeight="1" spans="1:18">
      <c r="A45" s="293"/>
      <c r="B45" s="294"/>
      <c r="C45" s="295"/>
      <c r="D45" s="295"/>
      <c r="E45" s="295"/>
      <c r="F45" s="295"/>
      <c r="G45" s="295"/>
      <c r="H45" s="296"/>
      <c r="I45" s="296"/>
      <c r="J45" s="297"/>
      <c r="K45" s="297"/>
      <c r="L45" s="296" t="s">
        <v>98</v>
      </c>
      <c r="M45" s="298">
        <f>SUM(M43:M43)</f>
        <v>31</v>
      </c>
      <c r="N45" s="297">
        <f>SUM(N43:N44)</f>
        <v>57</v>
      </c>
      <c r="O45" s="297"/>
      <c r="P45" s="299" t="s">
        <v>99</v>
      </c>
      <c r="Q45" s="300">
        <f>N45/22/5</f>
        <v>0.518181818181818</v>
      </c>
      <c r="R45" s="301"/>
    </row>
    <row r="46" ht="43.2" customHeight="1" spans="1:18">
      <c r="A46" s="334"/>
      <c r="B46" s="335"/>
      <c r="C46" s="335"/>
      <c r="D46" s="334"/>
      <c r="E46" s="336"/>
      <c r="F46" s="335"/>
    </row>
    <row r="47" ht="43.2" customHeight="1" spans="1:18">
      <c r="A47" s="334"/>
      <c r="B47" s="335"/>
      <c r="C47" s="335"/>
      <c r="D47" s="334"/>
      <c r="E47" s="336"/>
      <c r="F47" s="335"/>
    </row>
    <row r="48" ht="15.6" spans="1:18">
      <c r="A48" s="337"/>
      <c r="B48" s="336"/>
      <c r="C48" s="336"/>
      <c r="D48" s="337"/>
      <c r="E48" s="336"/>
      <c r="F48" s="336"/>
    </row>
    <row r="49" ht="15.6" customHeight="1" spans="1:6">
      <c r="A49" s="337"/>
      <c r="B49" s="336"/>
      <c r="C49" s="336"/>
      <c r="D49" s="337"/>
      <c r="E49" s="336"/>
      <c r="F49" s="336"/>
    </row>
    <row r="50" ht="15.6" spans="1:6">
      <c r="A50" s="337"/>
      <c r="B50" s="336"/>
      <c r="C50" s="336"/>
      <c r="D50" s="337"/>
      <c r="E50" s="336"/>
      <c r="F50" s="336"/>
    </row>
    <row r="51" ht="15.6" spans="1:6">
      <c r="A51" s="337"/>
      <c r="B51" s="336"/>
      <c r="C51" s="336"/>
      <c r="D51" s="337"/>
      <c r="E51" s="336"/>
      <c r="F51" s="336"/>
    </row>
    <row r="52" ht="15.6" spans="1:6">
      <c r="A52" s="337"/>
      <c r="B52" s="336"/>
      <c r="C52" s="336"/>
      <c r="D52" s="337"/>
      <c r="E52" s="336"/>
      <c r="F52" s="336"/>
    </row>
    <row r="53" ht="15.6" spans="1:6">
      <c r="A53" s="337"/>
      <c r="B53" s="336"/>
      <c r="C53" s="336"/>
      <c r="D53" s="337"/>
      <c r="E53" s="336"/>
      <c r="F53" s="336"/>
    </row>
    <row r="54" spans="1:6">
      <c r="A54" s="3"/>
      <c r="B54" s="338"/>
      <c r="C54" s="338"/>
      <c r="D54" s="3"/>
      <c r="E54" s="338"/>
      <c r="F54" s="338"/>
    </row>
    <row r="55" spans="1:6">
      <c r="A55" s="3"/>
      <c r="B55" s="338"/>
      <c r="C55" s="338"/>
      <c r="D55" s="3"/>
      <c r="E55" s="338"/>
      <c r="F55" s="338"/>
    </row>
  </sheetData>
  <mergeCells count="27">
    <mergeCell ref="A1:R1"/>
    <mergeCell ref="C24:G24"/>
    <mergeCell ref="H24:I24"/>
    <mergeCell ref="J24:K24"/>
    <mergeCell ref="C31:G31"/>
    <mergeCell ref="H31:I31"/>
    <mergeCell ref="J31:K31"/>
    <mergeCell ref="C41:D41"/>
    <mergeCell ref="C42:G42"/>
    <mergeCell ref="H42:I42"/>
    <mergeCell ref="J42:K42"/>
    <mergeCell ref="C45:G45"/>
    <mergeCell ref="H45:I45"/>
    <mergeCell ref="J45:K45"/>
    <mergeCell ref="B3:B24"/>
    <mergeCell ref="B25:B31"/>
    <mergeCell ref="B32:B42"/>
    <mergeCell ref="B43:B45"/>
    <mergeCell ref="C3:C6"/>
    <mergeCell ref="C7:C10"/>
    <mergeCell ref="C11:C12"/>
    <mergeCell ref="C13:C16"/>
    <mergeCell ref="C17:C18"/>
    <mergeCell ref="C19:C23"/>
    <mergeCell ref="C25:C30"/>
    <mergeCell ref="C32:C40"/>
    <mergeCell ref="D19:D23"/>
  </mergeCells>
  <dataValidations count="7">
    <dataValidation type="list" allowBlank="1" showInputMessage="1" showErrorMessage="1" sqref="H8 H12 H43:H44">
      <formula1>"售前,立项,需求,开发,发布,实施,验收"</formula1>
    </dataValidation>
    <dataValidation type="list" allowBlank="1" showInputMessage="1" showErrorMessage="1" sqref="H9 H11 H32 H18:H23 H34:H35 H38:H39">
      <formula1>"售前,立项,需求,开发,发布,实施,验收,上线运行,维护"</formula1>
    </dataValidation>
    <dataValidation type="list" allowBlank="1" showInputMessage="1" showErrorMessage="1" sqref="H10 H33 H3:H7 H13:H17 H26:H30 H36:H37">
      <formula1>"售前,立项,需求,开发,发布,实施,验收,上线运行"</formula1>
    </dataValidation>
    <dataValidation type="list" allowBlank="1" showInputMessage="1" showErrorMessage="1" sqref="H25 H41">
      <formula1>"售前,立项,需求,设计,开发,发布,实施,验收"</formula1>
    </dataValidation>
    <dataValidation type="list" allowBlank="1" showInputMessage="1" showErrorMessage="1" sqref="I36">
      <formula1>"长期项目,正常,提前,延迟,严重延迟,暂停"</formula1>
    </dataValidation>
    <dataValidation type="list" allowBlank="1" showInputMessage="1" showErrorMessage="1" sqref="H40">
      <formula1>"售前,立项,需求,设计,开发,发布,实施,验收,挂起,暂停"</formula1>
    </dataValidation>
    <dataValidation type="list" allowBlank="1" showInputMessage="1" showErrorMessage="1" sqref="I3:I23 I25:I30 I32:I35 I37:I41 I43:I44">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3"/>
  <sheetViews>
    <sheetView zoomScale="85" zoomScaleNormal="85" workbookViewId="0">
      <pane ySplit="1" topLeftCell="A18" activePane="bottomLeft" state="frozen"/>
      <selection/>
      <selection pane="bottomLeft" activeCell="H29" sqref="H29:H30"/>
    </sheetView>
  </sheetViews>
  <sheetFormatPr defaultColWidth="9.11111111111111" defaultRowHeight="13.2"/>
  <cols>
    <col min="1" max="1" width="22.4444444444444" style="76" customWidth="1"/>
    <col min="2" max="2" width="11.6666666666667" style="76" customWidth="1"/>
    <col min="3" max="5" width="9.11111111111111" style="76"/>
    <col min="6" max="6" width="19.5555555555556" style="76" customWidth="1"/>
    <col min="7" max="7" width="9.11111111111111" style="76"/>
    <col min="8" max="8" width="69.7777777777778" style="76" customWidth="1"/>
    <col min="9" max="11" width="9.11111111111111" style="76"/>
    <col min="12" max="12" width="30.4444444444444" style="77" customWidth="1"/>
    <col min="13" max="16384" width="9.11111111111111" style="76"/>
  </cols>
  <sheetData>
    <row r="1" ht="69.6" spans="1:26">
      <c r="A1" s="142" t="s">
        <v>146</v>
      </c>
      <c r="B1" s="143" t="s">
        <v>6</v>
      </c>
      <c r="C1" s="142" t="s">
        <v>147</v>
      </c>
      <c r="D1" s="142" t="s">
        <v>148</v>
      </c>
      <c r="E1" s="143" t="s">
        <v>149</v>
      </c>
      <c r="F1" s="142" t="s">
        <v>150</v>
      </c>
      <c r="G1" s="142" t="s">
        <v>1</v>
      </c>
      <c r="H1" s="144" t="s">
        <v>151</v>
      </c>
      <c r="I1" s="142" t="s">
        <v>152</v>
      </c>
      <c r="J1" s="145" t="s">
        <v>153</v>
      </c>
      <c r="K1" s="142" t="s">
        <v>154</v>
      </c>
      <c r="L1" s="146" t="s">
        <v>155</v>
      </c>
      <c r="M1" s="147"/>
      <c r="N1" s="147"/>
      <c r="O1" s="147"/>
      <c r="P1" s="147"/>
      <c r="Q1" s="147"/>
      <c r="R1" s="147"/>
      <c r="S1" s="147"/>
      <c r="T1" s="147"/>
      <c r="U1" s="147"/>
      <c r="V1" s="147"/>
      <c r="W1" s="147"/>
      <c r="X1" s="147"/>
      <c r="Y1" s="147"/>
      <c r="Z1" s="147"/>
    </row>
    <row r="2" ht="265.2" customHeight="1" spans="1:26">
      <c r="A2" s="142" t="s">
        <v>156</v>
      </c>
      <c r="B2" s="201"/>
      <c r="C2" s="58"/>
      <c r="D2" s="58"/>
      <c r="E2" s="203"/>
      <c r="F2" s="58"/>
      <c r="G2" s="164">
        <v>1</v>
      </c>
      <c r="H2" s="23" t="s">
        <v>157</v>
      </c>
      <c r="I2" s="16" t="s">
        <v>22</v>
      </c>
      <c r="J2" s="202">
        <v>1</v>
      </c>
      <c r="K2" s="58"/>
      <c r="L2" s="201">
        <v>2</v>
      </c>
    </row>
    <row r="3" ht="15.6" spans="1:26">
      <c r="A3" s="142"/>
      <c r="B3" s="201"/>
      <c r="C3" s="58"/>
      <c r="D3" s="58"/>
      <c r="E3" s="203"/>
      <c r="F3" s="58"/>
      <c r="G3" s="58">
        <v>2</v>
      </c>
      <c r="H3" s="20" t="s">
        <v>158</v>
      </c>
      <c r="I3" s="16" t="s">
        <v>22</v>
      </c>
      <c r="J3" s="202">
        <v>1</v>
      </c>
      <c r="K3" s="58"/>
      <c r="L3" s="201">
        <v>0.5</v>
      </c>
    </row>
    <row r="4" ht="15.6" spans="1:26">
      <c r="A4" s="142"/>
      <c r="B4" s="201"/>
      <c r="C4" s="58"/>
      <c r="D4" s="58"/>
      <c r="E4" s="203"/>
      <c r="F4" s="58"/>
      <c r="G4" s="58">
        <v>3</v>
      </c>
      <c r="H4" s="20" t="s">
        <v>159</v>
      </c>
      <c r="I4" s="16" t="s">
        <v>22</v>
      </c>
      <c r="J4" s="202">
        <v>1</v>
      </c>
      <c r="K4" s="58"/>
      <c r="L4" s="201">
        <v>0.5</v>
      </c>
    </row>
    <row r="5" ht="30" spans="1:26">
      <c r="A5" s="142"/>
      <c r="B5" s="201"/>
      <c r="C5" s="58"/>
      <c r="D5" s="58"/>
      <c r="E5" s="203"/>
      <c r="F5" s="58"/>
      <c r="G5" s="58">
        <v>4</v>
      </c>
      <c r="H5" s="20" t="s">
        <v>160</v>
      </c>
      <c r="I5" s="16" t="s">
        <v>22</v>
      </c>
      <c r="J5" s="202">
        <v>1</v>
      </c>
      <c r="K5" s="58"/>
      <c r="L5" s="201">
        <v>0.5</v>
      </c>
    </row>
    <row r="6" ht="30" spans="1:26">
      <c r="A6" s="142"/>
      <c r="B6" s="201"/>
      <c r="C6" s="58"/>
      <c r="D6" s="58"/>
      <c r="E6" s="203"/>
      <c r="F6" s="58"/>
      <c r="G6" s="58">
        <v>5</v>
      </c>
      <c r="H6" s="20" t="s">
        <v>161</v>
      </c>
      <c r="I6" s="16" t="s">
        <v>22</v>
      </c>
      <c r="J6" s="202">
        <v>1</v>
      </c>
      <c r="K6" s="58"/>
      <c r="L6" s="201">
        <v>0.5</v>
      </c>
    </row>
    <row r="7" ht="15.6" spans="1:26">
      <c r="A7" s="142"/>
      <c r="B7" s="201"/>
      <c r="C7" s="58"/>
      <c r="D7" s="58"/>
      <c r="E7" s="203"/>
      <c r="F7" s="58"/>
      <c r="G7" s="58">
        <v>6</v>
      </c>
      <c r="H7" s="20" t="s">
        <v>162</v>
      </c>
      <c r="I7" s="16" t="s">
        <v>163</v>
      </c>
      <c r="J7" s="202">
        <v>1</v>
      </c>
      <c r="K7" s="58"/>
      <c r="L7" s="201">
        <v>2</v>
      </c>
    </row>
    <row r="8" ht="30" spans="1:26">
      <c r="A8" s="142"/>
      <c r="B8" s="201"/>
      <c r="C8" s="58"/>
      <c r="D8" s="58"/>
      <c r="E8" s="203"/>
      <c r="F8" s="58"/>
      <c r="G8" s="58">
        <v>7</v>
      </c>
      <c r="H8" s="204" t="s">
        <v>164</v>
      </c>
      <c r="I8" s="16" t="s">
        <v>163</v>
      </c>
      <c r="J8" s="202">
        <v>1</v>
      </c>
      <c r="K8" s="58"/>
      <c r="L8" s="201">
        <v>1</v>
      </c>
    </row>
    <row r="9" ht="15.6" spans="1:26">
      <c r="A9" s="142"/>
      <c r="B9" s="201"/>
      <c r="C9" s="58"/>
      <c r="D9" s="58"/>
      <c r="E9" s="203"/>
      <c r="F9" s="58"/>
      <c r="G9" s="58">
        <v>8</v>
      </c>
      <c r="H9" s="204" t="s">
        <v>165</v>
      </c>
      <c r="I9" s="58" t="s">
        <v>166</v>
      </c>
      <c r="J9" s="202">
        <v>1</v>
      </c>
      <c r="K9" s="58"/>
      <c r="L9" s="201">
        <v>1</v>
      </c>
    </row>
    <row r="10" ht="15.6" spans="1:26">
      <c r="A10" s="142"/>
      <c r="B10" s="201"/>
      <c r="C10" s="58"/>
      <c r="D10" s="58"/>
      <c r="E10" s="203"/>
      <c r="F10" s="58"/>
      <c r="G10" s="58">
        <v>9</v>
      </c>
      <c r="H10" s="204" t="s">
        <v>167</v>
      </c>
      <c r="I10" s="58" t="s">
        <v>166</v>
      </c>
      <c r="J10" s="202">
        <v>1</v>
      </c>
      <c r="K10" s="58"/>
      <c r="L10" s="201">
        <v>1</v>
      </c>
    </row>
    <row r="11" ht="15.6" spans="1:26">
      <c r="A11" s="142"/>
      <c r="B11" s="201"/>
      <c r="C11" s="58"/>
      <c r="D11" s="58"/>
      <c r="E11" s="203"/>
      <c r="F11" s="58"/>
      <c r="G11" s="58">
        <v>10</v>
      </c>
      <c r="H11" s="204" t="s">
        <v>168</v>
      </c>
      <c r="I11" s="58" t="s">
        <v>166</v>
      </c>
      <c r="J11" s="202">
        <v>1</v>
      </c>
      <c r="K11" s="58"/>
      <c r="L11" s="201">
        <v>1</v>
      </c>
    </row>
    <row r="12" ht="90" spans="1:26">
      <c r="A12" s="142"/>
      <c r="B12" s="201"/>
      <c r="C12" s="58"/>
      <c r="D12" s="58"/>
      <c r="E12" s="203"/>
      <c r="F12" s="58"/>
      <c r="G12" s="58">
        <v>11</v>
      </c>
      <c r="H12" s="204" t="s">
        <v>169</v>
      </c>
      <c r="I12" s="58" t="s">
        <v>34</v>
      </c>
      <c r="J12" s="202">
        <v>1</v>
      </c>
      <c r="K12" s="58"/>
      <c r="L12" s="201">
        <v>1.63</v>
      </c>
    </row>
    <row r="13" ht="15" spans="1:26">
      <c r="A13" s="142"/>
      <c r="B13" s="201"/>
      <c r="C13" s="58"/>
      <c r="D13" s="58"/>
      <c r="E13" s="39" t="s">
        <v>170</v>
      </c>
      <c r="F13" s="39"/>
      <c r="G13" s="39"/>
      <c r="H13" s="39"/>
      <c r="I13" s="39"/>
      <c r="J13" s="47"/>
      <c r="K13" s="48"/>
      <c r="L13" s="49">
        <f>SUM(L2:L12)</f>
        <v>11.63</v>
      </c>
    </row>
    <row r="14" ht="15.6" spans="1:26">
      <c r="A14" s="142"/>
      <c r="B14" s="201"/>
      <c r="C14" s="58"/>
      <c r="D14" s="58"/>
      <c r="E14" s="203" t="s">
        <v>171</v>
      </c>
      <c r="F14" s="203" t="s">
        <v>56</v>
      </c>
      <c r="G14" s="203">
        <v>1</v>
      </c>
      <c r="H14" s="205"/>
      <c r="I14" s="58"/>
      <c r="J14" s="206"/>
      <c r="K14" s="203"/>
      <c r="L14" s="207"/>
    </row>
    <row r="15" ht="15.6" spans="1:26">
      <c r="A15" s="142"/>
      <c r="B15" s="201"/>
      <c r="C15" s="58"/>
      <c r="D15" s="58"/>
      <c r="E15" s="203"/>
      <c r="F15" s="203"/>
      <c r="G15" s="203">
        <v>2</v>
      </c>
      <c r="H15" s="205"/>
      <c r="I15" s="203"/>
      <c r="J15" s="206"/>
      <c r="K15" s="203"/>
      <c r="L15" s="207"/>
    </row>
    <row r="16" ht="60" spans="1:26">
      <c r="A16" s="142" t="s">
        <v>172</v>
      </c>
      <c r="B16" s="201" t="s">
        <v>22</v>
      </c>
      <c r="C16" s="202">
        <v>0.93</v>
      </c>
      <c r="D16" s="58"/>
      <c r="E16" s="203" t="s">
        <v>173</v>
      </c>
      <c r="F16" s="164" t="s">
        <v>174</v>
      </c>
      <c r="G16" s="58">
        <v>1</v>
      </c>
      <c r="H16" s="234" t="s">
        <v>175</v>
      </c>
      <c r="I16" s="16" t="s">
        <v>22</v>
      </c>
      <c r="J16" s="202">
        <v>1</v>
      </c>
      <c r="K16" s="203"/>
      <c r="L16" s="201">
        <v>1</v>
      </c>
    </row>
    <row r="17" ht="15.6" spans="1:12">
      <c r="A17" s="142"/>
      <c r="B17" s="201"/>
      <c r="C17" s="202"/>
      <c r="D17" s="58"/>
      <c r="E17" s="203"/>
      <c r="F17" s="216"/>
      <c r="G17" s="58">
        <v>2</v>
      </c>
      <c r="H17" s="234" t="s">
        <v>176</v>
      </c>
      <c r="I17" s="16" t="s">
        <v>163</v>
      </c>
      <c r="J17" s="202">
        <v>1</v>
      </c>
      <c r="K17" s="203"/>
      <c r="L17" s="201">
        <v>2</v>
      </c>
    </row>
    <row r="18" ht="120" spans="1:12">
      <c r="A18" s="142"/>
      <c r="B18" s="201"/>
      <c r="C18" s="202"/>
      <c r="D18" s="58"/>
      <c r="E18" s="203"/>
      <c r="F18" s="216"/>
      <c r="G18" s="58">
        <v>3</v>
      </c>
      <c r="H18" s="234" t="s">
        <v>177</v>
      </c>
      <c r="I18" s="16" t="s">
        <v>178</v>
      </c>
      <c r="J18" s="202">
        <v>1</v>
      </c>
      <c r="K18" s="203"/>
      <c r="L18" s="201">
        <v>5</v>
      </c>
    </row>
    <row r="19" ht="25.8" customHeight="1" spans="1:12">
      <c r="A19" s="142"/>
      <c r="B19" s="201"/>
      <c r="C19" s="58"/>
      <c r="D19" s="58"/>
      <c r="E19" s="203"/>
      <c r="F19" s="164" t="s">
        <v>179</v>
      </c>
      <c r="G19" s="19">
        <v>1</v>
      </c>
      <c r="H19" s="234"/>
      <c r="I19" s="19"/>
      <c r="J19" s="21"/>
      <c r="K19" s="22"/>
      <c r="L19" s="17"/>
    </row>
    <row r="20" ht="15" spans="1:12">
      <c r="A20" s="142"/>
      <c r="B20" s="201"/>
      <c r="C20" s="58"/>
      <c r="D20" s="58"/>
      <c r="E20" s="203"/>
      <c r="F20" s="16" t="s">
        <v>180</v>
      </c>
      <c r="G20" s="19">
        <v>1</v>
      </c>
      <c r="H20" s="20" t="s">
        <v>181</v>
      </c>
      <c r="I20" s="16" t="s">
        <v>166</v>
      </c>
      <c r="J20" s="21">
        <v>1</v>
      </c>
      <c r="K20" s="22"/>
      <c r="L20" s="17">
        <v>2</v>
      </c>
    </row>
    <row r="21" ht="15" spans="1:12">
      <c r="A21" s="142"/>
      <c r="B21" s="201"/>
      <c r="C21" s="58"/>
      <c r="D21" s="58"/>
      <c r="E21" s="203"/>
      <c r="F21" s="16"/>
      <c r="G21" s="19">
        <v>2</v>
      </c>
      <c r="H21" s="20"/>
      <c r="I21" s="16"/>
      <c r="J21" s="21"/>
      <c r="K21" s="22"/>
      <c r="L21" s="17"/>
    </row>
    <row r="22" ht="15" spans="1:12">
      <c r="A22" s="142"/>
      <c r="B22" s="201"/>
      <c r="C22" s="58"/>
      <c r="D22" s="58"/>
      <c r="E22" s="203"/>
      <c r="F22" s="16"/>
      <c r="G22" s="19">
        <v>3</v>
      </c>
      <c r="H22" s="20"/>
      <c r="I22" s="16"/>
      <c r="J22" s="21"/>
      <c r="K22" s="22"/>
      <c r="L22" s="17"/>
    </row>
    <row r="23" ht="15" spans="1:12">
      <c r="A23" s="142"/>
      <c r="B23" s="201"/>
      <c r="C23" s="58"/>
      <c r="D23" s="58"/>
      <c r="E23" s="39" t="s">
        <v>170</v>
      </c>
      <c r="F23" s="39"/>
      <c r="G23" s="39"/>
      <c r="H23" s="39"/>
      <c r="I23" s="39"/>
      <c r="J23" s="47"/>
      <c r="K23" s="48"/>
      <c r="L23" s="49">
        <f>SUM(L16:L22)</f>
        <v>10</v>
      </c>
    </row>
    <row r="24" ht="15.6" spans="1:12">
      <c r="A24" s="142"/>
      <c r="B24" s="201"/>
      <c r="C24" s="58"/>
      <c r="D24" s="58"/>
      <c r="E24" s="203" t="s">
        <v>171</v>
      </c>
      <c r="F24" s="203" t="s">
        <v>56</v>
      </c>
      <c r="G24" s="203">
        <v>1</v>
      </c>
      <c r="H24" s="205"/>
      <c r="I24" s="58"/>
      <c r="J24" s="206"/>
      <c r="K24" s="203"/>
      <c r="L24" s="207"/>
    </row>
    <row r="25" ht="15" spans="1:12">
      <c r="A25" s="142"/>
      <c r="B25" s="201"/>
      <c r="C25" s="58"/>
      <c r="D25" s="58"/>
      <c r="E25" s="203"/>
      <c r="F25" s="203"/>
      <c r="G25" s="203">
        <v>2</v>
      </c>
      <c r="H25" s="204"/>
      <c r="I25" s="203"/>
      <c r="J25" s="206"/>
      <c r="K25" s="203"/>
      <c r="L25" s="207"/>
    </row>
    <row r="26" s="76" customFormat="1" customHeight="1" spans="1:12">
      <c r="A26" s="235" t="s">
        <v>182</v>
      </c>
      <c r="B26" s="236" t="s">
        <v>93</v>
      </c>
      <c r="C26" s="237"/>
      <c r="D26" s="238"/>
      <c r="E26" s="239" t="s">
        <v>173</v>
      </c>
      <c r="F26" s="222" t="s">
        <v>183</v>
      </c>
      <c r="G26" s="222">
        <v>1</v>
      </c>
      <c r="H26" s="223" t="s">
        <v>184</v>
      </c>
      <c r="I26" s="224" t="s">
        <v>93</v>
      </c>
      <c r="J26" s="225">
        <v>1</v>
      </c>
      <c r="K26" s="226"/>
      <c r="L26" s="227">
        <v>3</v>
      </c>
    </row>
    <row r="27" s="76" customFormat="1" customHeight="1" spans="1:12">
      <c r="A27" s="240"/>
      <c r="B27" s="241"/>
      <c r="C27" s="242"/>
      <c r="D27" s="243"/>
      <c r="E27" s="244"/>
      <c r="F27" s="222"/>
      <c r="G27" s="222"/>
      <c r="H27" s="223"/>
      <c r="I27" s="224" t="s">
        <v>185</v>
      </c>
      <c r="J27" s="225">
        <v>1</v>
      </c>
      <c r="K27" s="226"/>
      <c r="L27" s="227">
        <v>5</v>
      </c>
    </row>
    <row r="28" s="76" customFormat="1" customHeight="1" spans="1:12">
      <c r="A28" s="240"/>
      <c r="B28" s="241"/>
      <c r="C28" s="242"/>
      <c r="D28" s="243"/>
      <c r="E28" s="244"/>
      <c r="F28" s="222"/>
      <c r="G28" s="222"/>
      <c r="H28" s="223"/>
      <c r="I28" s="224" t="s">
        <v>186</v>
      </c>
      <c r="J28" s="225">
        <v>1</v>
      </c>
      <c r="K28" s="226"/>
      <c r="L28" s="227">
        <v>2</v>
      </c>
    </row>
    <row r="29" s="76" customFormat="1" ht="157.2" customHeight="1" spans="1:12">
      <c r="A29" s="240"/>
      <c r="B29" s="241"/>
      <c r="C29" s="242"/>
      <c r="D29" s="243"/>
      <c r="E29" s="244"/>
      <c r="F29" s="226" t="s">
        <v>187</v>
      </c>
      <c r="G29" s="222">
        <v>1</v>
      </c>
      <c r="H29" s="223" t="s">
        <v>188</v>
      </c>
      <c r="I29" s="224" t="s">
        <v>189</v>
      </c>
      <c r="J29" s="225">
        <v>1</v>
      </c>
      <c r="K29" s="226"/>
      <c r="L29" s="228">
        <v>4</v>
      </c>
    </row>
    <row r="30" s="76" customFormat="1" ht="164.4" customHeight="1" spans="1:12">
      <c r="A30" s="240"/>
      <c r="B30" s="241"/>
      <c r="C30" s="242"/>
      <c r="D30" s="243"/>
      <c r="E30" s="245"/>
      <c r="F30" s="226"/>
      <c r="G30" s="222"/>
      <c r="H30" s="223"/>
      <c r="I30" s="224" t="s">
        <v>190</v>
      </c>
      <c r="J30" s="225">
        <v>1</v>
      </c>
      <c r="K30" s="226"/>
      <c r="L30" s="228">
        <v>4</v>
      </c>
    </row>
    <row r="31" s="76" customFormat="1" customHeight="1" spans="1:12">
      <c r="A31" s="246"/>
      <c r="B31" s="247"/>
      <c r="C31" s="248"/>
      <c r="D31" s="249"/>
      <c r="E31" s="250" t="s">
        <v>170</v>
      </c>
      <c r="F31" s="250"/>
      <c r="G31" s="250"/>
      <c r="H31" s="250"/>
      <c r="I31" s="250"/>
      <c r="J31" s="251"/>
      <c r="K31" s="252"/>
      <c r="L31" s="253">
        <f>SUM(L26:L30)</f>
        <v>18</v>
      </c>
    </row>
    <row r="32" s="76" customFormat="1" ht="13.8" customHeight="1" spans="1:12">
      <c r="A32" s="254"/>
      <c r="B32" s="255"/>
      <c r="C32" s="256"/>
      <c r="D32" s="256"/>
      <c r="E32" s="226" t="s">
        <v>171</v>
      </c>
      <c r="F32" s="226"/>
      <c r="G32" s="226"/>
      <c r="H32" s="257"/>
      <c r="I32" s="222"/>
      <c r="J32" s="258"/>
      <c r="K32" s="226"/>
      <c r="L32" s="228"/>
    </row>
    <row r="33" s="76" customFormat="1" customHeight="1" spans="1:12">
      <c r="A33" s="254"/>
      <c r="B33" s="255"/>
      <c r="C33" s="256"/>
      <c r="D33" s="256"/>
      <c r="E33" s="226"/>
      <c r="F33" s="226"/>
      <c r="G33" s="226"/>
      <c r="H33" s="223"/>
      <c r="I33" s="226"/>
      <c r="J33" s="258"/>
      <c r="K33" s="226"/>
      <c r="L33" s="228"/>
    </row>
  </sheetData>
  <autoFilter xmlns:etc="http://www.wps.cn/officeDocument/2017/etCustomData" ref="A1:L33" etc:filterBottomFollowUsedRange="0">
    <extLst/>
  </autoFilter>
  <mergeCells count="33">
    <mergeCell ref="E13:H13"/>
    <mergeCell ref="E23:H23"/>
    <mergeCell ref="E31:H31"/>
    <mergeCell ref="A2:A15"/>
    <mergeCell ref="A16:A25"/>
    <mergeCell ref="A26:A31"/>
    <mergeCell ref="B2:B15"/>
    <mergeCell ref="B16:B25"/>
    <mergeCell ref="B26:B31"/>
    <mergeCell ref="C2:C15"/>
    <mergeCell ref="C16:C25"/>
    <mergeCell ref="C26:C31"/>
    <mergeCell ref="D2:D15"/>
    <mergeCell ref="D16:D25"/>
    <mergeCell ref="D26:D31"/>
    <mergeCell ref="E2:E12"/>
    <mergeCell ref="E14:E15"/>
    <mergeCell ref="E16:E22"/>
    <mergeCell ref="E24:E25"/>
    <mergeCell ref="E26:E30"/>
    <mergeCell ref="E32:E33"/>
    <mergeCell ref="F2:F12"/>
    <mergeCell ref="F14:F15"/>
    <mergeCell ref="F16:F18"/>
    <mergeCell ref="F20:F22"/>
    <mergeCell ref="F24:F25"/>
    <mergeCell ref="F26:F28"/>
    <mergeCell ref="F29:F30"/>
    <mergeCell ref="F32:F33"/>
    <mergeCell ref="G26:G28"/>
    <mergeCell ref="G29:G30"/>
    <mergeCell ref="H26:H28"/>
    <mergeCell ref="H29:H3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62"/>
  <sheetViews>
    <sheetView workbookViewId="0">
      <pane ySplit="1" topLeftCell="A25" activePane="bottomLeft" state="frozen"/>
      <selection/>
      <selection pane="bottomLeft" activeCell="L22" sqref="L22"/>
    </sheetView>
  </sheetViews>
  <sheetFormatPr defaultColWidth="9.11111111111111" defaultRowHeight="13.2"/>
  <cols>
    <col min="1" max="1" width="22.4444444444444" style="76" customWidth="1"/>
    <col min="2" max="2" width="11.6666666666667" style="76" customWidth="1"/>
    <col min="3" max="7" width="9.11111111111111" style="76"/>
    <col min="8" max="8" width="59.6666666666667" style="76" customWidth="1"/>
    <col min="9" max="11" width="9.11111111111111" style="76"/>
    <col min="12" max="12" width="19.5555555555556" style="77" customWidth="1"/>
    <col min="13" max="16384" width="9.11111111111111" style="76"/>
  </cols>
  <sheetData>
    <row r="1" ht="69.6" spans="1:26">
      <c r="A1" s="142" t="s">
        <v>146</v>
      </c>
      <c r="B1" s="143" t="s">
        <v>6</v>
      </c>
      <c r="C1" s="142" t="s">
        <v>147</v>
      </c>
      <c r="D1" s="142" t="s">
        <v>148</v>
      </c>
      <c r="E1" s="143" t="s">
        <v>149</v>
      </c>
      <c r="F1" s="142" t="s">
        <v>150</v>
      </c>
      <c r="G1" s="142" t="s">
        <v>1</v>
      </c>
      <c r="H1" s="144" t="s">
        <v>151</v>
      </c>
      <c r="I1" s="142" t="s">
        <v>152</v>
      </c>
      <c r="J1" s="145" t="s">
        <v>153</v>
      </c>
      <c r="K1" s="142" t="s">
        <v>154</v>
      </c>
      <c r="L1" s="146" t="s">
        <v>155</v>
      </c>
      <c r="M1" s="147"/>
      <c r="N1" s="147"/>
      <c r="O1" s="147"/>
      <c r="P1" s="147"/>
      <c r="Q1" s="147"/>
      <c r="R1" s="147"/>
      <c r="S1" s="147"/>
      <c r="T1" s="147"/>
      <c r="U1" s="147"/>
      <c r="V1" s="147"/>
      <c r="W1" s="147"/>
      <c r="X1" s="147"/>
      <c r="Y1" s="147"/>
      <c r="Z1" s="147"/>
    </row>
    <row r="2" s="76" customFormat="1" ht="15.6" spans="1:26">
      <c r="A2" s="142" t="s">
        <v>191</v>
      </c>
      <c r="B2" s="201" t="s">
        <v>41</v>
      </c>
      <c r="C2" s="339" t="s">
        <v>192</v>
      </c>
      <c r="D2" s="58"/>
      <c r="E2" s="203" t="s">
        <v>173</v>
      </c>
      <c r="F2" s="58" t="s">
        <v>56</v>
      </c>
      <c r="G2" s="58">
        <v>1</v>
      </c>
      <c r="H2" s="204" t="s">
        <v>193</v>
      </c>
      <c r="I2" s="16" t="s">
        <v>41</v>
      </c>
      <c r="J2" s="202">
        <v>1</v>
      </c>
      <c r="K2" s="58"/>
      <c r="L2" s="201">
        <v>1</v>
      </c>
    </row>
    <row r="3" s="76" customFormat="1" ht="15.6" spans="1:26">
      <c r="A3" s="142"/>
      <c r="B3" s="201"/>
      <c r="C3" s="58"/>
      <c r="D3" s="58"/>
      <c r="E3" s="203"/>
      <c r="F3" s="58"/>
      <c r="G3" s="58">
        <v>2</v>
      </c>
      <c r="H3" s="218" t="s">
        <v>194</v>
      </c>
      <c r="I3" s="16" t="s">
        <v>41</v>
      </c>
      <c r="J3" s="202">
        <v>1</v>
      </c>
      <c r="K3" s="58"/>
      <c r="L3" s="201">
        <v>1</v>
      </c>
    </row>
    <row r="4" s="76" customFormat="1" ht="15.6" spans="1:26">
      <c r="A4" s="142"/>
      <c r="B4" s="201"/>
      <c r="C4" s="58"/>
      <c r="D4" s="58"/>
      <c r="E4" s="203"/>
      <c r="F4" s="58"/>
      <c r="G4" s="58">
        <v>3</v>
      </c>
      <c r="H4" s="204" t="s">
        <v>195</v>
      </c>
      <c r="I4" s="16" t="s">
        <v>41</v>
      </c>
      <c r="J4" s="202">
        <v>1</v>
      </c>
      <c r="K4" s="58"/>
      <c r="L4" s="201">
        <v>1</v>
      </c>
    </row>
    <row r="5" s="76" customFormat="1" ht="15" spans="1:26">
      <c r="A5" s="142"/>
      <c r="B5" s="201"/>
      <c r="C5" s="58"/>
      <c r="D5" s="58"/>
      <c r="E5" s="39" t="s">
        <v>170</v>
      </c>
      <c r="F5" s="39"/>
      <c r="G5" s="39"/>
      <c r="H5" s="39"/>
      <c r="I5" s="39"/>
      <c r="J5" s="47"/>
      <c r="K5" s="48"/>
      <c r="L5" s="49">
        <f>SUM(L2:L4)</f>
        <v>3</v>
      </c>
    </row>
    <row r="6" s="76" customFormat="1" ht="15" spans="1:26">
      <c r="A6" s="142"/>
      <c r="B6" s="201"/>
      <c r="C6" s="58"/>
      <c r="D6" s="58"/>
      <c r="E6" s="203" t="s">
        <v>171</v>
      </c>
      <c r="F6" s="203" t="s">
        <v>56</v>
      </c>
      <c r="G6" s="203">
        <v>1</v>
      </c>
      <c r="H6" s="204"/>
      <c r="I6" s="58"/>
      <c r="J6" s="206"/>
      <c r="K6" s="203"/>
      <c r="L6" s="207"/>
    </row>
    <row r="7" s="76" customFormat="1" ht="15" spans="1:26">
      <c r="A7" s="142"/>
      <c r="B7" s="201"/>
      <c r="C7" s="58"/>
      <c r="D7" s="58"/>
      <c r="E7" s="203"/>
      <c r="F7" s="203"/>
      <c r="G7" s="203">
        <v>2</v>
      </c>
      <c r="H7" s="204"/>
      <c r="I7" s="203"/>
      <c r="J7" s="206"/>
      <c r="K7" s="203"/>
      <c r="L7" s="207"/>
    </row>
    <row r="8" ht="240" spans="1:26">
      <c r="A8" s="142" t="s">
        <v>196</v>
      </c>
      <c r="B8" s="201" t="s">
        <v>51</v>
      </c>
      <c r="C8" s="58"/>
      <c r="D8" s="58"/>
      <c r="E8" s="211" t="s">
        <v>173</v>
      </c>
      <c r="F8" s="164" t="s">
        <v>197</v>
      </c>
      <c r="G8" s="58">
        <v>1</v>
      </c>
      <c r="H8" s="219" t="s">
        <v>198</v>
      </c>
      <c r="I8" s="16" t="s">
        <v>51</v>
      </c>
      <c r="J8" s="202">
        <v>1</v>
      </c>
      <c r="K8" s="203"/>
      <c r="L8" s="201">
        <v>4.5</v>
      </c>
      <c r="M8" s="147"/>
      <c r="N8" s="147"/>
      <c r="O8" s="147"/>
      <c r="P8" s="147"/>
      <c r="Q8" s="147"/>
      <c r="R8" s="147"/>
      <c r="S8" s="147"/>
      <c r="T8" s="147"/>
      <c r="U8" s="147"/>
      <c r="V8" s="147"/>
      <c r="W8" s="147"/>
      <c r="X8" s="147"/>
      <c r="Y8" s="147"/>
      <c r="Z8" s="147"/>
    </row>
    <row r="9" ht="165" spans="1:26">
      <c r="A9" s="142"/>
      <c r="B9" s="201"/>
      <c r="C9" s="58"/>
      <c r="D9" s="58"/>
      <c r="E9" s="220"/>
      <c r="F9" s="153"/>
      <c r="G9" s="58">
        <v>2</v>
      </c>
      <c r="H9" s="219" t="s">
        <v>199</v>
      </c>
      <c r="I9" s="16" t="s">
        <v>200</v>
      </c>
      <c r="J9" s="202">
        <v>1</v>
      </c>
      <c r="K9" s="58"/>
      <c r="L9" s="201">
        <v>5</v>
      </c>
      <c r="M9" s="147"/>
      <c r="N9" s="147"/>
      <c r="O9" s="147"/>
      <c r="P9" s="147"/>
      <c r="Q9" s="147"/>
      <c r="R9" s="147"/>
      <c r="S9" s="147"/>
      <c r="T9" s="147"/>
      <c r="U9" s="147"/>
      <c r="V9" s="147"/>
      <c r="W9" s="147"/>
      <c r="X9" s="147"/>
      <c r="Y9" s="147"/>
      <c r="Z9" s="147"/>
    </row>
    <row r="10" ht="30" spans="1:26">
      <c r="A10" s="142"/>
      <c r="B10" s="201"/>
      <c r="C10" s="58"/>
      <c r="D10" s="58"/>
      <c r="E10" s="220"/>
      <c r="F10" s="153" t="s">
        <v>56</v>
      </c>
      <c r="G10" s="58">
        <v>3</v>
      </c>
      <c r="H10" s="219" t="s">
        <v>201</v>
      </c>
      <c r="I10" s="16" t="s">
        <v>51</v>
      </c>
      <c r="J10" s="202">
        <v>0.5</v>
      </c>
      <c r="K10" s="58"/>
      <c r="L10" s="201">
        <v>0.5</v>
      </c>
      <c r="M10" s="147"/>
      <c r="N10" s="147"/>
      <c r="O10" s="147"/>
      <c r="P10" s="147"/>
      <c r="Q10" s="147"/>
      <c r="R10" s="147"/>
      <c r="S10" s="147"/>
      <c r="T10" s="147"/>
      <c r="U10" s="147"/>
      <c r="V10" s="147"/>
      <c r="W10" s="147"/>
      <c r="X10" s="147"/>
      <c r="Y10" s="147"/>
      <c r="Z10" s="147"/>
    </row>
    <row r="11" ht="15.6" spans="1:26">
      <c r="A11" s="142"/>
      <c r="B11" s="201"/>
      <c r="C11" s="58"/>
      <c r="D11" s="58"/>
      <c r="E11" s="39" t="s">
        <v>170</v>
      </c>
      <c r="F11" s="39"/>
      <c r="G11" s="39"/>
      <c r="H11" s="39"/>
      <c r="I11" s="39"/>
      <c r="J11" s="47"/>
      <c r="K11" s="48"/>
      <c r="L11" s="221">
        <f>SUM(L8:L10)</f>
        <v>10</v>
      </c>
      <c r="M11" s="147"/>
      <c r="N11" s="147"/>
      <c r="O11" s="147"/>
      <c r="P11" s="147"/>
      <c r="Q11" s="147"/>
      <c r="R11" s="147"/>
      <c r="S11" s="147"/>
      <c r="T11" s="147"/>
      <c r="U11" s="147"/>
      <c r="V11" s="147"/>
      <c r="W11" s="147"/>
      <c r="X11" s="147"/>
      <c r="Y11" s="147"/>
      <c r="Z11" s="147"/>
    </row>
    <row r="12" ht="15.6" spans="1:26">
      <c r="A12" s="142"/>
      <c r="B12" s="201"/>
      <c r="C12" s="58"/>
      <c r="D12" s="58"/>
      <c r="E12" s="203" t="s">
        <v>171</v>
      </c>
      <c r="F12" s="203"/>
      <c r="G12" s="203"/>
      <c r="H12" s="205"/>
      <c r="I12" s="58"/>
      <c r="J12" s="206"/>
      <c r="K12" s="203"/>
      <c r="L12" s="207"/>
      <c r="M12" s="147"/>
      <c r="N12" s="147"/>
      <c r="O12" s="147"/>
      <c r="P12" s="147"/>
      <c r="Q12" s="147"/>
      <c r="R12" s="147"/>
      <c r="S12" s="147"/>
      <c r="T12" s="147"/>
      <c r="U12" s="147"/>
      <c r="V12" s="147"/>
      <c r="W12" s="147"/>
      <c r="X12" s="147"/>
      <c r="Y12" s="147"/>
      <c r="Z12" s="147"/>
    </row>
    <row r="13" ht="15" spans="1:26">
      <c r="A13" s="142"/>
      <c r="B13" s="201"/>
      <c r="C13" s="58"/>
      <c r="D13" s="58"/>
      <c r="E13" s="203"/>
      <c r="F13" s="203"/>
      <c r="G13" s="203"/>
      <c r="H13" s="204"/>
      <c r="I13" s="203"/>
      <c r="J13" s="206"/>
      <c r="K13" s="203"/>
      <c r="L13" s="207"/>
      <c r="M13" s="147"/>
      <c r="N13" s="147"/>
      <c r="O13" s="147"/>
      <c r="P13" s="147"/>
      <c r="Q13" s="147"/>
      <c r="R13" s="147"/>
      <c r="S13" s="147"/>
      <c r="T13" s="147"/>
      <c r="U13" s="147"/>
      <c r="V13" s="147"/>
      <c r="W13" s="147"/>
      <c r="X13" s="147"/>
      <c r="Y13" s="147"/>
      <c r="Z13" s="147"/>
    </row>
    <row r="14" s="76" customFormat="1" ht="30" spans="1:26">
      <c r="A14" s="142" t="s">
        <v>202</v>
      </c>
      <c r="B14" s="201" t="s">
        <v>44</v>
      </c>
      <c r="C14" s="58"/>
      <c r="D14" s="58"/>
      <c r="E14" s="203"/>
      <c r="F14" s="58"/>
      <c r="G14" s="58">
        <v>1</v>
      </c>
      <c r="H14" s="204" t="s">
        <v>203</v>
      </c>
      <c r="I14" s="16" t="s">
        <v>81</v>
      </c>
      <c r="J14" s="202">
        <v>1</v>
      </c>
      <c r="K14" s="203"/>
      <c r="L14" s="207">
        <v>0</v>
      </c>
    </row>
    <row r="15" s="76" customFormat="1" ht="69" customHeight="1" spans="1:26">
      <c r="A15" s="142"/>
      <c r="B15" s="201"/>
      <c r="C15" s="58"/>
      <c r="D15" s="58"/>
      <c r="E15" s="203"/>
      <c r="F15" s="58"/>
      <c r="G15" s="58">
        <v>2</v>
      </c>
      <c r="H15" s="212" t="s">
        <v>204</v>
      </c>
      <c r="I15" s="16" t="s">
        <v>44</v>
      </c>
      <c r="J15" s="202">
        <v>1</v>
      </c>
      <c r="K15" s="203"/>
      <c r="L15" s="207">
        <v>3</v>
      </c>
    </row>
    <row r="16" s="76" customFormat="1" ht="60" spans="1:26">
      <c r="A16" s="142"/>
      <c r="B16" s="201"/>
      <c r="C16" s="58"/>
      <c r="D16" s="58"/>
      <c r="E16" s="203"/>
      <c r="F16" s="58"/>
      <c r="G16" s="58">
        <v>3</v>
      </c>
      <c r="H16" s="212" t="s">
        <v>205</v>
      </c>
      <c r="I16" s="16" t="s">
        <v>206</v>
      </c>
      <c r="J16" s="202">
        <v>1</v>
      </c>
      <c r="K16" s="203"/>
      <c r="L16" s="207">
        <v>2</v>
      </c>
    </row>
    <row r="17" s="76" customFormat="1" ht="15" spans="1:12">
      <c r="A17" s="142"/>
      <c r="B17" s="201"/>
      <c r="C17" s="58"/>
      <c r="D17" s="58"/>
      <c r="E17" s="203"/>
      <c r="F17" s="58"/>
      <c r="G17" s="222">
        <v>4</v>
      </c>
      <c r="H17" s="223" t="s">
        <v>207</v>
      </c>
      <c r="I17" s="224" t="s">
        <v>93</v>
      </c>
      <c r="J17" s="225">
        <v>1</v>
      </c>
      <c r="K17" s="226"/>
      <c r="L17" s="227">
        <v>1</v>
      </c>
    </row>
    <row r="18" s="76" customFormat="1" ht="15" spans="1:12">
      <c r="A18" s="142"/>
      <c r="B18" s="201"/>
      <c r="C18" s="58"/>
      <c r="D18" s="58"/>
      <c r="E18" s="203"/>
      <c r="F18" s="58"/>
      <c r="G18" s="222"/>
      <c r="H18" s="223"/>
      <c r="I18" s="224" t="s">
        <v>185</v>
      </c>
      <c r="J18" s="225">
        <v>1</v>
      </c>
      <c r="K18" s="226"/>
      <c r="L18" s="227">
        <v>0</v>
      </c>
    </row>
    <row r="19" s="76" customFormat="1" ht="15" spans="1:12">
      <c r="A19" s="142"/>
      <c r="B19" s="201"/>
      <c r="C19" s="58"/>
      <c r="D19" s="58"/>
      <c r="E19" s="203"/>
      <c r="F19" s="58"/>
      <c r="G19" s="222"/>
      <c r="H19" s="223"/>
      <c r="I19" s="224" t="s">
        <v>186</v>
      </c>
      <c r="J19" s="225">
        <v>1</v>
      </c>
      <c r="K19" s="226"/>
      <c r="L19" s="227">
        <v>1</v>
      </c>
    </row>
    <row r="20" s="76" customFormat="1" ht="15" spans="1:12">
      <c r="A20" s="142"/>
      <c r="B20" s="201"/>
      <c r="C20" s="58"/>
      <c r="D20" s="58"/>
      <c r="E20" s="203"/>
      <c r="F20" s="58"/>
      <c r="G20" s="222">
        <v>5</v>
      </c>
      <c r="H20" s="223" t="s">
        <v>208</v>
      </c>
      <c r="I20" s="224" t="s">
        <v>189</v>
      </c>
      <c r="J20" s="225">
        <v>1</v>
      </c>
      <c r="K20" s="226"/>
      <c r="L20" s="228">
        <v>1</v>
      </c>
    </row>
    <row r="21" s="76" customFormat="1" ht="15" spans="1:12">
      <c r="A21" s="142"/>
      <c r="B21" s="201"/>
      <c r="C21" s="58"/>
      <c r="D21" s="58"/>
      <c r="E21" s="203"/>
      <c r="F21" s="58"/>
      <c r="G21" s="222"/>
      <c r="H21" s="223"/>
      <c r="I21" s="224" t="s">
        <v>190</v>
      </c>
      <c r="J21" s="225">
        <v>1</v>
      </c>
      <c r="K21" s="226"/>
      <c r="L21" s="228">
        <v>1</v>
      </c>
    </row>
    <row r="22" s="76" customFormat="1" ht="15" spans="1:12">
      <c r="A22" s="142"/>
      <c r="B22" s="201"/>
      <c r="C22" s="58"/>
      <c r="D22" s="58"/>
      <c r="E22" s="39" t="s">
        <v>170</v>
      </c>
      <c r="F22" s="39"/>
      <c r="G22" s="39"/>
      <c r="H22" s="39"/>
      <c r="I22" s="39"/>
      <c r="J22" s="47"/>
      <c r="K22" s="48"/>
      <c r="L22" s="49">
        <f>SUM(L14:L21)</f>
        <v>9</v>
      </c>
    </row>
    <row r="23" s="76" customFormat="1" ht="15.6" spans="1:12">
      <c r="A23" s="142"/>
      <c r="B23" s="201"/>
      <c r="C23" s="58"/>
      <c r="D23" s="58"/>
      <c r="E23" s="203" t="s">
        <v>171</v>
      </c>
      <c r="F23" s="203"/>
      <c r="G23" s="203"/>
      <c r="H23" s="205"/>
      <c r="I23" s="58"/>
      <c r="J23" s="206"/>
      <c r="K23" s="203"/>
      <c r="L23" s="207"/>
    </row>
    <row r="24" s="76" customFormat="1" ht="15" spans="1:12">
      <c r="A24" s="142"/>
      <c r="B24" s="201"/>
      <c r="C24" s="58"/>
      <c r="D24" s="58"/>
      <c r="E24" s="203"/>
      <c r="F24" s="203"/>
      <c r="G24" s="203"/>
      <c r="H24" s="204"/>
      <c r="I24" s="203"/>
      <c r="J24" s="206"/>
      <c r="K24" s="203"/>
      <c r="L24" s="207"/>
    </row>
    <row r="25" s="76" customFormat="1" ht="75" spans="1:12">
      <c r="A25" s="142" t="s">
        <v>43</v>
      </c>
      <c r="B25" s="201" t="s">
        <v>44</v>
      </c>
      <c r="C25" s="58"/>
      <c r="D25" s="58"/>
      <c r="E25" s="203" t="s">
        <v>173</v>
      </c>
      <c r="F25" s="58" t="s">
        <v>197</v>
      </c>
      <c r="G25" s="58">
        <v>1</v>
      </c>
      <c r="H25" s="212" t="s">
        <v>209</v>
      </c>
      <c r="I25" s="16" t="s">
        <v>210</v>
      </c>
      <c r="J25" s="202">
        <v>1</v>
      </c>
      <c r="K25" s="203"/>
      <c r="L25" s="207">
        <v>5</v>
      </c>
    </row>
    <row r="26" s="76" customFormat="1" ht="69" customHeight="1" spans="1:12">
      <c r="A26" s="142"/>
      <c r="B26" s="201"/>
      <c r="C26" s="58"/>
      <c r="D26" s="58"/>
      <c r="E26" s="203"/>
      <c r="F26" s="58"/>
      <c r="G26" s="58">
        <v>2</v>
      </c>
      <c r="H26" s="204" t="s">
        <v>211</v>
      </c>
      <c r="I26" s="16" t="s">
        <v>206</v>
      </c>
      <c r="J26" s="202">
        <v>1</v>
      </c>
      <c r="K26" s="203"/>
      <c r="L26" s="207">
        <v>2.5</v>
      </c>
    </row>
    <row r="27" s="76" customFormat="1" ht="30" spans="1:12">
      <c r="A27" s="142"/>
      <c r="B27" s="201"/>
      <c r="C27" s="58"/>
      <c r="D27" s="58"/>
      <c r="E27" s="203"/>
      <c r="F27" s="58"/>
      <c r="G27" s="58">
        <v>3</v>
      </c>
      <c r="H27" s="204" t="s">
        <v>212</v>
      </c>
      <c r="I27" s="16" t="s">
        <v>44</v>
      </c>
      <c r="J27" s="202">
        <v>1</v>
      </c>
      <c r="K27" s="203"/>
      <c r="L27" s="207">
        <v>2</v>
      </c>
    </row>
    <row r="28" s="76" customFormat="1" ht="15" spans="1:12">
      <c r="A28" s="142"/>
      <c r="B28" s="201"/>
      <c r="C28" s="58"/>
      <c r="D28" s="58"/>
      <c r="E28" s="39" t="s">
        <v>170</v>
      </c>
      <c r="F28" s="39"/>
      <c r="G28" s="39"/>
      <c r="H28" s="39"/>
      <c r="I28" s="39"/>
      <c r="J28" s="47"/>
      <c r="K28" s="48"/>
      <c r="L28" s="49">
        <f>SUM(L25:L27)</f>
        <v>9.5</v>
      </c>
    </row>
    <row r="29" s="76" customFormat="1" ht="15.6" spans="1:12">
      <c r="A29" s="142"/>
      <c r="B29" s="201"/>
      <c r="C29" s="58"/>
      <c r="D29" s="58"/>
      <c r="E29" s="203" t="s">
        <v>171</v>
      </c>
      <c r="F29" s="203"/>
      <c r="G29" s="203"/>
      <c r="H29" s="205"/>
      <c r="I29" s="58"/>
      <c r="J29" s="206"/>
      <c r="K29" s="203"/>
      <c r="L29" s="207"/>
    </row>
    <row r="30" s="76" customFormat="1" ht="15" spans="1:12">
      <c r="A30" s="142"/>
      <c r="B30" s="201"/>
      <c r="C30" s="58"/>
      <c r="D30" s="58"/>
      <c r="E30" s="203"/>
      <c r="F30" s="203"/>
      <c r="G30" s="203"/>
      <c r="H30" s="204"/>
      <c r="I30" s="203"/>
      <c r="J30" s="206"/>
      <c r="K30" s="203"/>
      <c r="L30" s="207"/>
    </row>
    <row r="31" ht="15" spans="1:12">
      <c r="A31" s="142" t="s">
        <v>54</v>
      </c>
      <c r="B31" s="201" t="s">
        <v>55</v>
      </c>
      <c r="C31" s="202">
        <v>0.3</v>
      </c>
      <c r="D31" s="58"/>
      <c r="E31" s="220"/>
      <c r="F31" s="216"/>
      <c r="G31" s="164">
        <v>1</v>
      </c>
      <c r="H31" s="212" t="s">
        <v>213</v>
      </c>
      <c r="I31" s="229" t="s">
        <v>214</v>
      </c>
      <c r="J31" s="202">
        <v>1</v>
      </c>
      <c r="K31" s="203"/>
      <c r="L31" s="207">
        <v>4.5</v>
      </c>
    </row>
    <row r="32" ht="15" spans="1:12">
      <c r="A32" s="142"/>
      <c r="B32" s="201"/>
      <c r="C32" s="58"/>
      <c r="D32" s="58"/>
      <c r="E32" s="220"/>
      <c r="F32" s="216"/>
      <c r="G32" s="164">
        <v>2</v>
      </c>
      <c r="H32" s="212" t="s">
        <v>215</v>
      </c>
      <c r="I32" s="229" t="s">
        <v>216</v>
      </c>
      <c r="J32" s="202">
        <v>0.9</v>
      </c>
      <c r="K32" s="203"/>
      <c r="L32" s="207">
        <v>5</v>
      </c>
    </row>
    <row r="33" ht="15" spans="1:12">
      <c r="A33" s="142"/>
      <c r="B33" s="201"/>
      <c r="C33" s="58"/>
      <c r="D33" s="58"/>
      <c r="E33" s="220"/>
      <c r="F33" s="216"/>
      <c r="G33" s="164">
        <v>3</v>
      </c>
      <c r="H33" s="212" t="s">
        <v>215</v>
      </c>
      <c r="I33" s="229" t="s">
        <v>217</v>
      </c>
      <c r="J33" s="202">
        <v>0.9</v>
      </c>
      <c r="K33" s="203"/>
      <c r="L33" s="207">
        <v>4</v>
      </c>
    </row>
    <row r="34" ht="15" spans="1:12">
      <c r="A34" s="142"/>
      <c r="B34" s="201"/>
      <c r="C34" s="58"/>
      <c r="D34" s="58"/>
      <c r="E34" s="220"/>
      <c r="F34" s="216"/>
      <c r="G34" s="164">
        <v>4</v>
      </c>
      <c r="H34" s="212" t="s">
        <v>215</v>
      </c>
      <c r="I34" s="229" t="s">
        <v>218</v>
      </c>
      <c r="J34" s="202">
        <v>0.9</v>
      </c>
      <c r="K34" s="203"/>
      <c r="L34" s="207">
        <v>1</v>
      </c>
    </row>
    <row r="35" ht="15" spans="1:12">
      <c r="A35" s="142"/>
      <c r="B35" s="201"/>
      <c r="C35" s="58"/>
      <c r="D35" s="58"/>
      <c r="E35" s="230"/>
      <c r="F35" s="153"/>
      <c r="G35" s="58">
        <v>5</v>
      </c>
      <c r="H35" s="212" t="s">
        <v>219</v>
      </c>
      <c r="I35" s="16" t="s">
        <v>55</v>
      </c>
      <c r="J35" s="202">
        <v>1</v>
      </c>
      <c r="K35" s="203"/>
      <c r="L35" s="207">
        <v>2</v>
      </c>
    </row>
    <row r="36" ht="15" spans="1:12">
      <c r="A36" s="142"/>
      <c r="B36" s="201"/>
      <c r="C36" s="58"/>
      <c r="D36" s="58"/>
      <c r="E36" s="39" t="s">
        <v>170</v>
      </c>
      <c r="F36" s="39"/>
      <c r="G36" s="39"/>
      <c r="H36" s="39"/>
      <c r="I36" s="39"/>
      <c r="J36" s="47"/>
      <c r="K36" s="48"/>
      <c r="L36" s="49">
        <f>SUM(L31:L35)</f>
        <v>16.5</v>
      </c>
    </row>
    <row r="37" ht="15" spans="1:12">
      <c r="A37" s="142"/>
      <c r="B37" s="201"/>
      <c r="C37" s="58"/>
      <c r="D37" s="58"/>
      <c r="E37" s="203"/>
      <c r="F37" s="203"/>
      <c r="G37" s="203"/>
      <c r="H37" s="204"/>
      <c r="I37" s="58"/>
      <c r="J37" s="206"/>
      <c r="K37" s="203"/>
      <c r="L37" s="207"/>
    </row>
    <row r="38" ht="15" spans="1:12">
      <c r="A38" s="142"/>
      <c r="B38" s="201"/>
      <c r="C38" s="58"/>
      <c r="D38" s="58"/>
      <c r="E38" s="203"/>
      <c r="F38" s="203"/>
      <c r="G38" s="203"/>
      <c r="H38" s="204"/>
      <c r="I38" s="203"/>
      <c r="J38" s="206"/>
      <c r="K38" s="203"/>
      <c r="L38" s="207"/>
    </row>
    <row r="39" ht="15" spans="1:12">
      <c r="A39" s="142" t="s">
        <v>95</v>
      </c>
      <c r="B39" s="201" t="s">
        <v>55</v>
      </c>
      <c r="C39" s="58"/>
      <c r="D39" s="58"/>
      <c r="E39" s="220"/>
      <c r="F39" s="216"/>
      <c r="G39" s="58">
        <v>1</v>
      </c>
      <c r="H39" s="212" t="s">
        <v>220</v>
      </c>
      <c r="I39" s="16" t="s">
        <v>221</v>
      </c>
      <c r="J39" s="202">
        <v>1</v>
      </c>
      <c r="K39" s="203"/>
      <c r="L39" s="207">
        <v>2</v>
      </c>
    </row>
    <row r="40" ht="15" spans="1:12">
      <c r="A40" s="142"/>
      <c r="B40" s="201"/>
      <c r="C40" s="58"/>
      <c r="D40" s="58"/>
      <c r="E40" s="220"/>
      <c r="F40" s="216"/>
      <c r="G40" s="58">
        <v>2</v>
      </c>
      <c r="H40" s="212" t="s">
        <v>222</v>
      </c>
      <c r="I40" s="16" t="s">
        <v>55</v>
      </c>
      <c r="J40" s="202">
        <v>1</v>
      </c>
      <c r="K40" s="203"/>
      <c r="L40" s="207">
        <v>3.5</v>
      </c>
    </row>
    <row r="41" ht="15" spans="1:12">
      <c r="A41" s="142"/>
      <c r="B41" s="201"/>
      <c r="C41" s="58"/>
      <c r="D41" s="58"/>
      <c r="E41" s="220"/>
      <c r="F41" s="216"/>
      <c r="G41" s="58">
        <v>3</v>
      </c>
      <c r="H41" s="212" t="s">
        <v>223</v>
      </c>
      <c r="I41" s="16" t="s">
        <v>218</v>
      </c>
      <c r="J41" s="202">
        <v>1</v>
      </c>
      <c r="K41" s="203"/>
      <c r="L41" s="207">
        <v>0.5</v>
      </c>
    </row>
    <row r="42" ht="15" spans="1:12">
      <c r="A42" s="142"/>
      <c r="B42" s="201"/>
      <c r="C42" s="58"/>
      <c r="D42" s="58"/>
      <c r="E42" s="220"/>
      <c r="F42" s="216"/>
      <c r="G42" s="58">
        <v>4</v>
      </c>
      <c r="H42" s="212" t="s">
        <v>224</v>
      </c>
      <c r="I42" s="16" t="s">
        <v>225</v>
      </c>
      <c r="J42" s="202">
        <v>1</v>
      </c>
      <c r="K42" s="203"/>
      <c r="L42" s="207">
        <v>5</v>
      </c>
    </row>
    <row r="43" ht="15" spans="1:12">
      <c r="A43" s="142"/>
      <c r="B43" s="201"/>
      <c r="C43" s="58"/>
      <c r="D43" s="58"/>
      <c r="E43" s="39" t="s">
        <v>170</v>
      </c>
      <c r="F43" s="39"/>
      <c r="G43" s="39"/>
      <c r="H43" s="39"/>
      <c r="I43" s="39"/>
      <c r="J43" s="47"/>
      <c r="K43" s="48"/>
      <c r="L43" s="49">
        <f>SUM(L39:L42)</f>
        <v>11</v>
      </c>
    </row>
    <row r="44" ht="15" spans="1:12">
      <c r="A44" s="142"/>
      <c r="B44" s="201"/>
      <c r="C44" s="58"/>
      <c r="D44" s="58"/>
      <c r="E44" s="203" t="s">
        <v>171</v>
      </c>
      <c r="F44" s="203"/>
      <c r="G44" s="203"/>
      <c r="H44" s="204"/>
      <c r="I44" s="58"/>
      <c r="J44" s="206"/>
      <c r="K44" s="203"/>
      <c r="L44" s="207"/>
    </row>
    <row r="45" ht="15" spans="1:12">
      <c r="A45" s="142"/>
      <c r="B45" s="201"/>
      <c r="C45" s="58"/>
      <c r="D45" s="58"/>
      <c r="E45" s="203"/>
      <c r="F45" s="203"/>
      <c r="G45" s="203"/>
      <c r="H45" s="204"/>
      <c r="I45" s="203"/>
      <c r="J45" s="206"/>
      <c r="K45" s="203"/>
      <c r="L45" s="207"/>
    </row>
    <row r="46" ht="15" spans="1:12">
      <c r="A46" s="231" t="s">
        <v>96</v>
      </c>
      <c r="B46" s="201" t="s">
        <v>64</v>
      </c>
      <c r="C46" s="58"/>
      <c r="D46" s="58"/>
      <c r="E46" s="220"/>
      <c r="F46" s="216"/>
      <c r="G46" s="58">
        <v>1</v>
      </c>
      <c r="H46" s="212" t="s">
        <v>226</v>
      </c>
      <c r="I46" s="16" t="s">
        <v>227</v>
      </c>
      <c r="J46" s="202">
        <v>1</v>
      </c>
      <c r="K46" s="203"/>
      <c r="L46" s="207">
        <v>4</v>
      </c>
    </row>
    <row r="47" ht="45" spans="1:12">
      <c r="A47" s="231"/>
      <c r="B47" s="201"/>
      <c r="C47" s="58"/>
      <c r="D47" s="58"/>
      <c r="E47" s="220"/>
      <c r="F47" s="216"/>
      <c r="G47" s="58">
        <v>2</v>
      </c>
      <c r="H47" s="212" t="s">
        <v>228</v>
      </c>
      <c r="I47" s="16" t="s">
        <v>229</v>
      </c>
      <c r="J47" s="202">
        <v>1</v>
      </c>
      <c r="K47" s="203"/>
      <c r="L47" s="207">
        <v>5</v>
      </c>
    </row>
    <row r="48" ht="15" spans="1:12">
      <c r="A48" s="231"/>
      <c r="B48" s="201"/>
      <c r="C48" s="58"/>
      <c r="D48" s="58"/>
      <c r="E48" s="220"/>
      <c r="F48" s="216"/>
      <c r="G48" s="58">
        <v>3</v>
      </c>
      <c r="H48" s="212" t="s">
        <v>230</v>
      </c>
      <c r="I48" s="16" t="s">
        <v>231</v>
      </c>
      <c r="J48" s="202">
        <v>1</v>
      </c>
      <c r="K48" s="203"/>
      <c r="L48" s="207">
        <v>4</v>
      </c>
    </row>
    <row r="49" ht="15" spans="1:12">
      <c r="A49" s="231"/>
      <c r="B49" s="201"/>
      <c r="C49" s="58"/>
      <c r="D49" s="58"/>
      <c r="E49" s="220"/>
      <c r="F49" s="216"/>
      <c r="G49" s="58">
        <v>4</v>
      </c>
      <c r="H49" s="212" t="s">
        <v>232</v>
      </c>
      <c r="I49" s="16" t="s">
        <v>221</v>
      </c>
      <c r="J49" s="202"/>
      <c r="K49" s="203"/>
      <c r="L49" s="207">
        <v>2</v>
      </c>
    </row>
    <row r="50" ht="15" spans="1:12">
      <c r="A50" s="231"/>
      <c r="B50" s="201"/>
      <c r="C50" s="58"/>
      <c r="D50" s="58"/>
      <c r="E50" s="220"/>
      <c r="F50" s="216"/>
      <c r="G50" s="58">
        <v>5</v>
      </c>
      <c r="H50" s="212" t="s">
        <v>233</v>
      </c>
      <c r="I50" s="16" t="s">
        <v>234</v>
      </c>
      <c r="J50" s="202"/>
      <c r="K50" s="203"/>
      <c r="L50" s="207">
        <v>4</v>
      </c>
    </row>
    <row r="51" ht="15" spans="1:12">
      <c r="A51" s="231"/>
      <c r="B51" s="201"/>
      <c r="C51" s="58"/>
      <c r="D51" s="58"/>
      <c r="E51" s="220"/>
      <c r="F51" s="216"/>
      <c r="G51" s="58">
        <v>6</v>
      </c>
      <c r="H51" s="212" t="s">
        <v>233</v>
      </c>
      <c r="I51" s="16" t="s">
        <v>235</v>
      </c>
      <c r="J51" s="202"/>
      <c r="K51" s="203"/>
      <c r="L51" s="207"/>
    </row>
    <row r="52" ht="15" spans="1:12">
      <c r="A52" s="231"/>
      <c r="B52" s="201"/>
      <c r="C52" s="58"/>
      <c r="D52" s="58"/>
      <c r="E52" s="220"/>
      <c r="F52" s="216"/>
      <c r="G52" s="58">
        <v>7</v>
      </c>
      <c r="H52" s="212" t="s">
        <v>236</v>
      </c>
      <c r="I52" s="16" t="s">
        <v>237</v>
      </c>
      <c r="J52" s="202">
        <v>1</v>
      </c>
      <c r="K52" s="203"/>
      <c r="L52" s="207">
        <v>4</v>
      </c>
    </row>
    <row r="53" ht="15" spans="1:12">
      <c r="A53" s="231"/>
      <c r="B53" s="201"/>
      <c r="C53" s="58"/>
      <c r="D53" s="58"/>
      <c r="E53" s="220"/>
      <c r="F53" s="216"/>
      <c r="G53" s="58">
        <v>8</v>
      </c>
      <c r="H53" s="212" t="s">
        <v>238</v>
      </c>
      <c r="I53" s="16" t="s">
        <v>64</v>
      </c>
      <c r="J53" s="202"/>
      <c r="K53" s="203"/>
      <c r="L53" s="207">
        <v>4</v>
      </c>
    </row>
    <row r="54" ht="15" spans="1:12">
      <c r="A54" s="231"/>
      <c r="B54" s="201"/>
      <c r="C54" s="58"/>
      <c r="D54" s="58"/>
      <c r="E54" s="39" t="s">
        <v>170</v>
      </c>
      <c r="F54" s="39"/>
      <c r="G54" s="39"/>
      <c r="H54" s="39"/>
      <c r="I54" s="39"/>
      <c r="J54" s="47"/>
      <c r="K54" s="48"/>
      <c r="L54" s="49">
        <f>SUM(L46:L53)</f>
        <v>27</v>
      </c>
    </row>
    <row r="55" ht="15.6" spans="1:12">
      <c r="A55" s="231"/>
      <c r="B55" s="201"/>
      <c r="C55" s="58"/>
      <c r="D55" s="58"/>
      <c r="E55" s="203" t="s">
        <v>171</v>
      </c>
      <c r="F55" s="203"/>
      <c r="G55" s="203"/>
      <c r="H55" s="205"/>
      <c r="I55" s="58"/>
      <c r="J55" s="206"/>
      <c r="K55" s="203"/>
      <c r="L55" s="207"/>
    </row>
    <row r="56" ht="15" spans="1:12">
      <c r="A56" s="232"/>
      <c r="B56" s="201"/>
      <c r="C56" s="58"/>
      <c r="D56" s="58"/>
      <c r="E56" s="203"/>
      <c r="F56" s="203"/>
      <c r="G56" s="203"/>
      <c r="H56" s="204"/>
      <c r="I56" s="203"/>
      <c r="J56" s="206"/>
      <c r="K56" s="203"/>
      <c r="L56" s="207"/>
    </row>
    <row r="57" ht="15" spans="1:12">
      <c r="A57" s="233" t="s">
        <v>97</v>
      </c>
      <c r="B57" s="201" t="s">
        <v>64</v>
      </c>
      <c r="C57" s="58"/>
      <c r="D57" s="58"/>
      <c r="E57" s="220"/>
      <c r="F57" s="216"/>
      <c r="G57" s="58">
        <v>1</v>
      </c>
      <c r="H57" s="212" t="s">
        <v>239</v>
      </c>
      <c r="I57" s="16" t="s">
        <v>221</v>
      </c>
      <c r="J57" s="202">
        <v>1</v>
      </c>
      <c r="K57" s="203"/>
      <c r="L57" s="207">
        <v>1</v>
      </c>
    </row>
    <row r="58" ht="15" spans="1:12">
      <c r="A58" s="231"/>
      <c r="B58" s="201"/>
      <c r="C58" s="58"/>
      <c r="D58" s="58"/>
      <c r="E58" s="220"/>
      <c r="F58" s="216"/>
      <c r="G58" s="58">
        <v>2</v>
      </c>
      <c r="H58" s="212" t="s">
        <v>239</v>
      </c>
      <c r="I58" s="16" t="s">
        <v>231</v>
      </c>
      <c r="J58" s="202">
        <v>1</v>
      </c>
      <c r="K58" s="203"/>
      <c r="L58" s="207">
        <v>1</v>
      </c>
    </row>
    <row r="59" ht="15" spans="1:12">
      <c r="A59" s="231"/>
      <c r="B59" s="201"/>
      <c r="C59" s="58"/>
      <c r="D59" s="58"/>
      <c r="E59" s="220"/>
      <c r="F59" s="216"/>
      <c r="G59" s="58">
        <v>4</v>
      </c>
      <c r="H59" s="212"/>
      <c r="I59" s="16" t="s">
        <v>64</v>
      </c>
      <c r="J59" s="202"/>
      <c r="K59" s="203"/>
      <c r="L59" s="207">
        <v>1</v>
      </c>
    </row>
    <row r="60" ht="15" spans="1:12">
      <c r="A60" s="231"/>
      <c r="B60" s="201"/>
      <c r="C60" s="58"/>
      <c r="D60" s="58"/>
      <c r="E60" s="39" t="s">
        <v>170</v>
      </c>
      <c r="F60" s="39"/>
      <c r="G60" s="39"/>
      <c r="H60" s="39"/>
      <c r="I60" s="39"/>
      <c r="J60" s="47"/>
      <c r="K60" s="48"/>
      <c r="L60" s="49">
        <f>SUM(L57:L59)</f>
        <v>3</v>
      </c>
    </row>
    <row r="61" ht="15.6" spans="1:12">
      <c r="A61" s="231"/>
      <c r="B61" s="201"/>
      <c r="C61" s="58"/>
      <c r="D61" s="58"/>
      <c r="E61" s="203" t="s">
        <v>171</v>
      </c>
      <c r="F61" s="203"/>
      <c r="G61" s="203"/>
      <c r="H61" s="205"/>
      <c r="I61" s="58"/>
      <c r="J61" s="206"/>
      <c r="K61" s="203"/>
      <c r="L61" s="207"/>
    </row>
    <row r="62" ht="15" spans="1:12">
      <c r="A62" s="232"/>
      <c r="B62" s="201"/>
      <c r="C62" s="58"/>
      <c r="D62" s="58"/>
      <c r="E62" s="203"/>
      <c r="F62" s="203"/>
      <c r="G62" s="203"/>
      <c r="H62" s="204"/>
      <c r="I62" s="203"/>
      <c r="J62" s="206"/>
      <c r="K62" s="203"/>
      <c r="L62" s="207"/>
    </row>
  </sheetData>
  <mergeCells count="76">
    <mergeCell ref="E5:H5"/>
    <mergeCell ref="E11:H11"/>
    <mergeCell ref="E22:H22"/>
    <mergeCell ref="E28:H28"/>
    <mergeCell ref="E36:H36"/>
    <mergeCell ref="E43:H43"/>
    <mergeCell ref="E54:H54"/>
    <mergeCell ref="E60:H60"/>
    <mergeCell ref="A2:A7"/>
    <mergeCell ref="A8:A13"/>
    <mergeCell ref="A14:A24"/>
    <mergeCell ref="A25:A30"/>
    <mergeCell ref="A31:A38"/>
    <mergeCell ref="A39:A45"/>
    <mergeCell ref="A46:A56"/>
    <mergeCell ref="A57:A62"/>
    <mergeCell ref="B2:B7"/>
    <mergeCell ref="B8:B13"/>
    <mergeCell ref="B14:B24"/>
    <mergeCell ref="B25:B30"/>
    <mergeCell ref="B31:B38"/>
    <mergeCell ref="B39:B45"/>
    <mergeCell ref="B46:B56"/>
    <mergeCell ref="B57:B62"/>
    <mergeCell ref="C2:C7"/>
    <mergeCell ref="C8:C13"/>
    <mergeCell ref="C14:C24"/>
    <mergeCell ref="C25:C30"/>
    <mergeCell ref="C31:C38"/>
    <mergeCell ref="C39:C45"/>
    <mergeCell ref="C46:C56"/>
    <mergeCell ref="C57:C62"/>
    <mergeCell ref="D2:D7"/>
    <mergeCell ref="D8:D13"/>
    <mergeCell ref="D14:D24"/>
    <mergeCell ref="D25:D30"/>
    <mergeCell ref="D31:D38"/>
    <mergeCell ref="D39:D45"/>
    <mergeCell ref="D46:D56"/>
    <mergeCell ref="D57:D62"/>
    <mergeCell ref="E2:E4"/>
    <mergeCell ref="E6:E7"/>
    <mergeCell ref="E8:E9"/>
    <mergeCell ref="E12:E13"/>
    <mergeCell ref="E14:E16"/>
    <mergeCell ref="E23:E24"/>
    <mergeCell ref="E25:E27"/>
    <mergeCell ref="E29:E30"/>
    <mergeCell ref="E31:E35"/>
    <mergeCell ref="E37:E38"/>
    <mergeCell ref="E39:E42"/>
    <mergeCell ref="E44:E45"/>
    <mergeCell ref="E46:E53"/>
    <mergeCell ref="E55:E56"/>
    <mergeCell ref="E57:E59"/>
    <mergeCell ref="E61:E62"/>
    <mergeCell ref="F2:F4"/>
    <mergeCell ref="F6:F7"/>
    <mergeCell ref="F8:F9"/>
    <mergeCell ref="F12:F13"/>
    <mergeCell ref="F14:F16"/>
    <mergeCell ref="F23:F24"/>
    <mergeCell ref="F25:F27"/>
    <mergeCell ref="F29:F30"/>
    <mergeCell ref="F31:F35"/>
    <mergeCell ref="F37:F38"/>
    <mergeCell ref="F39:F42"/>
    <mergeCell ref="F44:F45"/>
    <mergeCell ref="F46:F53"/>
    <mergeCell ref="F55:F56"/>
    <mergeCell ref="F57:F59"/>
    <mergeCell ref="F61:F62"/>
    <mergeCell ref="G17:G19"/>
    <mergeCell ref="G20:G21"/>
    <mergeCell ref="H17:H19"/>
    <mergeCell ref="H20:H2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3"/>
  <sheetViews>
    <sheetView workbookViewId="0">
      <pane ySplit="1" topLeftCell="A2" activePane="bottomLeft" state="frozen"/>
      <selection/>
      <selection pane="bottomLeft" activeCell="C15" sqref="C15:C23"/>
    </sheetView>
  </sheetViews>
  <sheetFormatPr defaultColWidth="8.71296296296296" defaultRowHeight="13.2"/>
  <cols>
    <col min="1" max="1" width="22.4259259259259" style="76" customWidth="1"/>
    <col min="2" max="2" width="11.7222222222222" style="76" customWidth="1"/>
    <col min="3" max="7" width="9.14814814814815" style="76"/>
    <col min="8" max="8" width="59.7222222222222" style="76" customWidth="1"/>
    <col min="9" max="11" width="9.14814814814815" style="76"/>
    <col min="12" max="12" width="19.5740740740741" style="77" customWidth="1"/>
    <col min="13" max="16384" width="9.14814814814815" style="76"/>
  </cols>
  <sheetData>
    <row r="1" ht="69.6" spans="1:26">
      <c r="A1" s="142" t="s">
        <v>146</v>
      </c>
      <c r="B1" s="143" t="s">
        <v>6</v>
      </c>
      <c r="C1" s="142" t="s">
        <v>147</v>
      </c>
      <c r="D1" s="142" t="s">
        <v>148</v>
      </c>
      <c r="E1" s="143" t="s">
        <v>149</v>
      </c>
      <c r="F1" s="142" t="s">
        <v>150</v>
      </c>
      <c r="G1" s="142" t="s">
        <v>1</v>
      </c>
      <c r="H1" s="144" t="s">
        <v>151</v>
      </c>
      <c r="I1" s="142" t="s">
        <v>152</v>
      </c>
      <c r="J1" s="145" t="s">
        <v>153</v>
      </c>
      <c r="K1" s="142" t="s">
        <v>154</v>
      </c>
      <c r="L1" s="146" t="s">
        <v>155</v>
      </c>
      <c r="M1" s="147"/>
      <c r="N1" s="147"/>
      <c r="O1" s="147"/>
      <c r="P1" s="147"/>
      <c r="Q1" s="147"/>
      <c r="R1" s="147"/>
      <c r="S1" s="147"/>
      <c r="T1" s="147"/>
      <c r="U1" s="147"/>
      <c r="V1" s="147"/>
      <c r="W1" s="147"/>
      <c r="X1" s="147"/>
      <c r="Y1" s="147"/>
      <c r="Z1" s="147"/>
    </row>
    <row r="2" ht="15.6" spans="1:26">
      <c r="A2" s="142" t="s">
        <v>240</v>
      </c>
      <c r="B2" s="201" t="s">
        <v>61</v>
      </c>
      <c r="C2" s="202">
        <v>1</v>
      </c>
      <c r="D2" s="58"/>
      <c r="E2" s="203" t="s">
        <v>173</v>
      </c>
      <c r="F2" s="58" t="s">
        <v>197</v>
      </c>
      <c r="G2" s="58">
        <v>1</v>
      </c>
      <c r="H2" s="204" t="s">
        <v>241</v>
      </c>
      <c r="I2" s="16" t="s">
        <v>242</v>
      </c>
      <c r="J2" s="202">
        <v>1</v>
      </c>
      <c r="K2" s="203"/>
      <c r="L2" s="201">
        <v>2</v>
      </c>
    </row>
    <row r="3" ht="15.6" spans="1:26">
      <c r="A3" s="142"/>
      <c r="B3" s="201"/>
      <c r="C3" s="202"/>
      <c r="D3" s="58"/>
      <c r="E3" s="203"/>
      <c r="F3" s="58"/>
      <c r="G3" s="58">
        <v>2</v>
      </c>
      <c r="H3" s="204" t="s">
        <v>243</v>
      </c>
      <c r="I3" s="16" t="s">
        <v>61</v>
      </c>
      <c r="J3" s="202">
        <v>1</v>
      </c>
      <c r="K3" s="203"/>
      <c r="L3" s="201">
        <v>1</v>
      </c>
    </row>
    <row r="4" ht="15.6" spans="1:26">
      <c r="A4" s="142"/>
      <c r="B4" s="201"/>
      <c r="C4" s="202"/>
      <c r="D4" s="58"/>
      <c r="E4" s="203"/>
      <c r="F4" s="58"/>
      <c r="G4" s="58"/>
      <c r="H4" s="204"/>
      <c r="I4" s="16" t="s">
        <v>244</v>
      </c>
      <c r="J4" s="202"/>
      <c r="K4" s="203"/>
      <c r="L4" s="201">
        <v>1</v>
      </c>
    </row>
    <row r="5" ht="27" customHeight="1" spans="1:26">
      <c r="A5" s="142"/>
      <c r="B5" s="201"/>
      <c r="C5" s="202"/>
      <c r="D5" s="58"/>
      <c r="E5" s="39" t="s">
        <v>170</v>
      </c>
      <c r="F5" s="39"/>
      <c r="G5" s="39"/>
      <c r="H5" s="39"/>
      <c r="I5" s="39"/>
      <c r="J5" s="47"/>
      <c r="K5" s="48"/>
      <c r="L5" s="49">
        <f>SUM(L2:L4)</f>
        <v>4</v>
      </c>
    </row>
    <row r="6" ht="15.6" spans="1:26">
      <c r="A6" s="142"/>
      <c r="B6" s="201"/>
      <c r="C6" s="202"/>
      <c r="D6" s="58"/>
      <c r="E6" s="203" t="s">
        <v>171</v>
      </c>
      <c r="F6" s="203" t="s">
        <v>197</v>
      </c>
      <c r="G6" s="203">
        <v>1</v>
      </c>
      <c r="H6" s="205" t="s">
        <v>245</v>
      </c>
      <c r="I6" s="58" t="s">
        <v>242</v>
      </c>
      <c r="J6" s="206"/>
      <c r="K6" s="203"/>
      <c r="L6" s="207"/>
    </row>
    <row r="7" ht="15" spans="1:26">
      <c r="A7" s="208"/>
      <c r="B7" s="209"/>
      <c r="C7" s="210"/>
      <c r="D7" s="164"/>
      <c r="E7" s="211"/>
      <c r="F7" s="211"/>
      <c r="G7" s="203">
        <v>2</v>
      </c>
      <c r="H7" s="212" t="s">
        <v>246</v>
      </c>
      <c r="I7" s="16" t="s">
        <v>244</v>
      </c>
      <c r="J7" s="202"/>
      <c r="K7" s="203"/>
      <c r="L7" s="207"/>
    </row>
    <row r="8" ht="15" spans="1:26">
      <c r="A8" s="208" t="s">
        <v>247</v>
      </c>
      <c r="B8" s="209" t="s">
        <v>64</v>
      </c>
      <c r="C8" s="210">
        <v>0.9</v>
      </c>
      <c r="D8" s="164"/>
      <c r="E8" s="211" t="s">
        <v>173</v>
      </c>
      <c r="F8" s="164" t="s">
        <v>56</v>
      </c>
      <c r="G8" s="58">
        <v>1</v>
      </c>
      <c r="H8" s="212" t="s">
        <v>248</v>
      </c>
      <c r="I8" s="16" t="s">
        <v>244</v>
      </c>
      <c r="J8" s="202">
        <v>1</v>
      </c>
      <c r="K8" s="203"/>
      <c r="L8" s="207">
        <v>2</v>
      </c>
    </row>
    <row r="9" ht="15" spans="1:26">
      <c r="A9" s="213"/>
      <c r="B9" s="214"/>
      <c r="C9" s="215"/>
      <c r="D9" s="216"/>
      <c r="E9" s="211"/>
      <c r="F9" s="164"/>
      <c r="G9" s="58">
        <v>2</v>
      </c>
      <c r="H9" s="204" t="s">
        <v>249</v>
      </c>
      <c r="I9" s="16" t="s">
        <v>250</v>
      </c>
      <c r="J9" s="202">
        <v>0.9</v>
      </c>
      <c r="K9" s="203"/>
      <c r="L9" s="207">
        <v>4</v>
      </c>
    </row>
    <row r="10" ht="15" spans="1:26">
      <c r="A10" s="213"/>
      <c r="B10" s="214"/>
      <c r="C10" s="215"/>
      <c r="D10" s="216"/>
      <c r="E10" s="211"/>
      <c r="F10" s="164"/>
      <c r="G10" s="58"/>
      <c r="H10" s="204"/>
      <c r="I10" s="16" t="s">
        <v>218</v>
      </c>
      <c r="J10" s="202"/>
      <c r="K10" s="203"/>
      <c r="L10" s="207">
        <v>5</v>
      </c>
    </row>
    <row r="11" ht="15" spans="1:26">
      <c r="A11" s="213"/>
      <c r="B11" s="214"/>
      <c r="C11" s="215"/>
      <c r="D11" s="216"/>
      <c r="E11" s="211"/>
      <c r="F11" s="164"/>
      <c r="G11" s="58">
        <v>3</v>
      </c>
      <c r="H11" s="212" t="s">
        <v>251</v>
      </c>
      <c r="I11" s="16" t="s">
        <v>237</v>
      </c>
      <c r="J11" s="202">
        <v>1</v>
      </c>
      <c r="K11" s="203"/>
      <c r="L11" s="207">
        <v>0.5</v>
      </c>
    </row>
    <row r="12" ht="15" spans="1:26">
      <c r="A12" s="213"/>
      <c r="B12" s="214"/>
      <c r="C12" s="215"/>
      <c r="D12" s="216"/>
      <c r="E12" s="39" t="s">
        <v>170</v>
      </c>
      <c r="F12" s="39"/>
      <c r="G12" s="39"/>
      <c r="H12" s="39"/>
      <c r="I12" s="39"/>
      <c r="J12" s="47"/>
      <c r="K12" s="48"/>
      <c r="L12" s="49">
        <f>SUM(L8:L11)</f>
        <v>11.5</v>
      </c>
    </row>
    <row r="13" ht="15" spans="1:26">
      <c r="A13" s="213"/>
      <c r="B13" s="214"/>
      <c r="C13" s="215"/>
      <c r="D13" s="216"/>
      <c r="E13" s="211" t="s">
        <v>171</v>
      </c>
      <c r="F13" s="164" t="s">
        <v>56</v>
      </c>
      <c r="G13" s="58">
        <v>1</v>
      </c>
      <c r="H13" s="212" t="s">
        <v>252</v>
      </c>
      <c r="I13" s="16" t="s">
        <v>253</v>
      </c>
      <c r="J13" s="217"/>
      <c r="K13" s="203"/>
      <c r="L13" s="207"/>
    </row>
    <row r="14" ht="15" spans="1:26">
      <c r="A14" s="213"/>
      <c r="B14" s="214"/>
      <c r="C14" s="215"/>
      <c r="D14" s="216"/>
      <c r="E14" s="211"/>
      <c r="F14" s="164"/>
      <c r="G14" s="58">
        <v>2</v>
      </c>
      <c r="H14" s="204" t="s">
        <v>254</v>
      </c>
      <c r="I14" s="16" t="s">
        <v>244</v>
      </c>
      <c r="J14" s="202"/>
      <c r="K14" s="203"/>
      <c r="L14" s="207"/>
    </row>
    <row r="15" ht="15" spans="1:26">
      <c r="A15" s="142" t="s">
        <v>255</v>
      </c>
      <c r="B15" s="201" t="s">
        <v>144</v>
      </c>
      <c r="C15" s="58"/>
      <c r="D15" s="58"/>
      <c r="E15" s="203" t="s">
        <v>173</v>
      </c>
      <c r="F15" s="58" t="s">
        <v>134</v>
      </c>
      <c r="G15" s="58">
        <v>1</v>
      </c>
      <c r="H15" s="204" t="s">
        <v>256</v>
      </c>
      <c r="I15" s="16" t="s">
        <v>257</v>
      </c>
      <c r="J15" s="202">
        <v>0.95</v>
      </c>
      <c r="K15" s="203"/>
      <c r="L15" s="207">
        <v>5</v>
      </c>
    </row>
    <row r="16" ht="15" spans="1:26">
      <c r="A16" s="142"/>
      <c r="B16" s="201"/>
      <c r="C16" s="58"/>
      <c r="D16" s="58"/>
      <c r="E16" s="203"/>
      <c r="F16" s="58"/>
      <c r="G16" s="58"/>
      <c r="H16" s="204"/>
      <c r="I16" s="16" t="s">
        <v>41</v>
      </c>
      <c r="J16" s="202"/>
      <c r="K16" s="203"/>
      <c r="L16" s="207">
        <v>2</v>
      </c>
    </row>
    <row r="17" ht="15" spans="1:12">
      <c r="A17" s="142"/>
      <c r="B17" s="201"/>
      <c r="C17" s="58"/>
      <c r="D17" s="58"/>
      <c r="E17" s="203"/>
      <c r="F17" s="58"/>
      <c r="G17" s="58"/>
      <c r="H17" s="204"/>
      <c r="I17" s="16" t="s">
        <v>250</v>
      </c>
      <c r="J17" s="202"/>
      <c r="K17" s="203"/>
      <c r="L17" s="207">
        <v>1</v>
      </c>
    </row>
    <row r="18" ht="15" spans="1:12">
      <c r="A18" s="142"/>
      <c r="B18" s="201"/>
      <c r="C18" s="58"/>
      <c r="D18" s="58"/>
      <c r="E18" s="203"/>
      <c r="F18" s="58"/>
      <c r="G18" s="58"/>
      <c r="H18" s="204"/>
      <c r="I18" s="16" t="s">
        <v>258</v>
      </c>
      <c r="J18" s="202"/>
      <c r="K18" s="203"/>
      <c r="L18" s="207">
        <v>5</v>
      </c>
    </row>
    <row r="19" ht="15" spans="1:12">
      <c r="A19" s="142"/>
      <c r="B19" s="201"/>
      <c r="C19" s="58"/>
      <c r="D19" s="58"/>
      <c r="E19" s="203"/>
      <c r="F19" s="58"/>
      <c r="G19" s="58"/>
      <c r="H19" s="204"/>
      <c r="I19" s="16" t="s">
        <v>61</v>
      </c>
      <c r="J19" s="202"/>
      <c r="K19" s="203"/>
      <c r="L19" s="207">
        <v>1</v>
      </c>
    </row>
    <row r="20" ht="15" spans="1:12">
      <c r="A20" s="142"/>
      <c r="B20" s="201"/>
      <c r="C20" s="58"/>
      <c r="D20" s="58"/>
      <c r="E20" s="203"/>
      <c r="F20" s="58"/>
      <c r="G20" s="58"/>
      <c r="H20" s="204"/>
      <c r="I20" s="16" t="s">
        <v>244</v>
      </c>
      <c r="J20" s="202"/>
      <c r="K20" s="203"/>
      <c r="L20" s="207">
        <v>2</v>
      </c>
    </row>
    <row r="21" ht="15" spans="1:12">
      <c r="A21" s="142"/>
      <c r="B21" s="201"/>
      <c r="C21" s="58"/>
      <c r="D21" s="58"/>
      <c r="E21" s="39" t="s">
        <v>170</v>
      </c>
      <c r="F21" s="39"/>
      <c r="G21" s="39"/>
      <c r="H21" s="39"/>
      <c r="I21" s="39"/>
      <c r="J21" s="47"/>
      <c r="K21" s="48"/>
      <c r="L21" s="49">
        <f>SUM(L15:L20)</f>
        <v>16</v>
      </c>
    </row>
    <row r="22" ht="15" spans="1:12">
      <c r="A22" s="142"/>
      <c r="B22" s="201"/>
      <c r="C22" s="58"/>
      <c r="D22" s="58"/>
      <c r="E22" s="203" t="s">
        <v>171</v>
      </c>
      <c r="F22" s="203" t="s">
        <v>134</v>
      </c>
      <c r="G22" s="58">
        <v>1</v>
      </c>
      <c r="H22" s="212" t="s">
        <v>259</v>
      </c>
      <c r="I22" s="16" t="s">
        <v>61</v>
      </c>
      <c r="J22" s="206"/>
      <c r="K22" s="203"/>
      <c r="L22" s="207"/>
    </row>
    <row r="23" ht="15" spans="1:12">
      <c r="A23" s="142"/>
      <c r="B23" s="201"/>
      <c r="C23" s="58"/>
      <c r="D23" s="58"/>
      <c r="E23" s="203"/>
      <c r="F23" s="203"/>
      <c r="G23" s="58">
        <v>2</v>
      </c>
      <c r="H23" s="204" t="s">
        <v>260</v>
      </c>
      <c r="I23" s="16" t="s">
        <v>244</v>
      </c>
      <c r="J23" s="206"/>
      <c r="K23" s="203"/>
      <c r="L23" s="207"/>
    </row>
  </sheetData>
  <mergeCells count="36">
    <mergeCell ref="E5:H5"/>
    <mergeCell ref="E12:H12"/>
    <mergeCell ref="E21:H21"/>
    <mergeCell ref="A2:A7"/>
    <mergeCell ref="A8:A14"/>
    <mergeCell ref="A15:A23"/>
    <mergeCell ref="B2:B7"/>
    <mergeCell ref="B8:B14"/>
    <mergeCell ref="B15:B23"/>
    <mergeCell ref="C2:C7"/>
    <mergeCell ref="C8:C14"/>
    <mergeCell ref="C15:C23"/>
    <mergeCell ref="D2:D7"/>
    <mergeCell ref="D8:D14"/>
    <mergeCell ref="D15:D23"/>
    <mergeCell ref="E2:E4"/>
    <mergeCell ref="E6:E7"/>
    <mergeCell ref="E8:E11"/>
    <mergeCell ref="E13:E14"/>
    <mergeCell ref="E15:E20"/>
    <mergeCell ref="E22:E23"/>
    <mergeCell ref="F2:F4"/>
    <mergeCell ref="F6:F7"/>
    <mergeCell ref="F8:F11"/>
    <mergeCell ref="F13:F14"/>
    <mergeCell ref="F15:F20"/>
    <mergeCell ref="F22:F23"/>
    <mergeCell ref="G3:G4"/>
    <mergeCell ref="G9:G10"/>
    <mergeCell ref="G15:G20"/>
    <mergeCell ref="H3:H4"/>
    <mergeCell ref="H9:H10"/>
    <mergeCell ref="H15:H20"/>
    <mergeCell ref="J3:J4"/>
    <mergeCell ref="J9:J10"/>
    <mergeCell ref="J15:J20"/>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H12" sqref="H12"/>
    </sheetView>
  </sheetViews>
  <sheetFormatPr defaultColWidth="9.13888888888889" defaultRowHeight="13.2"/>
  <cols>
    <col min="1" max="1" width="22.4259259259259" style="76" customWidth="1"/>
    <col min="2" max="2" width="11.712962962963" style="76" customWidth="1"/>
    <col min="3" max="3" width="12.5" style="76"/>
    <col min="4" max="7" width="9.13888888888889" style="76"/>
    <col min="8" max="8" width="59.712962962963" style="76" customWidth="1"/>
    <col min="9" max="11" width="9.13888888888889" style="76"/>
    <col min="12" max="12" width="19.5740740740741" style="77" customWidth="1"/>
    <col min="13" max="16384" width="9.13888888888889" style="76"/>
  </cols>
  <sheetData>
    <row r="1" ht="51.75" customHeight="1" spans="1:26">
      <c r="A1" s="142" t="s">
        <v>146</v>
      </c>
      <c r="B1" s="143" t="s">
        <v>6</v>
      </c>
      <c r="C1" s="142" t="s">
        <v>147</v>
      </c>
      <c r="D1" s="142" t="s">
        <v>148</v>
      </c>
      <c r="E1" s="143" t="s">
        <v>149</v>
      </c>
      <c r="F1" s="142" t="s">
        <v>150</v>
      </c>
      <c r="G1" s="142" t="s">
        <v>1</v>
      </c>
      <c r="H1" s="144" t="s">
        <v>151</v>
      </c>
      <c r="I1" s="142" t="s">
        <v>152</v>
      </c>
      <c r="J1" s="145" t="s">
        <v>153</v>
      </c>
      <c r="K1" s="142" t="s">
        <v>154</v>
      </c>
      <c r="L1" s="146" t="s">
        <v>155</v>
      </c>
      <c r="M1" s="147"/>
      <c r="N1" s="147"/>
      <c r="O1" s="147"/>
      <c r="P1" s="147"/>
      <c r="Q1" s="147"/>
      <c r="R1" s="147"/>
      <c r="S1" s="147"/>
      <c r="T1" s="147"/>
      <c r="U1" s="147"/>
      <c r="V1" s="147"/>
      <c r="W1" s="147"/>
      <c r="X1" s="147"/>
      <c r="Y1" s="147"/>
      <c r="Z1" s="147"/>
    </row>
    <row r="2" ht="15" spans="1:26">
      <c r="A2" s="148" t="s">
        <v>261</v>
      </c>
      <c r="B2" s="149" t="s">
        <v>71</v>
      </c>
      <c r="C2" s="150" t="s">
        <v>192</v>
      </c>
      <c r="D2" s="151"/>
      <c r="E2" s="152" t="s">
        <v>173</v>
      </c>
      <c r="F2" s="151" t="s">
        <v>56</v>
      </c>
      <c r="G2" s="153">
        <v>1</v>
      </c>
      <c r="H2" s="154" t="s">
        <v>262</v>
      </c>
      <c r="I2" s="155" t="s">
        <v>81</v>
      </c>
      <c r="J2" s="72">
        <v>0.4</v>
      </c>
      <c r="K2" s="156"/>
      <c r="L2" s="157">
        <v>4</v>
      </c>
    </row>
    <row r="3" ht="15" spans="1:26">
      <c r="A3" s="158"/>
      <c r="B3" s="159"/>
      <c r="C3" s="160"/>
      <c r="D3" s="156"/>
      <c r="E3" s="161"/>
      <c r="F3" s="156"/>
      <c r="G3" s="58">
        <v>2</v>
      </c>
      <c r="H3" s="61"/>
      <c r="I3" s="155"/>
      <c r="J3" s="72"/>
      <c r="K3" s="156"/>
      <c r="L3" s="157"/>
    </row>
    <row r="4" ht="15" spans="1:26">
      <c r="A4" s="158"/>
      <c r="B4" s="159"/>
      <c r="C4" s="160"/>
      <c r="D4" s="156"/>
      <c r="E4" s="162"/>
      <c r="F4" s="163"/>
      <c r="G4" s="164">
        <v>3</v>
      </c>
      <c r="H4" s="141"/>
      <c r="I4" s="155"/>
      <c r="J4" s="72"/>
      <c r="K4" s="155"/>
      <c r="L4" s="157"/>
    </row>
    <row r="5" ht="15" spans="1:26">
      <c r="A5" s="158"/>
      <c r="B5" s="159"/>
      <c r="C5" s="160"/>
      <c r="D5" s="156"/>
      <c r="E5" s="165" t="s">
        <v>170</v>
      </c>
      <c r="F5" s="166"/>
      <c r="G5" s="166"/>
      <c r="H5" s="167"/>
      <c r="I5" s="168"/>
      <c r="J5" s="169"/>
      <c r="K5" s="170"/>
      <c r="L5" s="171">
        <f>SUM(L2:L4)</f>
        <v>4</v>
      </c>
    </row>
    <row r="6" ht="15.6" spans="1:26">
      <c r="A6" s="158"/>
      <c r="B6" s="159"/>
      <c r="C6" s="160"/>
      <c r="D6" s="156"/>
      <c r="E6" s="152" t="s">
        <v>171</v>
      </c>
      <c r="F6" s="172" t="s">
        <v>56</v>
      </c>
      <c r="G6" s="153">
        <v>1</v>
      </c>
      <c r="H6" s="173"/>
      <c r="I6" s="156"/>
      <c r="J6" s="174"/>
      <c r="K6" s="161"/>
      <c r="L6" s="157"/>
    </row>
    <row r="7" ht="15.6" spans="1:26">
      <c r="A7" s="158"/>
      <c r="B7" s="159"/>
      <c r="C7" s="160"/>
      <c r="D7" s="156"/>
      <c r="E7" s="161"/>
      <c r="F7" s="175"/>
      <c r="G7" s="58">
        <v>2</v>
      </c>
      <c r="H7" s="176"/>
      <c r="I7" s="161"/>
      <c r="J7" s="174"/>
      <c r="K7" s="161"/>
      <c r="L7" s="157"/>
    </row>
    <row r="8" ht="35" customHeight="1" spans="1:26">
      <c r="A8" s="148" t="s">
        <v>263</v>
      </c>
      <c r="B8" s="149" t="s">
        <v>71</v>
      </c>
      <c r="C8" s="150" t="s">
        <v>264</v>
      </c>
      <c r="D8" s="151"/>
      <c r="E8" s="152" t="s">
        <v>173</v>
      </c>
      <c r="F8" s="151" t="s">
        <v>56</v>
      </c>
      <c r="G8" s="58">
        <v>1</v>
      </c>
      <c r="H8" s="177" t="s">
        <v>265</v>
      </c>
      <c r="I8" s="178" t="s">
        <v>81</v>
      </c>
      <c r="J8" s="72">
        <v>0.3</v>
      </c>
      <c r="K8" s="156"/>
      <c r="L8" s="157">
        <v>1</v>
      </c>
    </row>
    <row r="9" ht="33" customHeight="1" spans="1:26">
      <c r="A9" s="148"/>
      <c r="B9" s="149"/>
      <c r="C9" s="150"/>
      <c r="D9" s="151"/>
      <c r="E9" s="152"/>
      <c r="F9" s="151"/>
      <c r="G9" s="58">
        <v>2</v>
      </c>
      <c r="H9" s="179"/>
      <c r="I9" s="178" t="s">
        <v>266</v>
      </c>
      <c r="J9" s="72">
        <v>0.3</v>
      </c>
      <c r="K9" s="156"/>
      <c r="L9" s="157">
        <v>1</v>
      </c>
    </row>
    <row r="10" ht="39" customHeight="1" spans="1:26">
      <c r="A10" s="148"/>
      <c r="B10" s="149"/>
      <c r="C10" s="150"/>
      <c r="D10" s="151"/>
      <c r="E10" s="152"/>
      <c r="F10" s="151"/>
      <c r="G10" s="58">
        <v>3</v>
      </c>
      <c r="H10" s="179"/>
      <c r="I10" s="178" t="s">
        <v>71</v>
      </c>
      <c r="J10" s="72">
        <v>0.3</v>
      </c>
      <c r="K10" s="156"/>
      <c r="L10" s="157">
        <v>1</v>
      </c>
    </row>
    <row r="11" ht="24" customHeight="1" spans="1:26">
      <c r="A11" s="148"/>
      <c r="B11" s="149"/>
      <c r="C11" s="150"/>
      <c r="D11" s="151"/>
      <c r="E11" s="152"/>
      <c r="F11" s="151"/>
      <c r="G11" s="58">
        <v>4</v>
      </c>
      <c r="H11" s="179"/>
      <c r="I11" s="178" t="s">
        <v>267</v>
      </c>
      <c r="J11" s="72">
        <v>0.3</v>
      </c>
      <c r="K11" s="156"/>
      <c r="L11" s="157">
        <v>2.5</v>
      </c>
    </row>
    <row r="12" ht="21" customHeight="1" spans="1:26">
      <c r="A12" s="148"/>
      <c r="B12" s="149"/>
      <c r="C12" s="150"/>
      <c r="D12" s="151"/>
      <c r="E12" s="152"/>
      <c r="F12" s="151"/>
      <c r="G12" s="58">
        <v>5</v>
      </c>
      <c r="H12" s="180"/>
      <c r="I12" s="178"/>
      <c r="J12" s="72"/>
      <c r="K12" s="156"/>
      <c r="L12" s="157"/>
    </row>
    <row r="13" ht="15" spans="1:26">
      <c r="A13" s="148"/>
      <c r="B13" s="149"/>
      <c r="C13" s="150"/>
      <c r="D13" s="151"/>
      <c r="E13" s="181" t="s">
        <v>170</v>
      </c>
      <c r="F13" s="181"/>
      <c r="G13" s="181"/>
      <c r="H13" s="181"/>
      <c r="I13" s="181"/>
      <c r="J13" s="169"/>
      <c r="K13" s="170"/>
      <c r="L13" s="171">
        <f>SUM(L8:L12)</f>
        <v>5.5</v>
      </c>
    </row>
    <row r="14" ht="15" spans="1:26">
      <c r="A14" s="148"/>
      <c r="B14" s="149"/>
      <c r="C14" s="150"/>
      <c r="D14" s="151"/>
      <c r="E14" s="161" t="s">
        <v>171</v>
      </c>
      <c r="F14" s="161" t="s">
        <v>56</v>
      </c>
      <c r="G14" s="58">
        <v>1</v>
      </c>
      <c r="H14" s="182"/>
      <c r="I14" s="178"/>
      <c r="J14" s="183"/>
      <c r="K14" s="161"/>
      <c r="L14" s="157"/>
    </row>
    <row r="15" ht="15" spans="1:26">
      <c r="A15" s="148"/>
      <c r="B15" s="149"/>
      <c r="C15" s="150"/>
      <c r="D15" s="151"/>
      <c r="E15" s="161"/>
      <c r="F15" s="161"/>
      <c r="G15" s="58">
        <v>2</v>
      </c>
      <c r="H15" s="182"/>
      <c r="I15" s="178"/>
      <c r="J15" s="183"/>
      <c r="K15" s="161"/>
      <c r="L15" s="157"/>
    </row>
    <row r="16" ht="49" customHeight="1" spans="1:26">
      <c r="A16" s="158" t="s">
        <v>268</v>
      </c>
      <c r="B16" s="159" t="s">
        <v>71</v>
      </c>
      <c r="C16" s="160" t="s">
        <v>269</v>
      </c>
      <c r="D16" s="156"/>
      <c r="E16" s="162" t="s">
        <v>173</v>
      </c>
      <c r="F16" s="163" t="s">
        <v>56</v>
      </c>
      <c r="G16" s="58">
        <v>1</v>
      </c>
      <c r="H16" s="184" t="s">
        <v>270</v>
      </c>
      <c r="I16" s="178" t="s">
        <v>71</v>
      </c>
      <c r="J16" s="72">
        <v>0.35</v>
      </c>
      <c r="K16" s="156"/>
      <c r="L16" s="157">
        <v>4</v>
      </c>
    </row>
    <row r="17" ht="39" customHeight="1" spans="1:12">
      <c r="A17" s="158"/>
      <c r="B17" s="159"/>
      <c r="C17" s="160"/>
      <c r="D17" s="156"/>
      <c r="E17" s="162"/>
      <c r="F17" s="163"/>
      <c r="G17" s="58">
        <v>2</v>
      </c>
      <c r="H17" s="185"/>
      <c r="I17" s="178" t="s">
        <v>267</v>
      </c>
      <c r="J17" s="72">
        <v>0.35</v>
      </c>
      <c r="K17" s="156"/>
      <c r="L17" s="157">
        <v>2.5</v>
      </c>
    </row>
    <row r="18" ht="33" customHeight="1" spans="1:12">
      <c r="A18" s="158"/>
      <c r="B18" s="159"/>
      <c r="C18" s="160"/>
      <c r="D18" s="156"/>
      <c r="E18" s="162"/>
      <c r="F18" s="163"/>
      <c r="G18" s="58">
        <v>3</v>
      </c>
      <c r="H18" s="186"/>
      <c r="I18" s="178" t="s">
        <v>266</v>
      </c>
      <c r="J18" s="72">
        <v>0.35</v>
      </c>
      <c r="K18" s="156"/>
      <c r="L18" s="157">
        <v>3.5</v>
      </c>
    </row>
    <row r="19" ht="15" spans="1:12">
      <c r="A19" s="158"/>
      <c r="B19" s="159"/>
      <c r="C19" s="160"/>
      <c r="D19" s="156"/>
      <c r="E19" s="181" t="s">
        <v>170</v>
      </c>
      <c r="F19" s="181"/>
      <c r="G19" s="181"/>
      <c r="H19" s="181"/>
      <c r="I19" s="181"/>
      <c r="J19" s="169"/>
      <c r="K19" s="170"/>
      <c r="L19" s="171">
        <f>SUM(L16:L18)</f>
        <v>10</v>
      </c>
    </row>
    <row r="20" ht="15" spans="1:12">
      <c r="A20" s="158"/>
      <c r="B20" s="159"/>
      <c r="C20" s="160"/>
      <c r="D20" s="156"/>
      <c r="E20" s="161" t="s">
        <v>171</v>
      </c>
      <c r="F20" s="161" t="s">
        <v>56</v>
      </c>
      <c r="G20" s="58">
        <v>1</v>
      </c>
      <c r="H20" s="182"/>
      <c r="I20" s="178"/>
      <c r="J20" s="183"/>
      <c r="K20" s="161"/>
      <c r="L20" s="157"/>
    </row>
    <row r="21" ht="15" spans="1:12">
      <c r="A21" s="158"/>
      <c r="B21" s="159"/>
      <c r="C21" s="160"/>
      <c r="D21" s="156"/>
      <c r="E21" s="161"/>
      <c r="F21" s="161"/>
      <c r="G21" s="58">
        <v>2</v>
      </c>
      <c r="H21" s="187"/>
      <c r="I21" s="178"/>
      <c r="J21" s="183"/>
      <c r="K21" s="161"/>
      <c r="L21" s="157"/>
    </row>
    <row r="22" ht="15" spans="1:12">
      <c r="A22" s="188" t="s">
        <v>271</v>
      </c>
      <c r="B22" s="189" t="s">
        <v>81</v>
      </c>
      <c r="C22" s="190" t="s">
        <v>192</v>
      </c>
      <c r="D22" s="191"/>
      <c r="E22" s="192" t="s">
        <v>173</v>
      </c>
      <c r="F22" s="191" t="s">
        <v>56</v>
      </c>
      <c r="G22" s="58">
        <v>1</v>
      </c>
      <c r="H22" s="193"/>
      <c r="I22" s="178"/>
      <c r="J22" s="72"/>
      <c r="K22" s="194"/>
      <c r="L22" s="50"/>
    </row>
    <row r="23" ht="15" spans="1:12">
      <c r="A23" s="188"/>
      <c r="B23" s="189"/>
      <c r="C23" s="190"/>
      <c r="D23" s="191"/>
      <c r="E23" s="192"/>
      <c r="F23" s="191"/>
      <c r="G23" s="58">
        <v>2</v>
      </c>
      <c r="H23" s="195"/>
      <c r="I23" s="178"/>
      <c r="J23" s="72"/>
      <c r="K23" s="194"/>
      <c r="L23" s="50"/>
    </row>
    <row r="24" ht="15" spans="1:12">
      <c r="A24" s="188"/>
      <c r="B24" s="189"/>
      <c r="C24" s="190"/>
      <c r="D24" s="191"/>
      <c r="E24" s="192"/>
      <c r="F24" s="191"/>
      <c r="G24" s="58">
        <v>3</v>
      </c>
      <c r="H24" s="196"/>
      <c r="I24" s="178"/>
      <c r="J24" s="45"/>
      <c r="K24" s="194"/>
      <c r="L24" s="50"/>
    </row>
    <row r="25" ht="15" spans="1:12">
      <c r="A25" s="188"/>
      <c r="B25" s="189"/>
      <c r="C25" s="190"/>
      <c r="D25" s="191"/>
      <c r="E25" s="197" t="s">
        <v>170</v>
      </c>
      <c r="F25" s="166"/>
      <c r="G25" s="166"/>
      <c r="H25" s="198"/>
      <c r="I25" s="47"/>
      <c r="J25" s="47"/>
      <c r="K25" s="199"/>
      <c r="L25" s="49">
        <f>SUM(L22:L24)</f>
        <v>0</v>
      </c>
    </row>
    <row r="26" ht="15" spans="1:12">
      <c r="A26" s="188"/>
      <c r="B26" s="189"/>
      <c r="C26" s="190"/>
      <c r="D26" s="191"/>
      <c r="E26" s="192" t="s">
        <v>171</v>
      </c>
      <c r="F26" s="192" t="s">
        <v>56</v>
      </c>
      <c r="G26" s="58">
        <v>1</v>
      </c>
      <c r="H26" s="179"/>
      <c r="I26" s="178"/>
      <c r="J26" s="45"/>
      <c r="K26" s="192"/>
      <c r="L26" s="50"/>
    </row>
    <row r="27" ht="15" spans="1:12">
      <c r="A27" s="188"/>
      <c r="B27" s="189"/>
      <c r="C27" s="190"/>
      <c r="D27" s="191"/>
      <c r="E27" s="192"/>
      <c r="F27" s="192"/>
      <c r="G27" s="58">
        <v>2</v>
      </c>
      <c r="H27" s="200"/>
      <c r="I27" s="178"/>
      <c r="J27" s="45"/>
      <c r="K27" s="192"/>
      <c r="L27" s="50"/>
    </row>
  </sheetData>
  <mergeCells count="40">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 ref="D2:D7"/>
    <mergeCell ref="D8:D15"/>
    <mergeCell ref="D16:D21"/>
    <mergeCell ref="D22:D27"/>
    <mergeCell ref="E2:E4"/>
    <mergeCell ref="E6:E7"/>
    <mergeCell ref="E8:E12"/>
    <mergeCell ref="E14:E15"/>
    <mergeCell ref="E16:E18"/>
    <mergeCell ref="E20:E21"/>
    <mergeCell ref="E22:E24"/>
    <mergeCell ref="E26:E27"/>
    <mergeCell ref="F2:F4"/>
    <mergeCell ref="F6:F7"/>
    <mergeCell ref="F8:F12"/>
    <mergeCell ref="F14:F15"/>
    <mergeCell ref="F16:F18"/>
    <mergeCell ref="F20:F21"/>
    <mergeCell ref="F22:F24"/>
    <mergeCell ref="F26:F27"/>
    <mergeCell ref="H2:H3"/>
    <mergeCell ref="H8:H11"/>
    <mergeCell ref="H16:H18"/>
    <mergeCell ref="H22:H2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1"/>
  <sheetViews>
    <sheetView workbookViewId="0">
      <pane ySplit="1" topLeftCell="A2" activePane="bottomLeft" state="frozen"/>
      <selection/>
      <selection pane="bottomLeft" activeCell="B35" sqref="B35"/>
    </sheetView>
  </sheetViews>
  <sheetFormatPr defaultColWidth="9.16666666666667" defaultRowHeight="13.2"/>
  <cols>
    <col min="1" max="1" width="22.4166666666667" style="129" customWidth="1"/>
    <col min="2" max="2" width="11.75" style="129" customWidth="1"/>
    <col min="3" max="7" width="9.16666666666667" style="129"/>
    <col min="8" max="8" width="54" style="129" customWidth="1"/>
    <col min="9" max="11" width="9.16666666666667" style="129"/>
    <col min="12" max="12" width="16.6666666666667" style="130" customWidth="1"/>
    <col min="13" max="16384" width="9.16666666666667" style="129"/>
  </cols>
  <sheetData>
    <row r="1" ht="69.6" spans="1:26">
      <c r="A1" s="4" t="s">
        <v>146</v>
      </c>
      <c r="B1" s="5" t="s">
        <v>6</v>
      </c>
      <c r="C1" s="4" t="s">
        <v>147</v>
      </c>
      <c r="D1" s="4" t="s">
        <v>148</v>
      </c>
      <c r="E1" s="5" t="s">
        <v>149</v>
      </c>
      <c r="F1" s="4" t="s">
        <v>150</v>
      </c>
      <c r="G1" s="4" t="s">
        <v>1</v>
      </c>
      <c r="H1" s="6" t="s">
        <v>151</v>
      </c>
      <c r="I1" s="4" t="s">
        <v>152</v>
      </c>
      <c r="J1" s="7" t="s">
        <v>153</v>
      </c>
      <c r="K1" s="4" t="s">
        <v>154</v>
      </c>
      <c r="L1" s="8" t="s">
        <v>155</v>
      </c>
      <c r="M1" s="9"/>
      <c r="N1" s="9"/>
      <c r="O1" s="9"/>
      <c r="P1" s="9"/>
      <c r="Q1" s="9"/>
      <c r="R1" s="9"/>
      <c r="S1" s="9"/>
      <c r="T1" s="9"/>
      <c r="U1" s="9"/>
      <c r="V1" s="9"/>
      <c r="W1" s="9"/>
      <c r="X1" s="9"/>
      <c r="Y1" s="9"/>
      <c r="Z1" s="9"/>
    </row>
    <row r="2" ht="30" customHeight="1" spans="1:26">
      <c r="A2" s="131" t="s">
        <v>89</v>
      </c>
      <c r="B2" s="132" t="s">
        <v>87</v>
      </c>
      <c r="C2" s="68"/>
      <c r="D2" s="14"/>
      <c r="E2" s="52" t="s">
        <v>173</v>
      </c>
      <c r="F2" s="14" t="s">
        <v>197</v>
      </c>
      <c r="G2" s="12">
        <v>1</v>
      </c>
      <c r="H2" s="46" t="s">
        <v>272</v>
      </c>
      <c r="I2" s="16" t="s">
        <v>87</v>
      </c>
      <c r="J2" s="11">
        <v>1</v>
      </c>
      <c r="K2" s="13"/>
      <c r="L2" s="133">
        <v>2</v>
      </c>
    </row>
    <row r="3" ht="30" customHeight="1" spans="1:26">
      <c r="A3" s="134"/>
      <c r="B3" s="135"/>
      <c r="C3" s="136"/>
      <c r="D3" s="18"/>
      <c r="E3" s="137"/>
      <c r="F3" s="14" t="s">
        <v>197</v>
      </c>
      <c r="G3" s="12">
        <v>2</v>
      </c>
      <c r="H3" s="46" t="s">
        <v>273</v>
      </c>
      <c r="I3" s="16" t="s">
        <v>87</v>
      </c>
      <c r="J3" s="11">
        <v>1</v>
      </c>
      <c r="K3" s="13"/>
      <c r="L3" s="133">
        <v>2.5</v>
      </c>
    </row>
    <row r="4" ht="30" customHeight="1" spans="1:26">
      <c r="A4" s="134"/>
      <c r="B4" s="135"/>
      <c r="C4" s="136"/>
      <c r="D4" s="18"/>
      <c r="E4" s="138"/>
      <c r="F4" s="14" t="s">
        <v>56</v>
      </c>
      <c r="G4" s="12">
        <v>3</v>
      </c>
      <c r="H4" s="46" t="s">
        <v>274</v>
      </c>
      <c r="I4" s="16" t="s">
        <v>275</v>
      </c>
      <c r="J4" s="11">
        <v>0.2</v>
      </c>
      <c r="K4" s="13"/>
      <c r="L4" s="133">
        <v>2</v>
      </c>
    </row>
    <row r="5" ht="27" customHeight="1" spans="1:26">
      <c r="A5" s="134"/>
      <c r="B5" s="135"/>
      <c r="C5" s="136"/>
      <c r="D5" s="18"/>
      <c r="E5" s="39" t="s">
        <v>170</v>
      </c>
      <c r="F5" s="39"/>
      <c r="G5" s="39"/>
      <c r="H5" s="39"/>
      <c r="I5" s="39"/>
      <c r="J5" s="47"/>
      <c r="K5" s="48"/>
      <c r="L5" s="49">
        <f>SUM(L2:L4)</f>
        <v>6.5</v>
      </c>
    </row>
    <row r="6" ht="25.5" customHeight="1" spans="1:26">
      <c r="A6" s="134"/>
      <c r="B6" s="135"/>
      <c r="C6" s="136"/>
      <c r="D6" s="18"/>
      <c r="E6" s="52" t="s">
        <v>171</v>
      </c>
      <c r="F6" s="13" t="s">
        <v>56</v>
      </c>
      <c r="G6" s="13">
        <v>1</v>
      </c>
      <c r="H6" s="46" t="s">
        <v>276</v>
      </c>
      <c r="I6" s="12" t="s">
        <v>87</v>
      </c>
      <c r="J6" s="45">
        <v>1</v>
      </c>
      <c r="K6" s="13"/>
      <c r="L6" s="50">
        <v>5</v>
      </c>
    </row>
    <row r="7" ht="25.5" customHeight="1" spans="1:26">
      <c r="A7" s="139"/>
      <c r="B7" s="140"/>
      <c r="C7" s="63"/>
      <c r="D7" s="36"/>
      <c r="E7" s="138"/>
      <c r="F7" s="13" t="s">
        <v>56</v>
      </c>
      <c r="G7" s="13">
        <v>2</v>
      </c>
      <c r="H7" s="46" t="s">
        <v>274</v>
      </c>
      <c r="I7" s="16" t="s">
        <v>275</v>
      </c>
      <c r="J7" s="45">
        <v>0.6</v>
      </c>
      <c r="K7" s="13"/>
      <c r="L7" s="50">
        <v>5</v>
      </c>
    </row>
    <row r="8" ht="26" customHeight="1" spans="1:26">
      <c r="A8" s="4" t="s">
        <v>277</v>
      </c>
      <c r="B8" s="10" t="s">
        <v>87</v>
      </c>
      <c r="C8" s="11">
        <v>0.95</v>
      </c>
      <c r="D8" s="12"/>
      <c r="E8" s="13" t="s">
        <v>173</v>
      </c>
      <c r="F8" s="12" t="s">
        <v>197</v>
      </c>
      <c r="G8" s="12">
        <v>1</v>
      </c>
      <c r="H8" s="141" t="s">
        <v>278</v>
      </c>
      <c r="I8" s="16" t="s">
        <v>279</v>
      </c>
      <c r="J8" s="45">
        <v>1</v>
      </c>
      <c r="K8" s="13"/>
      <c r="L8" s="50">
        <v>5</v>
      </c>
    </row>
    <row r="9" ht="26" customHeight="1" spans="1:26">
      <c r="A9" s="4"/>
      <c r="B9" s="10"/>
      <c r="C9" s="11"/>
      <c r="D9" s="12"/>
      <c r="E9" s="13"/>
      <c r="F9" s="12" t="s">
        <v>197</v>
      </c>
      <c r="G9" s="12">
        <v>2</v>
      </c>
      <c r="H9" s="141" t="s">
        <v>280</v>
      </c>
      <c r="I9" s="12" t="s">
        <v>87</v>
      </c>
      <c r="J9" s="45">
        <v>1</v>
      </c>
      <c r="K9" s="13"/>
      <c r="L9" s="50">
        <v>0.5</v>
      </c>
    </row>
    <row r="10" ht="19" customHeight="1" spans="1:26">
      <c r="A10" s="4"/>
      <c r="B10" s="10"/>
      <c r="C10" s="12"/>
      <c r="D10" s="12"/>
      <c r="E10" s="39" t="s">
        <v>170</v>
      </c>
      <c r="F10" s="39"/>
      <c r="G10" s="39"/>
      <c r="H10" s="39"/>
      <c r="I10" s="39"/>
      <c r="J10" s="47"/>
      <c r="K10" s="48"/>
      <c r="L10" s="49">
        <f>SUM(L8:L9)</f>
        <v>5.5</v>
      </c>
    </row>
    <row r="11" ht="22.5" customHeight="1" spans="1:26">
      <c r="A11" s="4"/>
      <c r="B11" s="10"/>
      <c r="C11" s="12"/>
      <c r="D11" s="12"/>
      <c r="E11" s="13" t="s">
        <v>171</v>
      </c>
      <c r="F11" s="12" t="s">
        <v>197</v>
      </c>
      <c r="G11" s="12">
        <v>1</v>
      </c>
      <c r="H11" s="141" t="s">
        <v>278</v>
      </c>
      <c r="I11" s="16" t="s">
        <v>279</v>
      </c>
      <c r="J11" s="45"/>
      <c r="K11" s="13"/>
      <c r="L11" s="50">
        <v>5</v>
      </c>
    </row>
  </sheetData>
  <mergeCells count="12">
    <mergeCell ref="E5:H5"/>
    <mergeCell ref="E10:H10"/>
    <mergeCell ref="A2:A7"/>
    <mergeCell ref="A8:A11"/>
    <mergeCell ref="B2:B7"/>
    <mergeCell ref="B8:B11"/>
    <mergeCell ref="C2:C7"/>
    <mergeCell ref="C8:C11"/>
    <mergeCell ref="D2:D7"/>
    <mergeCell ref="D8:D11"/>
    <mergeCell ref="E2:E4"/>
    <mergeCell ref="E6:E7"/>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L34"/>
  <sheetViews>
    <sheetView workbookViewId="0">
      <selection activeCell="D8" sqref="D8:D18"/>
    </sheetView>
  </sheetViews>
  <sheetFormatPr defaultColWidth="26.8518518518519" defaultRowHeight="13.2"/>
  <cols>
    <col min="1" max="1" width="26.712962962963" style="76" customWidth="1"/>
    <col min="2" max="3" width="8.57407407407407" style="76" customWidth="1"/>
    <col min="4" max="4" width="12.4259259259259" style="76" customWidth="1"/>
    <col min="5" max="5" width="9.28703703703704" style="76" customWidth="1"/>
    <col min="6" max="6" width="8.57407407407407" style="76" customWidth="1"/>
    <col min="7" max="7" width="4.85185185185185" style="76" customWidth="1"/>
    <col min="8" max="8" width="70.712962962963" style="76" customWidth="1"/>
    <col min="9" max="9" width="22.1388888888889" style="76" customWidth="1"/>
    <col min="10" max="10" width="6.71296296296296" style="76" customWidth="1"/>
    <col min="11" max="11" width="14.4259259259259" style="76" customWidth="1"/>
    <col min="12" max="12" width="14.4259259259259" style="77" customWidth="1"/>
    <col min="13" max="16384" width="26.8518518518519" style="76"/>
  </cols>
  <sheetData>
    <row r="1" ht="21.75" customHeight="1" spans="1:12">
      <c r="A1" s="78" t="s">
        <v>146</v>
      </c>
      <c r="B1" s="79" t="s">
        <v>6</v>
      </c>
      <c r="C1" s="80" t="s">
        <v>147</v>
      </c>
      <c r="D1" s="80" t="s">
        <v>148</v>
      </c>
      <c r="E1" s="79" t="s">
        <v>149</v>
      </c>
      <c r="F1" s="80" t="s">
        <v>150</v>
      </c>
      <c r="G1" s="80" t="s">
        <v>1</v>
      </c>
      <c r="H1" s="81" t="s">
        <v>151</v>
      </c>
      <c r="I1" s="80" t="s">
        <v>152</v>
      </c>
      <c r="J1" s="82" t="s">
        <v>153</v>
      </c>
      <c r="K1" s="80" t="s">
        <v>154</v>
      </c>
      <c r="L1" s="83" t="s">
        <v>155</v>
      </c>
    </row>
    <row r="2" spans="1:12">
      <c r="A2" s="84" t="s">
        <v>107</v>
      </c>
      <c r="B2" s="85" t="s">
        <v>108</v>
      </c>
      <c r="C2" s="86" t="s">
        <v>23</v>
      </c>
      <c r="D2" s="86"/>
      <c r="E2" s="87" t="s">
        <v>173</v>
      </c>
      <c r="F2" s="86" t="s">
        <v>56</v>
      </c>
      <c r="G2" s="79">
        <v>1</v>
      </c>
      <c r="H2" s="88"/>
      <c r="I2" s="89"/>
      <c r="J2" s="82"/>
      <c r="K2" s="80"/>
      <c r="L2" s="83"/>
    </row>
    <row r="3" spans="1:12">
      <c r="A3" s="90"/>
      <c r="B3" s="91"/>
      <c r="C3" s="92"/>
      <c r="D3" s="92"/>
      <c r="E3" s="93"/>
      <c r="F3" s="94"/>
      <c r="G3" s="79">
        <v>2</v>
      </c>
      <c r="H3" s="95"/>
      <c r="I3" s="96"/>
      <c r="J3" s="97"/>
      <c r="K3" s="86"/>
      <c r="L3" s="98"/>
    </row>
    <row r="4" spans="1:12">
      <c r="A4" s="90"/>
      <c r="B4" s="91"/>
      <c r="C4" s="92"/>
      <c r="D4" s="92"/>
      <c r="E4" s="93"/>
      <c r="F4" s="86" t="s">
        <v>180</v>
      </c>
      <c r="G4" s="99">
        <v>1</v>
      </c>
      <c r="H4" s="100" t="s">
        <v>281</v>
      </c>
      <c r="I4" s="89" t="s">
        <v>111</v>
      </c>
      <c r="J4" s="82">
        <v>1</v>
      </c>
      <c r="K4" s="80"/>
      <c r="L4" s="83">
        <v>0.5</v>
      </c>
    </row>
    <row r="5" spans="1:12">
      <c r="A5" s="90"/>
      <c r="B5" s="91"/>
      <c r="C5" s="92"/>
      <c r="D5" s="92"/>
      <c r="E5" s="101"/>
      <c r="F5" s="94"/>
      <c r="G5" s="99">
        <v>2</v>
      </c>
      <c r="H5" s="102" t="s">
        <v>282</v>
      </c>
      <c r="I5" s="89" t="s">
        <v>111</v>
      </c>
      <c r="J5" s="82">
        <v>1</v>
      </c>
      <c r="K5" s="80"/>
      <c r="L5" s="83">
        <v>0.5</v>
      </c>
    </row>
    <row r="6" spans="1:12">
      <c r="A6" s="90"/>
      <c r="B6" s="91"/>
      <c r="C6" s="92"/>
      <c r="D6" s="92"/>
      <c r="E6" s="103" t="s">
        <v>170</v>
      </c>
      <c r="F6" s="104"/>
      <c r="G6" s="104"/>
      <c r="H6" s="105"/>
      <c r="I6" s="106"/>
      <c r="J6" s="107"/>
      <c r="K6" s="108"/>
      <c r="L6" s="109">
        <v>1</v>
      </c>
    </row>
    <row r="7" spans="1:12">
      <c r="A7" s="110"/>
      <c r="B7" s="111"/>
      <c r="C7" s="94"/>
      <c r="D7" s="94"/>
      <c r="E7" s="79" t="s">
        <v>171</v>
      </c>
      <c r="F7" s="79" t="s">
        <v>56</v>
      </c>
      <c r="G7" s="79">
        <v>1</v>
      </c>
      <c r="H7" s="88"/>
      <c r="I7" s="89"/>
      <c r="J7" s="112"/>
      <c r="K7" s="79"/>
      <c r="L7" s="83"/>
    </row>
    <row r="8" ht="36" spans="1:12">
      <c r="A8" s="84" t="s">
        <v>283</v>
      </c>
      <c r="B8" s="85"/>
      <c r="C8" s="86">
        <v>55</v>
      </c>
      <c r="D8" s="86"/>
      <c r="E8" s="87" t="s">
        <v>173</v>
      </c>
      <c r="F8" s="86" t="s">
        <v>56</v>
      </c>
      <c r="G8" s="79">
        <v>1</v>
      </c>
      <c r="H8" s="100" t="s">
        <v>284</v>
      </c>
      <c r="I8" s="89" t="s">
        <v>275</v>
      </c>
      <c r="J8" s="82">
        <v>1</v>
      </c>
      <c r="K8" s="80"/>
      <c r="L8" s="83">
        <v>3</v>
      </c>
    </row>
    <row r="9" ht="72" spans="1:12">
      <c r="A9" s="90"/>
      <c r="B9" s="91"/>
      <c r="C9" s="92"/>
      <c r="D9" s="92"/>
      <c r="E9" s="93"/>
      <c r="F9" s="92"/>
      <c r="G9" s="79">
        <v>2</v>
      </c>
      <c r="H9" s="113" t="s">
        <v>285</v>
      </c>
      <c r="I9" s="89" t="s">
        <v>286</v>
      </c>
      <c r="J9" s="97">
        <v>1</v>
      </c>
      <c r="K9" s="86"/>
      <c r="L9" s="98">
        <v>5</v>
      </c>
    </row>
    <row r="10" ht="24" spans="1:12">
      <c r="A10" s="90"/>
      <c r="B10" s="91"/>
      <c r="C10" s="92"/>
      <c r="D10" s="92"/>
      <c r="E10" s="93"/>
      <c r="F10" s="92"/>
      <c r="G10" s="79">
        <v>3</v>
      </c>
      <c r="H10" s="100" t="s">
        <v>287</v>
      </c>
      <c r="I10" s="114" t="s">
        <v>288</v>
      </c>
      <c r="J10" s="82">
        <v>1</v>
      </c>
      <c r="K10" s="82"/>
      <c r="L10" s="83">
        <v>4</v>
      </c>
    </row>
    <row r="11" spans="1:12">
      <c r="A11" s="90"/>
      <c r="B11" s="91"/>
      <c r="C11" s="92"/>
      <c r="D11" s="92"/>
      <c r="E11" s="93"/>
      <c r="F11" s="92"/>
      <c r="G11" s="79">
        <v>4</v>
      </c>
      <c r="H11" s="100" t="s">
        <v>289</v>
      </c>
      <c r="I11" s="115" t="s">
        <v>288</v>
      </c>
      <c r="J11" s="82">
        <v>0.05</v>
      </c>
      <c r="K11" s="80"/>
      <c r="L11" s="83">
        <v>1</v>
      </c>
    </row>
    <row r="12" ht="84" spans="1:12">
      <c r="A12" s="90"/>
      <c r="B12" s="91"/>
      <c r="C12" s="92"/>
      <c r="D12" s="92"/>
      <c r="E12" s="93"/>
      <c r="F12" s="92"/>
      <c r="G12" s="99">
        <v>5</v>
      </c>
      <c r="H12" s="116" t="s">
        <v>290</v>
      </c>
      <c r="I12" s="114" t="s">
        <v>291</v>
      </c>
      <c r="J12" s="82">
        <v>1</v>
      </c>
      <c r="K12" s="117"/>
      <c r="L12" s="83">
        <v>4.5</v>
      </c>
    </row>
    <row r="13" ht="79.2" spans="1:12">
      <c r="A13" s="90"/>
      <c r="B13" s="91"/>
      <c r="C13" s="92"/>
      <c r="D13" s="92"/>
      <c r="E13" s="93"/>
      <c r="F13" s="92"/>
      <c r="G13" s="99">
        <v>6</v>
      </c>
      <c r="H13" s="81" t="s">
        <v>292</v>
      </c>
      <c r="I13" s="118" t="s">
        <v>293</v>
      </c>
      <c r="J13" s="82">
        <v>1</v>
      </c>
      <c r="K13" s="80"/>
      <c r="L13" s="83">
        <v>5</v>
      </c>
    </row>
    <row r="14" spans="1:12">
      <c r="A14" s="90"/>
      <c r="B14" s="91"/>
      <c r="C14" s="92"/>
      <c r="D14" s="92"/>
      <c r="E14" s="93"/>
      <c r="F14" s="94"/>
      <c r="G14" s="79">
        <v>7</v>
      </c>
      <c r="H14" s="119"/>
      <c r="I14" s="114"/>
      <c r="J14" s="82"/>
      <c r="K14" s="80"/>
      <c r="L14" s="83"/>
    </row>
    <row r="15" spans="1:12">
      <c r="A15" s="90"/>
      <c r="B15" s="91"/>
      <c r="C15" s="92"/>
      <c r="D15" s="92"/>
      <c r="E15" s="93"/>
      <c r="F15" s="87" t="s">
        <v>180</v>
      </c>
      <c r="G15" s="79">
        <v>1</v>
      </c>
      <c r="H15" s="81" t="s">
        <v>294</v>
      </c>
      <c r="I15" s="79" t="s">
        <v>111</v>
      </c>
      <c r="J15" s="120">
        <v>1</v>
      </c>
      <c r="K15" s="121"/>
      <c r="L15" s="122">
        <v>1</v>
      </c>
    </row>
    <row r="16" spans="1:12">
      <c r="A16" s="90"/>
      <c r="B16" s="91"/>
      <c r="C16" s="92"/>
      <c r="D16" s="92"/>
      <c r="E16" s="101"/>
      <c r="F16" s="101"/>
      <c r="G16" s="79">
        <v>2</v>
      </c>
      <c r="H16" s="123"/>
      <c r="I16" s="79"/>
      <c r="J16" s="124"/>
      <c r="K16" s="117"/>
      <c r="L16" s="83"/>
    </row>
    <row r="17" spans="1:12">
      <c r="A17" s="90"/>
      <c r="B17" s="91"/>
      <c r="C17" s="92"/>
      <c r="D17" s="92"/>
      <c r="E17" s="103" t="s">
        <v>170</v>
      </c>
      <c r="F17" s="104"/>
      <c r="G17" s="104"/>
      <c r="H17" s="105"/>
      <c r="I17" s="125"/>
      <c r="J17" s="126"/>
      <c r="K17" s="127"/>
      <c r="L17" s="128">
        <v>23.5</v>
      </c>
    </row>
    <row r="18" spans="1:12">
      <c r="A18" s="110"/>
      <c r="B18" s="111"/>
      <c r="C18" s="94"/>
      <c r="D18" s="94"/>
      <c r="E18" s="79" t="s">
        <v>171</v>
      </c>
      <c r="F18" s="79" t="s">
        <v>56</v>
      </c>
      <c r="G18" s="79">
        <v>1</v>
      </c>
      <c r="H18" s="88"/>
      <c r="I18" s="89"/>
      <c r="J18" s="112"/>
      <c r="K18" s="79"/>
      <c r="L18" s="83"/>
    </row>
    <row r="19" spans="1:12">
      <c r="A19" s="84" t="s">
        <v>295</v>
      </c>
      <c r="B19" s="85" t="s">
        <v>108</v>
      </c>
      <c r="C19" s="86">
        <v>30</v>
      </c>
      <c r="D19" s="86"/>
      <c r="E19" s="87" t="s">
        <v>173</v>
      </c>
      <c r="F19" s="86" t="s">
        <v>56</v>
      </c>
      <c r="G19" s="79">
        <v>1</v>
      </c>
      <c r="H19" s="100" t="s">
        <v>296</v>
      </c>
      <c r="I19" s="89" t="s">
        <v>108</v>
      </c>
      <c r="J19" s="82">
        <v>1</v>
      </c>
      <c r="K19" s="80"/>
      <c r="L19" s="83">
        <v>1</v>
      </c>
    </row>
    <row r="20" spans="1:12">
      <c r="A20" s="90"/>
      <c r="B20" s="91"/>
      <c r="C20" s="92"/>
      <c r="D20" s="92"/>
      <c r="E20" s="93"/>
      <c r="F20" s="92"/>
      <c r="G20" s="79">
        <v>2</v>
      </c>
      <c r="H20" s="113" t="s">
        <v>297</v>
      </c>
      <c r="I20" s="89" t="s">
        <v>108</v>
      </c>
      <c r="J20" s="82">
        <v>1</v>
      </c>
      <c r="K20" s="80"/>
      <c r="L20" s="83">
        <v>4</v>
      </c>
    </row>
    <row r="21" ht="36" spans="1:12">
      <c r="A21" s="90"/>
      <c r="B21" s="91"/>
      <c r="C21" s="92"/>
      <c r="D21" s="92"/>
      <c r="E21" s="93"/>
      <c r="F21" s="92"/>
      <c r="G21" s="79">
        <v>3</v>
      </c>
      <c r="H21" s="100" t="s">
        <v>298</v>
      </c>
      <c r="I21" s="89" t="s">
        <v>34</v>
      </c>
      <c r="J21" s="82">
        <v>1</v>
      </c>
      <c r="K21" s="82"/>
      <c r="L21" s="83">
        <v>1.5</v>
      </c>
    </row>
    <row r="22" ht="72" spans="1:12">
      <c r="A22" s="90"/>
      <c r="B22" s="91"/>
      <c r="C22" s="92"/>
      <c r="D22" s="92"/>
      <c r="E22" s="93"/>
      <c r="F22" s="92"/>
      <c r="G22" s="79">
        <v>4</v>
      </c>
      <c r="H22" s="100" t="s">
        <v>299</v>
      </c>
      <c r="I22" s="89" t="s">
        <v>34</v>
      </c>
      <c r="J22" s="82">
        <v>1</v>
      </c>
      <c r="K22" s="82"/>
      <c r="L22" s="83">
        <v>1</v>
      </c>
    </row>
    <row r="23" ht="48" spans="1:12">
      <c r="A23" s="90"/>
      <c r="B23" s="91"/>
      <c r="C23" s="92"/>
      <c r="D23" s="92"/>
      <c r="E23" s="93"/>
      <c r="F23" s="92"/>
      <c r="G23" s="79">
        <v>5</v>
      </c>
      <c r="H23" s="100" t="s">
        <v>300</v>
      </c>
      <c r="I23" s="89" t="s">
        <v>34</v>
      </c>
      <c r="J23" s="82">
        <v>1</v>
      </c>
      <c r="K23" s="80"/>
      <c r="L23" s="83">
        <v>0.87</v>
      </c>
    </row>
    <row r="24" spans="1:12">
      <c r="A24" s="90"/>
      <c r="B24" s="91"/>
      <c r="C24" s="92"/>
      <c r="D24" s="92"/>
      <c r="E24" s="93"/>
      <c r="F24" s="92"/>
      <c r="G24" s="79">
        <v>6</v>
      </c>
      <c r="H24" s="88"/>
      <c r="I24" s="89"/>
      <c r="J24" s="82"/>
      <c r="K24" s="80"/>
      <c r="L24" s="83"/>
    </row>
    <row r="25" spans="1:12">
      <c r="A25" s="90"/>
      <c r="B25" s="91"/>
      <c r="C25" s="92"/>
      <c r="D25" s="92"/>
      <c r="E25" s="101"/>
      <c r="F25" s="94"/>
      <c r="G25" s="79">
        <v>7</v>
      </c>
      <c r="H25" s="88"/>
      <c r="I25" s="89"/>
      <c r="J25" s="82"/>
      <c r="K25" s="80"/>
      <c r="L25" s="83"/>
    </row>
    <row r="26" spans="1:12">
      <c r="A26" s="90"/>
      <c r="B26" s="91"/>
      <c r="C26" s="92"/>
      <c r="D26" s="92"/>
      <c r="E26" s="103" t="s">
        <v>170</v>
      </c>
      <c r="F26" s="104"/>
      <c r="G26" s="104"/>
      <c r="H26" s="105"/>
      <c r="I26" s="125"/>
      <c r="J26" s="126"/>
      <c r="K26" s="127"/>
      <c r="L26" s="128">
        <v>8.37</v>
      </c>
    </row>
    <row r="27" spans="1:12">
      <c r="A27" s="110"/>
      <c r="B27" s="111"/>
      <c r="C27" s="94"/>
      <c r="D27" s="94"/>
      <c r="E27" s="79" t="s">
        <v>171</v>
      </c>
      <c r="F27" s="79" t="s">
        <v>56</v>
      </c>
      <c r="G27" s="79">
        <v>1</v>
      </c>
      <c r="H27" s="88"/>
      <c r="I27" s="89"/>
      <c r="J27" s="112"/>
      <c r="K27" s="79"/>
      <c r="L27" s="83"/>
    </row>
    <row r="28" ht="72" spans="1:12">
      <c r="A28" s="84" t="s">
        <v>156</v>
      </c>
      <c r="B28" s="85" t="s">
        <v>22</v>
      </c>
      <c r="C28" s="86" t="s">
        <v>23</v>
      </c>
      <c r="D28" s="86"/>
      <c r="E28" s="87" t="s">
        <v>173</v>
      </c>
      <c r="F28" s="86" t="s">
        <v>56</v>
      </c>
      <c r="G28" s="79">
        <v>1</v>
      </c>
      <c r="H28" s="100" t="s">
        <v>301</v>
      </c>
      <c r="I28" s="89" t="s">
        <v>302</v>
      </c>
      <c r="J28" s="82">
        <v>1</v>
      </c>
      <c r="K28" s="80"/>
      <c r="L28" s="83">
        <v>5</v>
      </c>
    </row>
    <row r="29" ht="48" spans="1:12">
      <c r="A29" s="90"/>
      <c r="B29" s="91"/>
      <c r="C29" s="92"/>
      <c r="D29" s="92"/>
      <c r="E29" s="93"/>
      <c r="F29" s="92"/>
      <c r="G29" s="79">
        <v>2</v>
      </c>
      <c r="H29" s="113" t="s">
        <v>303</v>
      </c>
      <c r="I29" s="89" t="s">
        <v>105</v>
      </c>
      <c r="J29" s="82">
        <v>1</v>
      </c>
      <c r="K29" s="80"/>
      <c r="L29" s="83">
        <v>5</v>
      </c>
    </row>
    <row r="30" spans="1:12">
      <c r="A30" s="90"/>
      <c r="B30" s="91"/>
      <c r="C30" s="92"/>
      <c r="D30" s="92"/>
      <c r="E30" s="93"/>
      <c r="F30" s="94"/>
      <c r="G30" s="79">
        <v>3</v>
      </c>
      <c r="H30" s="88"/>
      <c r="I30" s="89"/>
      <c r="J30" s="82"/>
      <c r="K30" s="82"/>
      <c r="L30" s="83"/>
    </row>
    <row r="31" spans="1:12">
      <c r="A31" s="90"/>
      <c r="B31" s="91"/>
      <c r="C31" s="92"/>
      <c r="D31" s="92"/>
      <c r="E31" s="93"/>
      <c r="F31" s="87" t="s">
        <v>180</v>
      </c>
      <c r="G31" s="79">
        <v>4</v>
      </c>
      <c r="H31" s="100" t="s">
        <v>304</v>
      </c>
      <c r="I31" s="89" t="s">
        <v>111</v>
      </c>
      <c r="J31" s="82">
        <v>1</v>
      </c>
      <c r="K31" s="82"/>
      <c r="L31" s="83">
        <v>2</v>
      </c>
    </row>
    <row r="32" spans="1:12">
      <c r="A32" s="90"/>
      <c r="B32" s="91"/>
      <c r="C32" s="92"/>
      <c r="D32" s="92"/>
      <c r="E32" s="101"/>
      <c r="F32" s="101"/>
      <c r="G32" s="79">
        <v>5</v>
      </c>
      <c r="H32" s="100" t="s">
        <v>305</v>
      </c>
      <c r="I32" s="89" t="s">
        <v>111</v>
      </c>
      <c r="J32" s="82">
        <v>1</v>
      </c>
      <c r="K32" s="80"/>
      <c r="L32" s="83">
        <v>1</v>
      </c>
    </row>
    <row r="33" spans="1:12">
      <c r="A33" s="90"/>
      <c r="B33" s="91"/>
      <c r="C33" s="92"/>
      <c r="D33" s="92"/>
      <c r="E33" s="103" t="s">
        <v>170</v>
      </c>
      <c r="F33" s="104"/>
      <c r="G33" s="104"/>
      <c r="H33" s="105"/>
      <c r="I33" s="125"/>
      <c r="J33" s="126"/>
      <c r="K33" s="127"/>
      <c r="L33" s="128">
        <v>13</v>
      </c>
    </row>
    <row r="34" spans="1:12">
      <c r="A34" s="110"/>
      <c r="B34" s="111"/>
      <c r="C34" s="94"/>
      <c r="D34" s="94"/>
      <c r="E34" s="79" t="s">
        <v>171</v>
      </c>
      <c r="F34" s="79" t="s">
        <v>56</v>
      </c>
      <c r="G34" s="79">
        <v>1</v>
      </c>
      <c r="H34" s="88"/>
      <c r="I34" s="89"/>
      <c r="J34" s="112"/>
      <c r="K34" s="79"/>
      <c r="L34" s="83"/>
    </row>
  </sheetData>
  <mergeCells count="31">
    <mergeCell ref="E6:H6"/>
    <mergeCell ref="E17:H17"/>
    <mergeCell ref="E26:H26"/>
    <mergeCell ref="E33:H33"/>
    <mergeCell ref="A2:A7"/>
    <mergeCell ref="A8:A18"/>
    <mergeCell ref="A19:A27"/>
    <mergeCell ref="A28:A34"/>
    <mergeCell ref="B2:B7"/>
    <mergeCell ref="B8:B18"/>
    <mergeCell ref="B19:B27"/>
    <mergeCell ref="B28:B34"/>
    <mergeCell ref="C2:C7"/>
    <mergeCell ref="C8:C18"/>
    <mergeCell ref="C19:C27"/>
    <mergeCell ref="C28:C34"/>
    <mergeCell ref="D2:D7"/>
    <mergeCell ref="D8:D18"/>
    <mergeCell ref="D19:D27"/>
    <mergeCell ref="D28:D34"/>
    <mergeCell ref="E2:E5"/>
    <mergeCell ref="E8:E16"/>
    <mergeCell ref="E19:E25"/>
    <mergeCell ref="E28:E32"/>
    <mergeCell ref="F2:F3"/>
    <mergeCell ref="F4:F5"/>
    <mergeCell ref="F8:F14"/>
    <mergeCell ref="F15:F16"/>
    <mergeCell ref="F19:F25"/>
    <mergeCell ref="F28:F30"/>
    <mergeCell ref="F31:F32"/>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72"/>
  <sheetViews>
    <sheetView workbookViewId="0">
      <pane ySplit="1" topLeftCell="A2" activePane="bottomLeft" state="frozen"/>
      <selection/>
      <selection pane="bottomLeft" activeCell="G2" sqref="G2"/>
    </sheetView>
  </sheetViews>
  <sheetFormatPr defaultColWidth="9.13888888888889" defaultRowHeight="13.8"/>
  <cols>
    <col min="1" max="1" width="22.4259259259259" style="1" customWidth="1"/>
    <col min="2" max="2" width="11.712962962963" style="1" customWidth="1"/>
    <col min="3" max="7" width="9.13888888888889" style="1"/>
    <col min="8" max="8" width="59.712962962963" style="1" customWidth="1"/>
    <col min="9" max="9" width="17.537037037037" style="1" customWidth="1"/>
    <col min="10" max="11" width="9.13888888888889" style="1"/>
    <col min="12" max="12" width="19.5740740740741" style="2" customWidth="1"/>
    <col min="13" max="26" width="9.13888888888889" style="1"/>
    <col min="27" max="16384" width="9.13888888888889" style="3"/>
  </cols>
  <sheetData>
    <row r="1" ht="52.2" spans="1:26">
      <c r="A1" s="4" t="s">
        <v>146</v>
      </c>
      <c r="B1" s="5" t="s">
        <v>6</v>
      </c>
      <c r="C1" s="4" t="s">
        <v>147</v>
      </c>
      <c r="D1" s="4" t="s">
        <v>148</v>
      </c>
      <c r="E1" s="5" t="s">
        <v>149</v>
      </c>
      <c r="F1" s="4" t="s">
        <v>150</v>
      </c>
      <c r="G1" s="4" t="s">
        <v>1</v>
      </c>
      <c r="H1" s="6" t="s">
        <v>151</v>
      </c>
      <c r="I1" s="4" t="s">
        <v>152</v>
      </c>
      <c r="J1" s="7" t="s">
        <v>153</v>
      </c>
      <c r="K1" s="4" t="s">
        <v>154</v>
      </c>
      <c r="L1" s="8" t="s">
        <v>155</v>
      </c>
      <c r="M1" s="9"/>
      <c r="N1" s="9"/>
      <c r="O1" s="9"/>
      <c r="P1" s="9"/>
      <c r="Q1" s="9"/>
      <c r="R1" s="9"/>
      <c r="S1" s="9"/>
      <c r="T1" s="9"/>
      <c r="U1" s="9"/>
      <c r="V1" s="9"/>
      <c r="W1" s="9"/>
      <c r="X1" s="9"/>
      <c r="Y1" s="9"/>
      <c r="Z1" s="9"/>
    </row>
    <row r="2" ht="75" spans="1:26">
      <c r="A2" s="4" t="s">
        <v>306</v>
      </c>
      <c r="B2" s="10" t="s">
        <v>118</v>
      </c>
      <c r="C2" s="11">
        <v>0.92</v>
      </c>
      <c r="D2" s="12"/>
      <c r="E2" s="13" t="s">
        <v>173</v>
      </c>
      <c r="F2" s="14" t="s">
        <v>56</v>
      </c>
      <c r="G2" s="12">
        <v>1</v>
      </c>
      <c r="H2" s="15" t="s">
        <v>307</v>
      </c>
      <c r="I2" s="16" t="s">
        <v>308</v>
      </c>
      <c r="J2" s="11">
        <v>1</v>
      </c>
      <c r="K2" s="13"/>
      <c r="L2" s="17">
        <v>5</v>
      </c>
    </row>
    <row r="3" ht="45" spans="1:26">
      <c r="A3" s="4"/>
      <c r="B3" s="10"/>
      <c r="C3" s="12"/>
      <c r="D3" s="12"/>
      <c r="E3" s="13"/>
      <c r="F3" s="18"/>
      <c r="G3" s="19">
        <v>2</v>
      </c>
      <c r="H3" s="20" t="s">
        <v>309</v>
      </c>
      <c r="I3" s="19" t="s">
        <v>310</v>
      </c>
      <c r="J3" s="21">
        <v>1</v>
      </c>
      <c r="K3" s="22"/>
      <c r="L3" s="17">
        <v>5</v>
      </c>
    </row>
    <row r="4" ht="90" spans="1:26">
      <c r="A4" s="4"/>
      <c r="B4" s="10"/>
      <c r="C4" s="12"/>
      <c r="D4" s="12"/>
      <c r="E4" s="13"/>
      <c r="F4" s="18"/>
      <c r="G4" s="19">
        <v>3</v>
      </c>
      <c r="H4" s="23" t="s">
        <v>311</v>
      </c>
      <c r="I4" s="19" t="s">
        <v>312</v>
      </c>
      <c r="J4" s="21">
        <v>1</v>
      </c>
      <c r="K4" s="22"/>
      <c r="L4" s="17">
        <v>5</v>
      </c>
    </row>
    <row r="5" ht="75" spans="1:26">
      <c r="A5" s="4"/>
      <c r="B5" s="10"/>
      <c r="C5" s="12"/>
      <c r="D5" s="12"/>
      <c r="E5" s="13"/>
      <c r="F5" s="18"/>
      <c r="G5" s="24">
        <v>4</v>
      </c>
      <c r="H5" s="25" t="s">
        <v>313</v>
      </c>
      <c r="I5" s="26" t="s">
        <v>314</v>
      </c>
      <c r="J5" s="27">
        <v>1</v>
      </c>
      <c r="K5" s="28"/>
      <c r="L5" s="29">
        <v>3</v>
      </c>
    </row>
    <row r="6" ht="105" spans="1:26">
      <c r="A6" s="4"/>
      <c r="B6" s="10"/>
      <c r="C6" s="12"/>
      <c r="D6" s="12"/>
      <c r="E6" s="13"/>
      <c r="F6" s="18"/>
      <c r="G6" s="30">
        <v>11</v>
      </c>
      <c r="H6" s="31" t="s">
        <v>315</v>
      </c>
      <c r="I6" s="32" t="s">
        <v>118</v>
      </c>
      <c r="J6" s="33">
        <v>1</v>
      </c>
      <c r="K6" s="34"/>
      <c r="L6" s="35">
        <v>5</v>
      </c>
    </row>
    <row r="7" ht="30" spans="1:26">
      <c r="A7" s="4"/>
      <c r="B7" s="10"/>
      <c r="C7" s="12"/>
      <c r="D7" s="12"/>
      <c r="E7" s="13"/>
      <c r="F7" s="36"/>
      <c r="G7" s="37">
        <v>12</v>
      </c>
      <c r="H7" s="38" t="s">
        <v>316</v>
      </c>
      <c r="I7" s="32" t="s">
        <v>121</v>
      </c>
      <c r="J7" s="33">
        <v>0.7</v>
      </c>
      <c r="K7" s="34"/>
      <c r="L7" s="35">
        <v>4</v>
      </c>
    </row>
    <row r="8" ht="15" spans="1:26">
      <c r="A8" s="4"/>
      <c r="B8" s="10"/>
      <c r="C8" s="12"/>
      <c r="D8" s="12"/>
      <c r="E8" s="39" t="s">
        <v>170</v>
      </c>
      <c r="F8" s="39"/>
      <c r="G8" s="39"/>
      <c r="H8" s="40"/>
      <c r="I8" s="40"/>
      <c r="J8" s="41"/>
      <c r="K8" s="42"/>
      <c r="L8" s="43">
        <f>SUM(L2:L7)</f>
        <v>27</v>
      </c>
    </row>
    <row r="9" ht="15.6" spans="1:26">
      <c r="A9" s="4"/>
      <c r="B9" s="10"/>
      <c r="C9" s="12"/>
      <c r="D9" s="12"/>
      <c r="E9" s="13" t="s">
        <v>171</v>
      </c>
      <c r="F9" s="13" t="s">
        <v>56</v>
      </c>
      <c r="G9" s="13">
        <v>1</v>
      </c>
      <c r="H9" s="44"/>
      <c r="I9" s="12"/>
      <c r="J9" s="45"/>
      <c r="K9" s="13"/>
      <c r="L9" s="17"/>
    </row>
    <row r="10" ht="15" spans="1:26">
      <c r="A10" s="4"/>
      <c r="B10" s="10"/>
      <c r="C10" s="12"/>
      <c r="D10" s="12"/>
      <c r="E10" s="13"/>
      <c r="F10" s="13"/>
      <c r="G10" s="13">
        <v>2</v>
      </c>
      <c r="H10" s="46"/>
      <c r="I10" s="13"/>
      <c r="J10" s="45"/>
      <c r="K10" s="13"/>
      <c r="L10" s="17"/>
    </row>
    <row r="11" ht="45" spans="1:26">
      <c r="A11" s="4" t="s">
        <v>317</v>
      </c>
      <c r="B11" s="10" t="s">
        <v>121</v>
      </c>
      <c r="C11" s="11">
        <v>0.96</v>
      </c>
      <c r="D11" s="12"/>
      <c r="E11" s="13" t="s">
        <v>173</v>
      </c>
      <c r="F11" s="12" t="s">
        <v>56</v>
      </c>
      <c r="G11" s="12">
        <v>1</v>
      </c>
      <c r="H11" s="46" t="s">
        <v>318</v>
      </c>
      <c r="I11" s="16" t="s">
        <v>319</v>
      </c>
      <c r="J11" s="11">
        <v>1</v>
      </c>
      <c r="K11" s="12"/>
      <c r="L11" s="17">
        <v>5</v>
      </c>
    </row>
    <row r="12" ht="75" spans="1:26">
      <c r="A12" s="4"/>
      <c r="B12" s="10"/>
      <c r="C12" s="12"/>
      <c r="D12" s="12"/>
      <c r="E12" s="13"/>
      <c r="F12" s="12"/>
      <c r="G12" s="12">
        <v>2</v>
      </c>
      <c r="H12" s="46" t="s">
        <v>320</v>
      </c>
      <c r="I12" s="16" t="s">
        <v>321</v>
      </c>
      <c r="J12" s="11">
        <v>1</v>
      </c>
      <c r="K12" s="12"/>
      <c r="L12" s="17">
        <v>4</v>
      </c>
    </row>
    <row r="13" ht="75" spans="1:26">
      <c r="A13" s="4"/>
      <c r="B13" s="10"/>
      <c r="C13" s="12"/>
      <c r="D13" s="12"/>
      <c r="E13" s="13"/>
      <c r="F13" s="12"/>
      <c r="G13" s="12">
        <v>3</v>
      </c>
      <c r="H13" s="46" t="s">
        <v>322</v>
      </c>
      <c r="I13" s="16" t="s">
        <v>314</v>
      </c>
      <c r="J13" s="11">
        <v>1</v>
      </c>
      <c r="K13" s="12"/>
      <c r="L13" s="17">
        <v>2</v>
      </c>
    </row>
    <row r="14" ht="15" spans="1:26">
      <c r="A14" s="4"/>
      <c r="B14" s="10"/>
      <c r="C14" s="12"/>
      <c r="D14" s="12"/>
      <c r="E14" s="39" t="s">
        <v>170</v>
      </c>
      <c r="F14" s="39"/>
      <c r="G14" s="39"/>
      <c r="H14" s="39"/>
      <c r="I14" s="39"/>
      <c r="J14" s="47"/>
      <c r="K14" s="48"/>
      <c r="L14" s="49">
        <f>SUM(L11:L13)</f>
        <v>11</v>
      </c>
    </row>
    <row r="15" ht="15.6" spans="1:26">
      <c r="A15" s="4"/>
      <c r="B15" s="10"/>
      <c r="C15" s="12"/>
      <c r="D15" s="12"/>
      <c r="E15" s="13" t="s">
        <v>171</v>
      </c>
      <c r="F15" s="13" t="s">
        <v>56</v>
      </c>
      <c r="G15" s="13">
        <v>1</v>
      </c>
      <c r="H15" s="44"/>
      <c r="I15" s="12"/>
      <c r="J15" s="45"/>
      <c r="K15" s="13"/>
      <c r="L15" s="50"/>
    </row>
    <row r="16" ht="15.6" spans="1:26">
      <c r="A16" s="4"/>
      <c r="B16" s="10"/>
      <c r="C16" s="12"/>
      <c r="D16" s="12"/>
      <c r="E16" s="13"/>
      <c r="F16" s="13"/>
      <c r="G16" s="13">
        <v>2</v>
      </c>
      <c r="H16" s="51"/>
      <c r="I16" s="52"/>
      <c r="J16" s="53"/>
      <c r="K16" s="52"/>
      <c r="L16" s="54"/>
    </row>
    <row r="17" ht="60" spans="1:12">
      <c r="A17" s="4" t="s">
        <v>323</v>
      </c>
      <c r="B17" s="10" t="s">
        <v>121</v>
      </c>
      <c r="C17" s="12" t="s">
        <v>324</v>
      </c>
      <c r="D17" s="12"/>
      <c r="E17" s="13" t="s">
        <v>173</v>
      </c>
      <c r="F17" s="14" t="s">
        <v>56</v>
      </c>
      <c r="G17" s="55">
        <v>1</v>
      </c>
      <c r="H17" s="46" t="s">
        <v>325</v>
      </c>
      <c r="I17" s="16" t="s">
        <v>326</v>
      </c>
      <c r="J17" s="11">
        <v>0.7</v>
      </c>
      <c r="K17" s="12"/>
      <c r="L17" s="17">
        <v>4</v>
      </c>
    </row>
    <row r="18" ht="30" spans="1:12">
      <c r="A18" s="4"/>
      <c r="B18" s="10"/>
      <c r="C18" s="12"/>
      <c r="D18" s="12"/>
      <c r="E18" s="13"/>
      <c r="F18" s="56"/>
      <c r="G18" s="55">
        <v>2</v>
      </c>
      <c r="H18" s="46" t="s">
        <v>327</v>
      </c>
      <c r="I18" s="16" t="s">
        <v>121</v>
      </c>
      <c r="J18" s="11">
        <v>0.8</v>
      </c>
      <c r="K18" s="12"/>
      <c r="L18" s="17">
        <v>1</v>
      </c>
    </row>
    <row r="19" ht="15.6" spans="1:12">
      <c r="A19" s="4"/>
      <c r="B19" s="10"/>
      <c r="C19" s="12"/>
      <c r="D19" s="12"/>
      <c r="E19" s="13"/>
      <c r="F19" s="14" t="s">
        <v>328</v>
      </c>
      <c r="G19" s="13">
        <v>1</v>
      </c>
      <c r="H19" s="46"/>
      <c r="I19" s="16"/>
      <c r="J19" s="11"/>
      <c r="K19" s="12"/>
      <c r="L19" s="10"/>
    </row>
    <row r="20" ht="15.6" spans="1:12">
      <c r="A20" s="4"/>
      <c r="B20" s="10"/>
      <c r="C20" s="12"/>
      <c r="D20" s="12"/>
      <c r="E20" s="13"/>
      <c r="F20" s="56"/>
      <c r="G20" s="12">
        <v>2</v>
      </c>
      <c r="H20" s="46"/>
      <c r="I20" s="12"/>
      <c r="J20" s="11"/>
      <c r="K20" s="12"/>
      <c r="L20" s="10"/>
    </row>
    <row r="21" ht="15.6" spans="1:12">
      <c r="A21" s="4"/>
      <c r="B21" s="10"/>
      <c r="C21" s="12"/>
      <c r="D21" s="12"/>
      <c r="E21" s="13"/>
      <c r="F21" s="57"/>
      <c r="G21" s="12">
        <v>3</v>
      </c>
      <c r="H21" s="46"/>
      <c r="I21" s="12"/>
      <c r="J21" s="11"/>
      <c r="K21" s="12"/>
      <c r="L21" s="10"/>
    </row>
    <row r="22" ht="15" spans="1:12">
      <c r="A22" s="4"/>
      <c r="B22" s="10"/>
      <c r="C22" s="12"/>
      <c r="D22" s="12"/>
      <c r="E22" s="39" t="s">
        <v>170</v>
      </c>
      <c r="F22" s="39"/>
      <c r="G22" s="39"/>
      <c r="H22" s="39"/>
      <c r="I22" s="39"/>
      <c r="J22" s="47"/>
      <c r="K22" s="48"/>
      <c r="L22" s="49">
        <f>SUM(L17:L21)</f>
        <v>5</v>
      </c>
    </row>
    <row r="23" ht="15.6" spans="1:12">
      <c r="A23" s="4"/>
      <c r="B23" s="10"/>
      <c r="C23" s="12"/>
      <c r="D23" s="12"/>
      <c r="E23" s="13" t="s">
        <v>171</v>
      </c>
      <c r="F23" s="13" t="s">
        <v>56</v>
      </c>
      <c r="G23" s="13">
        <v>1</v>
      </c>
      <c r="H23" s="44"/>
      <c r="I23" s="12"/>
      <c r="J23" s="45"/>
      <c r="K23" s="13"/>
      <c r="L23" s="17"/>
    </row>
    <row r="24" ht="15.6" spans="1:12">
      <c r="A24" s="4"/>
      <c r="B24" s="10"/>
      <c r="C24" s="12"/>
      <c r="D24" s="12"/>
      <c r="E24" s="13"/>
      <c r="F24" s="13"/>
      <c r="G24" s="13">
        <v>2</v>
      </c>
      <c r="H24" s="51"/>
      <c r="I24" s="52"/>
      <c r="J24" s="53"/>
      <c r="K24" s="52"/>
      <c r="L24" s="29"/>
    </row>
    <row r="25" ht="15" spans="1:12">
      <c r="A25" s="4" t="s">
        <v>329</v>
      </c>
      <c r="B25" s="10" t="s">
        <v>121</v>
      </c>
      <c r="C25" s="12" t="s">
        <v>324</v>
      </c>
      <c r="D25" s="12"/>
      <c r="E25" s="13" t="s">
        <v>173</v>
      </c>
      <c r="F25" s="14" t="s">
        <v>56</v>
      </c>
      <c r="G25" s="55">
        <v>1</v>
      </c>
      <c r="H25" s="46" t="s">
        <v>330</v>
      </c>
      <c r="I25" s="16" t="s">
        <v>326</v>
      </c>
      <c r="J25" s="11">
        <v>1</v>
      </c>
      <c r="K25" s="58"/>
      <c r="L25" s="17">
        <v>1</v>
      </c>
    </row>
    <row r="26" ht="15" spans="1:12">
      <c r="A26" s="4"/>
      <c r="B26" s="10"/>
      <c r="C26" s="12"/>
      <c r="D26" s="12"/>
      <c r="E26" s="13"/>
      <c r="F26" s="56"/>
      <c r="G26" s="55">
        <v>2</v>
      </c>
      <c r="H26" s="59"/>
      <c r="I26" s="59"/>
      <c r="J26" s="59"/>
      <c r="K26" s="59"/>
      <c r="L26" s="60"/>
    </row>
    <row r="27" ht="15" spans="1:12">
      <c r="A27" s="4"/>
      <c r="B27" s="10"/>
      <c r="C27" s="12"/>
      <c r="D27" s="12"/>
      <c r="E27" s="13"/>
      <c r="F27" s="56"/>
      <c r="G27" s="55">
        <v>3</v>
      </c>
      <c r="H27" s="59"/>
      <c r="I27" s="59"/>
      <c r="J27" s="59"/>
      <c r="K27" s="59"/>
      <c r="L27" s="60"/>
    </row>
    <row r="28" ht="15" spans="1:12">
      <c r="A28" s="4"/>
      <c r="B28" s="10"/>
      <c r="C28" s="12"/>
      <c r="D28" s="12"/>
      <c r="E28" s="13"/>
      <c r="F28" s="56"/>
      <c r="G28" s="12">
        <v>4</v>
      </c>
      <c r="H28" s="61"/>
      <c r="I28" s="62"/>
      <c r="J28" s="63"/>
      <c r="K28" s="36"/>
      <c r="L28" s="64"/>
    </row>
    <row r="29" ht="15" spans="1:12">
      <c r="A29" s="4"/>
      <c r="B29" s="10"/>
      <c r="C29" s="12"/>
      <c r="D29" s="12"/>
      <c r="E29" s="13"/>
      <c r="F29" s="56"/>
      <c r="G29" s="12">
        <v>5</v>
      </c>
      <c r="H29" s="46"/>
      <c r="I29" s="16"/>
      <c r="J29" s="11"/>
      <c r="K29" s="12"/>
      <c r="L29" s="17"/>
    </row>
    <row r="30" ht="15" spans="1:12">
      <c r="A30" s="4"/>
      <c r="B30" s="10"/>
      <c r="C30" s="12"/>
      <c r="D30" s="12"/>
      <c r="E30" s="13"/>
      <c r="F30" s="57"/>
      <c r="G30" s="12">
        <v>6</v>
      </c>
      <c r="H30" s="65"/>
      <c r="I30" s="12"/>
      <c r="J30" s="11"/>
      <c r="K30" s="12"/>
      <c r="L30" s="17"/>
    </row>
    <row r="31" ht="15" spans="1:12">
      <c r="A31" s="4"/>
      <c r="B31" s="10"/>
      <c r="C31" s="12"/>
      <c r="D31" s="12"/>
      <c r="E31" s="13"/>
      <c r="F31" s="14" t="s">
        <v>197</v>
      </c>
      <c r="G31" s="13">
        <v>1</v>
      </c>
      <c r="H31" s="46"/>
      <c r="I31" s="16"/>
      <c r="J31" s="11"/>
      <c r="K31" s="12"/>
      <c r="L31" s="17"/>
    </row>
    <row r="32" ht="15.6" spans="1:12">
      <c r="A32" s="4"/>
      <c r="B32" s="10"/>
      <c r="C32" s="12"/>
      <c r="D32" s="12"/>
      <c r="E32" s="13"/>
      <c r="F32" s="56"/>
      <c r="G32" s="12">
        <v>2</v>
      </c>
      <c r="H32" s="46"/>
      <c r="I32" s="12"/>
      <c r="J32" s="11"/>
      <c r="K32" s="12"/>
      <c r="L32" s="10"/>
    </row>
    <row r="33" ht="15.6" spans="1:12">
      <c r="A33" s="4"/>
      <c r="B33" s="10"/>
      <c r="C33" s="12"/>
      <c r="D33" s="12"/>
      <c r="E33" s="13"/>
      <c r="F33" s="57"/>
      <c r="G33" s="12">
        <v>3</v>
      </c>
      <c r="H33" s="46"/>
      <c r="I33" s="12"/>
      <c r="J33" s="11"/>
      <c r="K33" s="12"/>
      <c r="L33" s="10"/>
    </row>
    <row r="34" ht="15" spans="1:12">
      <c r="A34" s="4"/>
      <c r="B34" s="10"/>
      <c r="C34" s="12"/>
      <c r="D34" s="12"/>
      <c r="E34" s="39" t="s">
        <v>170</v>
      </c>
      <c r="F34" s="39"/>
      <c r="G34" s="39"/>
      <c r="H34" s="39"/>
      <c r="I34" s="39"/>
      <c r="J34" s="47"/>
      <c r="K34" s="48"/>
      <c r="L34" s="49">
        <f>SUM(L25:L33)</f>
        <v>1</v>
      </c>
    </row>
    <row r="35" ht="15.6" spans="1:12">
      <c r="A35" s="4"/>
      <c r="B35" s="10"/>
      <c r="C35" s="12"/>
      <c r="D35" s="12"/>
      <c r="E35" s="13" t="s">
        <v>171</v>
      </c>
      <c r="F35" s="13" t="s">
        <v>56</v>
      </c>
      <c r="G35" s="13">
        <v>1</v>
      </c>
      <c r="H35" s="44"/>
      <c r="I35" s="12"/>
      <c r="J35" s="45"/>
      <c r="K35" s="13"/>
      <c r="L35" s="50"/>
    </row>
    <row r="36" ht="15.6" spans="1:12">
      <c r="A36" s="4"/>
      <c r="B36" s="10"/>
      <c r="C36" s="12"/>
      <c r="D36" s="12"/>
      <c r="E36" s="13"/>
      <c r="F36" s="13"/>
      <c r="G36" s="13">
        <v>2</v>
      </c>
      <c r="H36" s="44"/>
      <c r="I36" s="13"/>
      <c r="J36" s="45"/>
      <c r="K36" s="13"/>
      <c r="L36" s="17"/>
    </row>
    <row r="37" ht="15" spans="1:12">
      <c r="A37" s="4" t="s">
        <v>331</v>
      </c>
      <c r="B37" s="10" t="s">
        <v>121</v>
      </c>
      <c r="C37" s="11">
        <v>0.96</v>
      </c>
      <c r="D37" s="12"/>
      <c r="E37" s="13" t="s">
        <v>173</v>
      </c>
      <c r="F37" s="14" t="s">
        <v>56</v>
      </c>
      <c r="G37" s="12">
        <v>1</v>
      </c>
      <c r="H37" s="46"/>
      <c r="I37" s="16"/>
      <c r="J37" s="11"/>
      <c r="K37" s="12"/>
      <c r="L37" s="17"/>
    </row>
    <row r="38" ht="15" spans="1:12">
      <c r="A38" s="4"/>
      <c r="B38" s="10"/>
      <c r="C38" s="12"/>
      <c r="D38" s="12"/>
      <c r="E38" s="13"/>
      <c r="F38" s="18"/>
      <c r="G38" s="12">
        <v>2</v>
      </c>
      <c r="H38" s="46"/>
      <c r="I38" s="16"/>
      <c r="J38" s="11"/>
      <c r="K38" s="12"/>
      <c r="L38" s="17"/>
    </row>
    <row r="39" ht="15" spans="1:12">
      <c r="A39" s="4"/>
      <c r="B39" s="10"/>
      <c r="C39" s="12"/>
      <c r="D39" s="12"/>
      <c r="E39" s="13"/>
      <c r="F39" s="18"/>
      <c r="G39" s="12">
        <v>3</v>
      </c>
      <c r="H39" s="66"/>
      <c r="I39" s="16"/>
      <c r="J39" s="11"/>
      <c r="K39" s="12"/>
      <c r="L39" s="17"/>
    </row>
    <row r="40" ht="15" spans="1:12">
      <c r="A40" s="4"/>
      <c r="B40" s="10"/>
      <c r="C40" s="12"/>
      <c r="D40" s="12"/>
      <c r="E40" s="13"/>
      <c r="F40" s="18"/>
      <c r="G40" s="12">
        <v>4</v>
      </c>
      <c r="H40" s="46"/>
      <c r="I40" s="16"/>
      <c r="J40" s="11"/>
      <c r="K40" s="12"/>
      <c r="L40" s="17"/>
    </row>
    <row r="41" ht="15" spans="1:12">
      <c r="A41" s="4"/>
      <c r="B41" s="10"/>
      <c r="C41" s="12"/>
      <c r="D41" s="12"/>
      <c r="E41" s="13"/>
      <c r="F41" s="18"/>
      <c r="G41" s="12">
        <v>5</v>
      </c>
      <c r="H41" s="46"/>
      <c r="I41" s="16"/>
      <c r="J41" s="11"/>
      <c r="K41" s="12"/>
      <c r="L41" s="17"/>
    </row>
    <row r="42" ht="15" spans="1:12">
      <c r="A42" s="4"/>
      <c r="B42" s="10"/>
      <c r="C42" s="12"/>
      <c r="D42" s="12"/>
      <c r="E42" s="13"/>
      <c r="F42" s="36"/>
      <c r="G42" s="12">
        <v>6</v>
      </c>
      <c r="H42" s="67"/>
      <c r="I42" s="16"/>
      <c r="J42" s="68"/>
      <c r="K42" s="12"/>
      <c r="L42" s="17"/>
    </row>
    <row r="43" ht="15" spans="1:12">
      <c r="A43" s="4"/>
      <c r="B43" s="10"/>
      <c r="C43" s="12"/>
      <c r="D43" s="12"/>
      <c r="E43" s="13"/>
      <c r="F43" s="14" t="s">
        <v>332</v>
      </c>
      <c r="G43" s="69">
        <v>1</v>
      </c>
      <c r="H43" s="70"/>
      <c r="I43" s="71"/>
      <c r="J43" s="72"/>
      <c r="K43" s="73"/>
      <c r="L43" s="17"/>
    </row>
    <row r="44" ht="15" spans="1:12">
      <c r="A44" s="4"/>
      <c r="B44" s="10"/>
      <c r="C44" s="12"/>
      <c r="D44" s="12"/>
      <c r="E44" s="13"/>
      <c r="F44" s="18"/>
      <c r="G44" s="55">
        <v>2</v>
      </c>
      <c r="H44" s="70"/>
      <c r="I44" s="74"/>
      <c r="J44" s="72"/>
      <c r="K44" s="73"/>
      <c r="L44" s="17"/>
    </row>
    <row r="45" ht="15" spans="1:12">
      <c r="A45" s="4"/>
      <c r="B45" s="10"/>
      <c r="C45" s="12"/>
      <c r="D45" s="12"/>
      <c r="E45" s="13"/>
      <c r="F45" s="36"/>
      <c r="G45" s="12">
        <v>3</v>
      </c>
      <c r="H45" s="61"/>
      <c r="I45" s="12"/>
      <c r="J45" s="63"/>
      <c r="K45" s="12"/>
      <c r="L45" s="17"/>
    </row>
    <row r="46" ht="15" spans="1:12">
      <c r="A46" s="4"/>
      <c r="B46" s="10"/>
      <c r="C46" s="12"/>
      <c r="D46" s="12"/>
      <c r="E46" s="39" t="s">
        <v>170</v>
      </c>
      <c r="F46" s="39"/>
      <c r="G46" s="39"/>
      <c r="H46" s="39"/>
      <c r="I46" s="39"/>
      <c r="J46" s="47"/>
      <c r="K46" s="48"/>
      <c r="L46" s="49">
        <f>SUM(L37:L45)</f>
        <v>0</v>
      </c>
    </row>
    <row r="47" ht="15.6" spans="1:12">
      <c r="A47" s="4"/>
      <c r="B47" s="10"/>
      <c r="C47" s="12"/>
      <c r="D47" s="12"/>
      <c r="E47" s="13" t="s">
        <v>171</v>
      </c>
      <c r="F47" s="13" t="s">
        <v>56</v>
      </c>
      <c r="G47" s="13">
        <v>1</v>
      </c>
      <c r="H47" s="44"/>
      <c r="I47" s="12"/>
      <c r="J47" s="45"/>
      <c r="K47" s="13"/>
      <c r="L47" s="50"/>
    </row>
    <row r="48" ht="15.6" spans="1:12">
      <c r="A48" s="4"/>
      <c r="B48" s="10"/>
      <c r="C48" s="12"/>
      <c r="D48" s="12"/>
      <c r="E48" s="13"/>
      <c r="F48" s="13"/>
      <c r="G48" s="13">
        <v>2</v>
      </c>
      <c r="H48" s="44"/>
      <c r="I48" s="13"/>
      <c r="J48" s="45"/>
      <c r="K48" s="13"/>
      <c r="L48" s="50"/>
    </row>
    <row r="49" ht="15" spans="1:12">
      <c r="A49" s="4" t="s">
        <v>333</v>
      </c>
      <c r="B49" s="10" t="s">
        <v>121</v>
      </c>
      <c r="C49" s="12" t="s">
        <v>324</v>
      </c>
      <c r="D49" s="12"/>
      <c r="E49" s="13" t="s">
        <v>173</v>
      </c>
      <c r="F49" s="12" t="s">
        <v>56</v>
      </c>
      <c r="G49" s="12">
        <v>1</v>
      </c>
      <c r="H49" s="46"/>
      <c r="I49" s="16"/>
      <c r="J49" s="11"/>
      <c r="K49" s="12"/>
      <c r="L49" s="17"/>
    </row>
    <row r="50" ht="15" spans="1:12">
      <c r="A50" s="4"/>
      <c r="B50" s="10"/>
      <c r="C50" s="12"/>
      <c r="D50" s="12"/>
      <c r="E50" s="13"/>
      <c r="F50" s="12"/>
      <c r="G50" s="12">
        <v>2</v>
      </c>
      <c r="H50" s="65"/>
      <c r="I50" s="16"/>
      <c r="J50" s="11"/>
      <c r="K50" s="12"/>
      <c r="L50" s="17"/>
    </row>
    <row r="51" ht="15" spans="1:12">
      <c r="A51" s="4"/>
      <c r="B51" s="10"/>
      <c r="C51" s="12"/>
      <c r="D51" s="12"/>
      <c r="E51" s="13"/>
      <c r="F51" s="12"/>
      <c r="G51" s="12">
        <v>3</v>
      </c>
      <c r="H51" s="46"/>
      <c r="I51" s="16"/>
      <c r="J51" s="11"/>
      <c r="K51" s="12"/>
      <c r="L51" s="17"/>
    </row>
    <row r="52" ht="15" spans="1:12">
      <c r="A52" s="4"/>
      <c r="B52" s="10"/>
      <c r="C52" s="12"/>
      <c r="D52" s="12"/>
      <c r="E52" s="13"/>
      <c r="F52" s="12"/>
      <c r="G52" s="12">
        <v>4</v>
      </c>
      <c r="H52" s="46"/>
      <c r="I52" s="16"/>
      <c r="J52" s="11"/>
      <c r="K52" s="12"/>
      <c r="L52" s="17"/>
    </row>
    <row r="53" ht="15" spans="1:12">
      <c r="A53" s="4"/>
      <c r="B53" s="10"/>
      <c r="C53" s="12"/>
      <c r="D53" s="12"/>
      <c r="E53" s="13"/>
      <c r="F53" s="12"/>
      <c r="G53" s="12">
        <v>5</v>
      </c>
      <c r="H53" s="46"/>
      <c r="I53" s="16"/>
      <c r="J53" s="11"/>
      <c r="K53" s="12"/>
      <c r="L53" s="17"/>
    </row>
    <row r="54" ht="15" spans="1:12">
      <c r="A54" s="4"/>
      <c r="B54" s="10"/>
      <c r="C54" s="12"/>
      <c r="D54" s="12"/>
      <c r="E54" s="13"/>
      <c r="F54" s="12"/>
      <c r="G54" s="12">
        <v>6</v>
      </c>
      <c r="H54" s="65"/>
      <c r="I54" s="12"/>
      <c r="J54" s="11"/>
      <c r="K54" s="12"/>
      <c r="L54" s="17"/>
    </row>
    <row r="55" ht="15" spans="1:12">
      <c r="A55" s="4"/>
      <c r="B55" s="10"/>
      <c r="C55" s="12"/>
      <c r="D55" s="12"/>
      <c r="E55" s="13"/>
      <c r="F55" s="12"/>
      <c r="G55" s="13">
        <v>7</v>
      </c>
      <c r="H55" s="46"/>
      <c r="I55" s="12"/>
      <c r="J55" s="11"/>
      <c r="K55" s="12"/>
      <c r="L55" s="17"/>
    </row>
    <row r="56" ht="15" spans="1:12">
      <c r="A56" s="4"/>
      <c r="B56" s="10"/>
      <c r="C56" s="12"/>
      <c r="D56" s="12"/>
      <c r="E56" s="13"/>
      <c r="F56" s="12"/>
      <c r="G56" s="12">
        <v>8</v>
      </c>
      <c r="H56" s="46"/>
      <c r="I56" s="12"/>
      <c r="J56" s="11"/>
      <c r="K56" s="12"/>
      <c r="L56" s="17"/>
    </row>
    <row r="57" ht="15" spans="1:12">
      <c r="A57" s="4"/>
      <c r="B57" s="10"/>
      <c r="C57" s="12"/>
      <c r="D57" s="12"/>
      <c r="E57" s="13"/>
      <c r="F57" s="12"/>
      <c r="G57" s="12">
        <v>9</v>
      </c>
      <c r="H57" s="46"/>
      <c r="I57" s="12"/>
      <c r="J57" s="11"/>
      <c r="K57" s="12"/>
      <c r="L57" s="17"/>
    </row>
    <row r="58" ht="15" spans="1:12">
      <c r="A58" s="4"/>
      <c r="B58" s="10"/>
      <c r="C58" s="12"/>
      <c r="D58" s="12"/>
      <c r="E58" s="39" t="s">
        <v>170</v>
      </c>
      <c r="F58" s="39"/>
      <c r="G58" s="39"/>
      <c r="H58" s="39"/>
      <c r="I58" s="39"/>
      <c r="J58" s="47"/>
      <c r="K58" s="48"/>
      <c r="L58" s="49">
        <f>SUM(L49:L57)</f>
        <v>0</v>
      </c>
    </row>
    <row r="59" ht="15.6" spans="1:12">
      <c r="A59" s="4"/>
      <c r="B59" s="10"/>
      <c r="C59" s="12"/>
      <c r="D59" s="12"/>
      <c r="E59" s="13" t="s">
        <v>171</v>
      </c>
      <c r="F59" s="13" t="s">
        <v>56</v>
      </c>
      <c r="G59" s="13">
        <v>1</v>
      </c>
      <c r="H59" s="44"/>
      <c r="I59" s="12"/>
      <c r="J59" s="45"/>
      <c r="K59" s="13"/>
      <c r="L59" s="17"/>
    </row>
    <row r="60" ht="15.6" spans="1:12">
      <c r="A60" s="4"/>
      <c r="B60" s="10"/>
      <c r="C60" s="12"/>
      <c r="D60" s="12"/>
      <c r="E60" s="13"/>
      <c r="F60" s="13"/>
      <c r="G60" s="13">
        <v>2</v>
      </c>
      <c r="H60" s="44"/>
      <c r="I60" s="13"/>
      <c r="J60" s="45"/>
      <c r="K60" s="13"/>
      <c r="L60" s="17"/>
    </row>
    <row r="61" ht="15" spans="1:12">
      <c r="A61" s="4" t="s">
        <v>334</v>
      </c>
      <c r="B61" s="10" t="s">
        <v>310</v>
      </c>
      <c r="C61" s="12" t="s">
        <v>324</v>
      </c>
      <c r="D61" s="12"/>
      <c r="E61" s="13" t="s">
        <v>173</v>
      </c>
      <c r="F61" s="12" t="s">
        <v>56</v>
      </c>
      <c r="G61" s="12">
        <v>1</v>
      </c>
      <c r="H61" s="75"/>
      <c r="I61" s="16"/>
      <c r="J61" s="11"/>
      <c r="K61" s="12"/>
      <c r="L61" s="17"/>
    </row>
    <row r="62" ht="15" spans="1:12">
      <c r="A62" s="4"/>
      <c r="B62" s="10"/>
      <c r="C62" s="12"/>
      <c r="D62" s="12"/>
      <c r="E62" s="13"/>
      <c r="F62" s="12"/>
      <c r="G62" s="12">
        <v>2</v>
      </c>
      <c r="H62" s="65"/>
      <c r="I62" s="16"/>
      <c r="J62" s="11"/>
      <c r="K62" s="12"/>
      <c r="L62" s="17"/>
    </row>
    <row r="63" ht="15" spans="1:12">
      <c r="A63" s="4"/>
      <c r="B63" s="10"/>
      <c r="C63" s="12"/>
      <c r="D63" s="12"/>
      <c r="E63" s="13"/>
      <c r="F63" s="12"/>
      <c r="G63" s="12">
        <v>3</v>
      </c>
      <c r="H63" s="46"/>
      <c r="I63" s="16"/>
      <c r="J63" s="11"/>
      <c r="K63" s="12"/>
      <c r="L63" s="17"/>
    </row>
    <row r="64" ht="15" spans="1:12">
      <c r="A64" s="4"/>
      <c r="B64" s="10"/>
      <c r="C64" s="12"/>
      <c r="D64" s="12"/>
      <c r="E64" s="13"/>
      <c r="F64" s="12"/>
      <c r="G64" s="12">
        <v>4</v>
      </c>
      <c r="H64" s="46"/>
      <c r="I64" s="16"/>
      <c r="J64" s="11"/>
      <c r="K64" s="12"/>
      <c r="L64" s="17"/>
    </row>
    <row r="65" ht="15" spans="1:12">
      <c r="A65" s="4"/>
      <c r="B65" s="10"/>
      <c r="C65" s="12"/>
      <c r="D65" s="12"/>
      <c r="E65" s="13"/>
      <c r="F65" s="12"/>
      <c r="G65" s="12">
        <v>5</v>
      </c>
      <c r="H65" s="46"/>
      <c r="I65" s="16"/>
      <c r="J65" s="11"/>
      <c r="K65" s="12"/>
      <c r="L65" s="17"/>
    </row>
    <row r="66" ht="15" spans="1:12">
      <c r="A66" s="4"/>
      <c r="B66" s="10"/>
      <c r="C66" s="12"/>
      <c r="D66" s="12"/>
      <c r="E66" s="13"/>
      <c r="F66" s="12"/>
      <c r="G66" s="12">
        <v>6</v>
      </c>
      <c r="H66" s="65"/>
      <c r="I66" s="12"/>
      <c r="J66" s="11"/>
      <c r="K66" s="12"/>
      <c r="L66" s="17"/>
    </row>
    <row r="67" ht="15" spans="1:12">
      <c r="A67" s="4"/>
      <c r="B67" s="10"/>
      <c r="C67" s="12"/>
      <c r="D67" s="12"/>
      <c r="E67" s="13"/>
      <c r="F67" s="12"/>
      <c r="G67" s="13">
        <v>7</v>
      </c>
      <c r="H67" s="46"/>
      <c r="I67" s="12"/>
      <c r="J67" s="11"/>
      <c r="K67" s="12"/>
      <c r="L67" s="17"/>
    </row>
    <row r="68" ht="15" spans="1:12">
      <c r="A68" s="4"/>
      <c r="B68" s="10"/>
      <c r="C68" s="12"/>
      <c r="D68" s="12"/>
      <c r="E68" s="13"/>
      <c r="F68" s="12"/>
      <c r="G68" s="12">
        <v>8</v>
      </c>
      <c r="H68" s="46"/>
      <c r="I68" s="12"/>
      <c r="J68" s="11"/>
      <c r="K68" s="12"/>
      <c r="L68" s="17"/>
    </row>
    <row r="69" ht="15" spans="1:12">
      <c r="A69" s="4"/>
      <c r="B69" s="10"/>
      <c r="C69" s="12"/>
      <c r="D69" s="12"/>
      <c r="E69" s="13"/>
      <c r="F69" s="12"/>
      <c r="G69" s="12">
        <v>9</v>
      </c>
      <c r="H69" s="46"/>
      <c r="I69" s="12"/>
      <c r="J69" s="11"/>
      <c r="K69" s="12"/>
      <c r="L69" s="17"/>
    </row>
    <row r="70" ht="15" spans="1:12">
      <c r="A70" s="4"/>
      <c r="B70" s="10"/>
      <c r="C70" s="12"/>
      <c r="D70" s="12"/>
      <c r="E70" s="39" t="s">
        <v>170</v>
      </c>
      <c r="F70" s="39"/>
      <c r="G70" s="39"/>
      <c r="H70" s="39"/>
      <c r="I70" s="39"/>
      <c r="J70" s="47"/>
      <c r="K70" s="48"/>
      <c r="L70" s="49">
        <f>SUM(L61:L69)</f>
        <v>0</v>
      </c>
    </row>
    <row r="71" ht="15.6" spans="1:12">
      <c r="A71" s="4"/>
      <c r="B71" s="10"/>
      <c r="C71" s="12"/>
      <c r="D71" s="12"/>
      <c r="E71" s="13" t="s">
        <v>171</v>
      </c>
      <c r="F71" s="13" t="s">
        <v>56</v>
      </c>
      <c r="G71" s="13">
        <v>1</v>
      </c>
      <c r="H71" s="44"/>
      <c r="I71" s="12"/>
      <c r="J71" s="45"/>
      <c r="K71" s="13"/>
      <c r="L71" s="50"/>
    </row>
    <row r="72" ht="15.6" spans="1:12">
      <c r="A72" s="4"/>
      <c r="B72" s="10"/>
      <c r="C72" s="12"/>
      <c r="D72" s="12"/>
      <c r="E72" s="13"/>
      <c r="F72" s="13"/>
      <c r="G72" s="13">
        <v>2</v>
      </c>
      <c r="H72" s="44"/>
      <c r="I72" s="13"/>
      <c r="J72" s="45"/>
      <c r="K72" s="13"/>
      <c r="L72" s="50"/>
    </row>
  </sheetData>
  <autoFilter xmlns:etc="http://www.wps.cn/officeDocument/2017/etCustomData" ref="I1:I40" etc:filterBottomFollowUsedRange="0">
    <extLst/>
  </autoFilter>
  <mergeCells count="66">
    <mergeCell ref="E8:H8"/>
    <mergeCell ref="E14:H14"/>
    <mergeCell ref="E22:H22"/>
    <mergeCell ref="E34:H34"/>
    <mergeCell ref="E46:H46"/>
    <mergeCell ref="E58:H58"/>
    <mergeCell ref="E70:H70"/>
    <mergeCell ref="A2:A10"/>
    <mergeCell ref="A11:A16"/>
    <mergeCell ref="A17:A24"/>
    <mergeCell ref="A25:A36"/>
    <mergeCell ref="A37:A48"/>
    <mergeCell ref="A49:A60"/>
    <mergeCell ref="A61:A72"/>
    <mergeCell ref="B2:B10"/>
    <mergeCell ref="B11:B16"/>
    <mergeCell ref="B17:B24"/>
    <mergeCell ref="B25:B36"/>
    <mergeCell ref="B37:B48"/>
    <mergeCell ref="B49:B60"/>
    <mergeCell ref="B61:B72"/>
    <mergeCell ref="C2:C10"/>
    <mergeCell ref="C11:C16"/>
    <mergeCell ref="C17:C24"/>
    <mergeCell ref="C25:C36"/>
    <mergeCell ref="C37:C48"/>
    <mergeCell ref="C49:C60"/>
    <mergeCell ref="C61:C72"/>
    <mergeCell ref="D2:D10"/>
    <mergeCell ref="D11:D16"/>
    <mergeCell ref="D17:D24"/>
    <mergeCell ref="D25:D36"/>
    <mergeCell ref="D37:D48"/>
    <mergeCell ref="D49:D60"/>
    <mergeCell ref="D61:D72"/>
    <mergeCell ref="E2:E7"/>
    <mergeCell ref="E9:E10"/>
    <mergeCell ref="E11:E13"/>
    <mergeCell ref="E15:E16"/>
    <mergeCell ref="E17:E21"/>
    <mergeCell ref="E23:E24"/>
    <mergeCell ref="E25:E33"/>
    <mergeCell ref="E35:E36"/>
    <mergeCell ref="E37:E45"/>
    <mergeCell ref="E47:E48"/>
    <mergeCell ref="E49:E57"/>
    <mergeCell ref="E59:E60"/>
    <mergeCell ref="E61:E69"/>
    <mergeCell ref="E71:E72"/>
    <mergeCell ref="F2:F7"/>
    <mergeCell ref="F9:F10"/>
    <mergeCell ref="F11:F13"/>
    <mergeCell ref="F15:F16"/>
    <mergeCell ref="F17:F18"/>
    <mergeCell ref="F19:F21"/>
    <mergeCell ref="F23:F24"/>
    <mergeCell ref="F25:F30"/>
    <mergeCell ref="F31:F33"/>
    <mergeCell ref="F35:F36"/>
    <mergeCell ref="F37:F42"/>
    <mergeCell ref="F43:F45"/>
    <mergeCell ref="F47:F48"/>
    <mergeCell ref="F49:F57"/>
    <mergeCell ref="F59:F60"/>
    <mergeCell ref="F61:F69"/>
    <mergeCell ref="F71:F7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项目汇总</vt:lpstr>
      <vt:lpstr>交付-不动产组</vt:lpstr>
      <vt:lpstr>交付-房产组</vt:lpstr>
      <vt:lpstr>交付-物业组</vt:lpstr>
      <vt:lpstr>交付-AI大数据组</vt:lpstr>
      <vt:lpstr>交付-JD组</vt:lpstr>
      <vt:lpstr>产品研发部</vt:lpstr>
      <vt:lpstr>汇房智选部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2026-05-16T14:17:50Z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2052-12.1.0.26375</vt:lpwstr>
  </property>
  <property fmtid="{D5CDD505-2E9C-101B-9397-08002B2CF9AE}" pid="4" name="CalculationRule">
    <vt:i4>0</vt:i4>
  </property>
</Properties>
</file>