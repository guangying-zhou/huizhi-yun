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905"/>
  </bookViews>
  <sheets>
    <sheet name="项目汇总" sheetId="1" r:id="rId1"/>
    <sheet name="交付-不动产组" sheetId="2" r:id="rId2"/>
    <sheet name="交付-房产组" sheetId="3" r:id="rId3"/>
    <sheet name="交付-物业组" sheetId="4" r:id="rId4"/>
    <sheet name="交付-AI大数据组" sheetId="5" r:id="rId5"/>
    <sheet name="交付-JD组" sheetId="6" r:id="rId6"/>
    <sheet name="产品研发部" sheetId="7" r:id="rId7"/>
    <sheet name="汇房智选部" sheetId="8" r:id="rId8"/>
    <sheet name="软件项目部" sheetId="9" r:id="rId9"/>
  </sheets>
  <externalReferences>
    <externalReference r:id="rId10"/>
    <externalReference r:id="rId11"/>
    <externalReference r:id="rId12"/>
    <externalReference r:id="rId13"/>
  </externalReferences>
  <definedNames>
    <definedName name="_xlnm._FilterDatabase" localSheetId="1" hidden="1">'交付-不动产组'!$A$1:$L$39</definedName>
    <definedName name="_xlnm._FilterDatabase" localSheetId="7" hidden="1">汇房智选部!$I$1:$I$56</definedName>
    <definedName name="_xlnm._FilterDatabase" localSheetId="8" hidden="1">软件项目部!$A$1:$Z$41</definedName>
    <definedName name="_xlnm._FilterDatabase" localSheetId="2" hidden="1">#REF!</definedName>
    <definedName name="_xlnm._FilterDatabase" localSheetId="3" hidden="1">#REF!</definedName>
    <definedName name="_xlnm._FilterDatabase" localSheetId="4" hidden="1">#REF!</definedName>
    <definedName name="_xlnm._FilterDatabase" localSheetId="5" hidden="1">#REF!</definedName>
    <definedName name="_xlnm._FilterDatabase" localSheetId="6" hidden="1">产品研发部!#REF!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M2" authorId="0">
      <text>
        <r>
          <rPr>
            <b/>
            <sz val="9"/>
            <rFont val="宋体"/>
            <charset val="134"/>
          </rPr>
          <t>王壮-leo:</t>
        </r>
        <r>
          <rPr>
            <sz val="9"/>
            <rFont val="宋体"/>
            <charset val="134"/>
          </rPr>
          <t xml:space="preserve">
按照每周各项目成员填报工时累计之和除以8计算</t>
        </r>
      </text>
    </comment>
  </commentList>
</comments>
</file>

<file path=xl/sharedStrings.xml><?xml version="1.0" encoding="utf-8"?>
<sst xmlns="http://schemas.openxmlformats.org/spreadsheetml/2006/main" count="980" uniqueCount="408">
  <si>
    <t>项目周报汇总（2026.4.19-2025.4.24）</t>
  </si>
  <si>
    <t>序号</t>
  </si>
  <si>
    <t>隶属部门</t>
  </si>
  <si>
    <t>项目类型</t>
  </si>
  <si>
    <t>项目编号</t>
  </si>
  <si>
    <t>项目名称</t>
  </si>
  <si>
    <t>项目经理</t>
  </si>
  <si>
    <t>立项情况</t>
  </si>
  <si>
    <t>当前阶段</t>
  </si>
  <si>
    <t>进度情况</t>
  </si>
  <si>
    <t>总体完成进度</t>
  </si>
  <si>
    <t>合同状态</t>
  </si>
  <si>
    <t>回款情况</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</si>
  <si>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</si>
  <si>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</si>
  <si>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</si>
  <si>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</si>
  <si>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</si>
  <si>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</si>
  <si>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</si>
  <si>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</si>
  <si>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</si>
  <si>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</si>
  <si>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</si>
  <si>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</si>
  <si>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</si>
  <si>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</si>
  <si>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已申报预算，未签订</t>
  </si>
  <si>
    <t>不动产登记信息平台信创升级改造项目</t>
  </si>
  <si>
    <t>已立项</t>
  </si>
  <si>
    <t>验收</t>
  </si>
  <si>
    <t>已签订</t>
  </si>
  <si>
    <t>完成初验，目前处于各子系统陆续切换过程中，分好多系统需要信创上线  最后一个系统上线是今年10月份；4.17那周电子监督和电子证照本周上线，本周4.24云柜台、智能审核、律师查询系统上线</t>
  </si>
  <si>
    <t>济南市不动产登记云柜台（线上移动)系统</t>
  </si>
  <si>
    <t>陈一明</t>
  </si>
  <si>
    <t>未立项</t>
  </si>
  <si>
    <t>云柜台上线好几年了，之前不断增加新功能，今年基本没有新增需求，目前处于运维过程中，本月云柜台信创上线</t>
  </si>
  <si>
    <t>济南市不动产预受理系统</t>
  </si>
  <si>
    <t>2025年4月上线，一直保持运维过程中，项目运行文档，本周没有工作输出</t>
  </si>
  <si>
    <t>房产组
（刘存山）</t>
  </si>
  <si>
    <t>济南市房产交易管理平台拓展</t>
  </si>
  <si>
    <t>张大伟</t>
  </si>
  <si>
    <t>未签订</t>
  </si>
  <si>
    <t>济南房产交易与租赁服务平台</t>
  </si>
  <si>
    <t>李宪鹏</t>
  </si>
  <si>
    <t>严重延迟</t>
  </si>
  <si>
    <t>已签合同</t>
  </si>
  <si>
    <t>进度延迟严重</t>
  </si>
  <si>
    <t>2025年12月完成初验，目前调整及测试中，计划4月初上线</t>
  </si>
  <si>
    <t>21250606J</t>
  </si>
  <si>
    <t>山东省机关事务局职工房改管理系统适配改造项目</t>
  </si>
  <si>
    <t>付艳芳</t>
  </si>
  <si>
    <t>维护</t>
  </si>
  <si>
    <t>2025年12月完成终验，现在处于3年免费运维中</t>
  </si>
  <si>
    <t>宿松房产一体化平台</t>
  </si>
  <si>
    <t>刘存山</t>
  </si>
  <si>
    <t>实施</t>
  </si>
  <si>
    <t>立项工作准备中，计划下周立项</t>
  </si>
  <si>
    <t>物业组
（袁畅）</t>
  </si>
  <si>
    <t>日照市三平台融合、智慧物业、住宅专项维修资金系统信创改造项目</t>
  </si>
  <si>
    <t>王成</t>
  </si>
  <si>
    <t>还没组织验收，现在是上线配合推广阶段</t>
  </si>
  <si>
    <t>滨州智慧物业</t>
  </si>
  <si>
    <t>王壮</t>
  </si>
  <si>
    <t>有合同</t>
  </si>
  <si>
    <t>泉农通二期销售售前支持</t>
  </si>
  <si>
    <t>刘传祥</t>
  </si>
  <si>
    <t>销售立项</t>
  </si>
  <si>
    <t>售前</t>
  </si>
  <si>
    <t>AI大数据组
（李朔刚）</t>
  </si>
  <si>
    <t>济南市不动产登记全量数据汇交及比对系统</t>
  </si>
  <si>
    <t>李朔刚</t>
  </si>
  <si>
    <t>0(0%)</t>
  </si>
  <si>
    <t>一直有新需求，持续开发</t>
  </si>
  <si>
    <t>济南市不动产登记电子监督系统功能拓展</t>
  </si>
  <si>
    <t>一直有新需求，交房即办证也有合同，还在执行中</t>
  </si>
  <si>
    <t>不动产登记人工智能数字人(一期)项目</t>
  </si>
  <si>
    <t>开发</t>
  </si>
  <si>
    <t>延迟</t>
  </si>
  <si>
    <t>无合同</t>
  </si>
  <si>
    <t>大汉平台对接不动产接口有问题，大汉一直在解决，24号这周主要工作是算力接口测试</t>
  </si>
  <si>
    <t>21250313J</t>
  </si>
  <si>
    <t>电子监督系统标准化产品改造</t>
  </si>
  <si>
    <t>佟丽</t>
  </si>
  <si>
    <t>发布</t>
  </si>
  <si>
    <t>开发完成，有订单可上线运行，目前已申请专利过程中</t>
  </si>
  <si>
    <t>JD组
（王庆嵋）</t>
  </si>
  <si>
    <t>210123ZHJJ02</t>
  </si>
  <si>
    <t>基层经费监管系统升级研发（二期）</t>
  </si>
  <si>
    <t>王庆嵋</t>
  </si>
  <si>
    <t>2025年10月完成初验进行上线，客户一直未组织终验</t>
  </si>
  <si>
    <t>JD维护</t>
  </si>
  <si>
    <t>技术支持部
（王壮）</t>
  </si>
  <si>
    <t>运维项目</t>
  </si>
  <si>
    <t>不动产登记应用软件维护</t>
  </si>
  <si>
    <t>付蕾</t>
  </si>
  <si>
    <t>济南市房产交易部门运维</t>
  </si>
  <si>
    <t>本周完成实际工作量核实</t>
  </si>
  <si>
    <t>房产项目运维</t>
  </si>
  <si>
    <t>智慧物业运维（维修资金）项目运维</t>
  </si>
  <si>
    <t>人力小计：</t>
  </si>
  <si>
    <t>人力饱和度</t>
  </si>
  <si>
    <t>产品研发部
（曹倩）</t>
  </si>
  <si>
    <t>研发项目</t>
  </si>
  <si>
    <t>21250925HF</t>
  </si>
  <si>
    <t>汇房智慧住房租赁综合管理与服务平台</t>
  </si>
  <si>
    <t>魏山明</t>
  </si>
  <si>
    <t>立项</t>
  </si>
  <si>
    <t>技术支撑平台</t>
  </si>
  <si>
    <t>石伟佳</t>
  </si>
  <si>
    <t>原基础平台更名为技术支撑平台</t>
  </si>
  <si>
    <t>智慧房产产品线项目</t>
  </si>
  <si>
    <t>曹倩</t>
  </si>
  <si>
    <t>数据治理平台</t>
  </si>
  <si>
    <t>济南市不动产登记系统功能拓展(研发支持)</t>
  </si>
  <si>
    <t>不动产电子监督系统功能拓展(研发支持)</t>
  </si>
  <si>
    <t>汇房智选部
（任建伟）</t>
  </si>
  <si>
    <t>22250903HF</t>
  </si>
  <si>
    <t>济南市联合资产交易公示平台</t>
  </si>
  <si>
    <t>王帅</t>
  </si>
  <si>
    <t>汇房云经纪人</t>
  </si>
  <si>
    <t>任建伟</t>
  </si>
  <si>
    <t>22250829HF</t>
  </si>
  <si>
    <t>车位使用权公证备案平台</t>
  </si>
  <si>
    <t>22251028HFJ</t>
  </si>
  <si>
    <t>卓识网安业务平台系统</t>
  </si>
  <si>
    <t>3月底左右验收</t>
  </si>
  <si>
    <t>21250516HF</t>
  </si>
  <si>
    <t>汇房云培训考试（汇房考试培训系统）</t>
  </si>
  <si>
    <t>21250801J</t>
  </si>
  <si>
    <t>公司内部系统维护升级项目</t>
  </si>
  <si>
    <t>房源超市SaaS产品化改造(新房超市SaaS)</t>
  </si>
  <si>
    <t>李昱江</t>
  </si>
  <si>
    <t>卓识网安业务平台系统-知识库</t>
  </si>
  <si>
    <t>价格未谈拢</t>
  </si>
  <si>
    <t>房屋租赁管理系统(汇房云租)</t>
  </si>
  <si>
    <t>待立项</t>
  </si>
  <si>
    <t>挂起</t>
  </si>
  <si>
    <t>阳信房产超市运维&amp;乐居乳山</t>
  </si>
  <si>
    <t>安震、王帅</t>
  </si>
  <si>
    <t>软件项目部
(王成)</t>
  </si>
  <si>
    <t>日照银行智慧社区维护与升级</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</si>
  <si>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</si>
  <si>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</si>
  <si>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</si>
  <si>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</si>
  <si>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</si>
  <si>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</si>
  <si>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</si>
  <si>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</si>
  <si>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</si>
  <si>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</si>
  <si>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 xml:space="preserve">济南市不动产登记系统功能拓展
项目编号：22220901
</t>
  </si>
  <si>
    <t>--</t>
  </si>
  <si>
    <t>本周工作</t>
  </si>
  <si>
    <t>不动产登记系统：集体建设用地使用权及房屋所有权税务相关改造。</t>
  </si>
  <si>
    <t>不动产登记系统-数据共享：给公积金提供查询登记信息接口，排查解决户信息为空时出现异常返回情况。</t>
  </si>
  <si>
    <t>不动产登记系统：增加“公告发函（单方预告）”勾选项，其他相关改造。（与申请受理部沟通系统需求，并编写需求说明文档。）</t>
  </si>
  <si>
    <t>不动产登记系统-信息共享：排查解决给爱山东提供查询房源信息接口，权证号入参为1时返回有误情况。</t>
  </si>
  <si>
    <t>不动产登记中心参加会议：关于推进国有土地拆迁安置住房“交房即办证”工作座谈会。</t>
  </si>
  <si>
    <t>配合爱山东app不动产专区、智能审核、律师查询系统信创上线工作，并根据调整情况重新发布登记系统项目。</t>
  </si>
  <si>
    <t>不动产相关统计任务：13</t>
  </si>
  <si>
    <t>处理增量汇交省平台 DNS无法解析域名问题。</t>
  </si>
  <si>
    <t>李国强</t>
  </si>
  <si>
    <t>网上抵押系统：抵押对账单功能增加导出功能。</t>
  </si>
  <si>
    <t>李中正</t>
  </si>
  <si>
    <t>网上抵押系统：增加贷后预警功能。</t>
  </si>
  <si>
    <t>网上抵押系统，农房系统问题处理。</t>
  </si>
  <si>
    <t>合计</t>
  </si>
  <si>
    <t>下周计划</t>
  </si>
  <si>
    <t xml:space="preserve">济南市不动产登记中心不动产登记信息平台信创升级改造项目
项目编号：22250226
</t>
  </si>
  <si>
    <t>信创-登记系统</t>
  </si>
  <si>
    <t>梳理登记系统受理业务过程调用外部接口情况。并形成文档</t>
  </si>
  <si>
    <t>信创-电子证照系统</t>
  </si>
  <si>
    <t>信创上线后问题处理：
（1） tomcat启动后假死问题，解决方案：
         1、tomcat 增加线程池
          2、数据源增加参数配置
          3、修改jvm 单独配置setenv.sh 
          4、修改数据源配置参数 tomcat7 和tomcat8 不通用
           maxActive="100" maxWait="30000" --7
           maxTotal="250"  maxWaitMillis="30000"
（2）改造irerip-rerip接口项目：去掉globalService改成直连数据库、修改获取序列适配瀚高库。</t>
  </si>
  <si>
    <t>信创-云柜台</t>
  </si>
  <si>
    <t>（1）信创环境程序更新到最新版，切换到登记生产库测试交费、开具证明功能。
（2）云柜台集群负载均衡测试，运维脚本检查，代办事项更新；
  更新交费接口为内网地址，剔除域名依赖；
  更新律师查询、二手房预受理回调接口地址；
  miniApi临时调整为登记测试库，以供测试；
  典型应用测试已通过；
（3）信创环境程序更新到最新版；
  证书申请、重新配置到信创环境；
  非信创程序停止、域名ip切换；
  信创迁移</t>
  </si>
  <si>
    <t>测试信创发布后的各应用。</t>
  </si>
  <si>
    <t>王恒通</t>
  </si>
  <si>
    <t>信创-电子监督系统、数据汇聚分平台</t>
  </si>
  <si>
    <t>1. 电子监督信创上线后问题解决。
2. 数据汇聚分平台信创数据的同步。
3. 云柜台上线信创，电子监督数据采集同步变更</t>
  </si>
  <si>
    <t>王建</t>
  </si>
  <si>
    <t>其他</t>
  </si>
  <si>
    <t>（1）不动产移动端 优化数字化、非税信息、限制信息模块。
（2）律师事务查询系统 修改密码强度校验、配合测试。</t>
  </si>
  <si>
    <t>董文超</t>
  </si>
  <si>
    <t>不动产登记移动端：配合前端改造ui，联调页面与接口。</t>
  </si>
  <si>
    <t>张志鹏</t>
  </si>
  <si>
    <t>智能审核、律师查询系统信创迁移工作。</t>
  </si>
  <si>
    <t>济南市不动产登记云柜台（线上移动)系统
项目编号：22220202</t>
  </si>
  <si>
    <t>运维</t>
  </si>
  <si>
    <t>济南市不动产预受理系统
项目编号：22220701</t>
  </si>
  <si>
    <t>济南不动产登记平台运行维护
项目编号：41221101</t>
  </si>
  <si>
    <t>不动产软件运维</t>
  </si>
  <si>
    <t>处理登记系统、抵押系统等业务问题，共计 474 件，详情见附件1。
增量数据汇交每日巡检。</t>
  </si>
  <si>
    <t>李猛</t>
  </si>
  <si>
    <t>杨森</t>
  </si>
  <si>
    <t>不动产系统运维</t>
  </si>
  <si>
    <t>解决电子证照信创上线后，接口运行一会总是死掉问题。
电子证照的发布tomcat也重新部署了一个新的tomcat，信创机器76上也部署了一套电子证照的tomcat。
电子监督：在信创12.85上面安装瀚高库单机。
智能审核和律师查询从生产库到信创瀚高库，表数据的迁移。
解决省厅不动产登记分析系统在5.91上配置DNS以后，浏览器访问域名地址打不开网页问题。
电子证照瀚高库在信创机器12.82上的vncview远程桌面DBeaver连接工具里边，不识别中文问题。
不动产登记x86数据共享机器访问住建维修资金，应不动产要求，策略已开通。
律师查询生产mysql库的自增序列通过瀚高库迁移工具迁移不到信创瀚高库。
迁移智能审核四张表表数据。
律师查询信创:将律师查询(信创)前端配置https。
登记生产系统及数据共享机器申请访问税务局土地出让金地址。
数据共享信创机器74申请打通济南政务服务网信创地址和加密机地址。</t>
  </si>
  <si>
    <t>杨真真</t>
  </si>
  <si>
    <t>祝席成</t>
  </si>
  <si>
    <t xml:space="preserve">济南市房产交易管理平台拓展项目编号:22221201
</t>
  </si>
  <si>
    <t>配合交易数据汇聚程序修改</t>
  </si>
  <si>
    <t>交易系统证明以及测绘提取修改</t>
  </si>
  <si>
    <t xml:space="preserve">山东省机关事务局职工房改管理系统适配改造项目：21250606J
</t>
  </si>
  <si>
    <t>1.根据于主任最新需求重新绘制省市上市交易已购公有住房确认表和原产权单位确权表                                              2.综合查询联网370111660218237该职工联网报错的问题查找及解决                                                                     3.联网接口异常的问题解决                                              4.房改房发版                                                                  5.上市交易需求确认表按照最新讨论重新编写                    6.高照飞反馈综合查询联网接口联网异常的问题排查解决                                                                        7.老版本cup使用率提升脚本部署后，导致应用使用受影响，三台服务器重新部署新的脚本（李国强提供的新版）    8.汉峪配租单户录入业务数据库迁移后人员信息查询异常房屋信息查询异常问题查找解决                                           9.汉峪配租发版                                                               10.省直勘误件李晓 业务挂接失败的问题查找解决           11.周学梅反馈系统无法登录的问题，帮助其解决</t>
  </si>
  <si>
    <t>1.测试审计整改集资建房管理；
2.在公有住房系统中做标改成功能；
3.给莱芜专班魏祎处理集资房计价表和结算表打印不全问题；
4.给房测院黄孟鸣处理区县房改数据查询问题；
5.给李真处理楼幢信息审核未挂接房屋，房屋信息管理无信息问题，处理数字化新增目录无法保存问题；
6.给保障中心王磊处理系统无法登陆问题；
7.给王兵处理老房改系统录入数据已购房面积问题；
8.给市中杨晓军处理集资房申请职代会批准计价，已购房已超标购房控制问题；</t>
  </si>
  <si>
    <t>宋雯雯</t>
  </si>
  <si>
    <t>1.房改房系统信创升级优化（房改房界面样式升级后，在国产电脑浏览器上弹窗页签样式显示异常重新优化相关样式。 ）</t>
  </si>
  <si>
    <t>济南房产交易运维</t>
  </si>
  <si>
    <t xml:space="preserve">1.编写程序梳理交易库中剩余查封业务所关联房网的最新查封情况
2.查找并解决存量房系统接口慢等生产问题
3.查找并解决住建部前置库数据推送总是漏推数据问题
4.协助甲方解决关于规划用途相关争执问题
5.协助解决生产环境html转PDF样式变化等问题
</t>
  </si>
  <si>
    <t>1.存量房网签及资金监管日常运维问题处理
2.配合建设银行进行资金监管业务接口逻辑测试
3.老系统修改网签合同pdf模板样式</t>
  </si>
  <si>
    <t>张杨</t>
  </si>
  <si>
    <t>处理测绘挂接、网签备案等业务问题，共计 42 件，详情件附件2。
检测平台每日巡检。
交易接口日志每日巡检。</t>
  </si>
  <si>
    <t>每日数据巡检问题数据汇交。
每日数据迁移的查看日志并删除多余备份。
市房改服务器5.144探索到一个高危漏洞需要加固。
业务上两个合同问题处理。
2楼窗口在系统使用打印的存量房合同的时候内容字体变小，联系我们解决。</t>
  </si>
  <si>
    <t>查看线上云网签登录报错问题；
房产交易专区修改样式发布到爱山东；
修改演示会议提出的问题；
讨论委托授权新需求；</t>
  </si>
  <si>
    <t>1、给信息科工作人员讲解受理业务相关代码逻辑，涉及相关问题点逻辑进行修改完善（完成80%）
2、新平台增加存量房备案业务定时同步数据(数据归集)的定时任务逻辑(完成90%)
3、给信息科受理科演示房源委托挂牌的系统功能并讨论需求(完成100%)</t>
  </si>
  <si>
    <t>核对资金监管数据迁移情况
查找数据迁移异常中断原因，修复并继续迁移剩余数据
梳理、演示并安排委托、挂牌、经纪服务等后续工作</t>
  </si>
  <si>
    <t>存放量网签备案系统开发</t>
  </si>
  <si>
    <t>景旭</t>
  </si>
  <si>
    <t>存量房资金监管系统开发</t>
  </si>
  <si>
    <t>郇正基</t>
  </si>
  <si>
    <t>维修资金分析，准备</t>
  </si>
  <si>
    <t>时守杰</t>
  </si>
  <si>
    <t>立项材料编写、数据库恢复</t>
  </si>
  <si>
    <t>房产一体化项目：阳信、滨州、无棣、沾化、乳山维护；</t>
  </si>
  <si>
    <t>万德跃</t>
  </si>
  <si>
    <t>房产一体化：安徽地区、五莲、诸城维护</t>
  </si>
  <si>
    <t>房产业务维护</t>
  </si>
  <si>
    <t>阳信外网推送优化</t>
  </si>
  <si>
    <t>滨州维护</t>
  </si>
  <si>
    <t>滨州房产一体化驻场维护</t>
  </si>
  <si>
    <t>吴胜傲</t>
  </si>
  <si>
    <t>维修资金项目运维</t>
  </si>
  <si>
    <t>维修资金系统维护：东营地区区、滨州地区维护</t>
  </si>
  <si>
    <t>牛丽君</t>
  </si>
  <si>
    <t>维修资金系统维护：高唐、滨州、东营、兖州、莱芜、潍坊滨海等地区维护</t>
  </si>
  <si>
    <t>赵衍峰</t>
  </si>
  <si>
    <t>日照维系资金驻场维护</t>
  </si>
  <si>
    <t>马睿</t>
  </si>
  <si>
    <t>维修资金对账</t>
  </si>
  <si>
    <t>王德智</t>
  </si>
  <si>
    <t>路红林</t>
  </si>
  <si>
    <t>各地维修资金维护</t>
  </si>
  <si>
    <t>智慧物业运维</t>
  </si>
  <si>
    <t>智慧物业维护</t>
  </si>
  <si>
    <t>日照市三平台融合、智慧物业、住宅专项维修资金系统信创改造项目
项目编号：22240822</t>
  </si>
  <si>
    <t>日照维修资金问题处理及测试</t>
  </si>
  <si>
    <t>潘春蕾</t>
  </si>
  <si>
    <t>随手拍、数据看板等功能发版测试</t>
  </si>
  <si>
    <t>许建飞</t>
  </si>
  <si>
    <t>随手拍、公共收益、数据看板等功能测试跟进，协助客户推进公共收益情况</t>
  </si>
  <si>
    <t>袁畅</t>
  </si>
  <si>
    <t>随手拍物业企业移动端页面开发完成及测试</t>
  </si>
  <si>
    <t>王延磊</t>
  </si>
  <si>
    <t>随手拍物业企业移动端后端接口开发完成及测试</t>
  </si>
  <si>
    <t>纪立宁</t>
  </si>
  <si>
    <t>公共收益优化</t>
  </si>
  <si>
    <t>段佑轩</t>
  </si>
  <si>
    <t>物业企业移动端随手拍功能测试</t>
  </si>
  <si>
    <t>李淑英</t>
  </si>
  <si>
    <t>日照维修资金运维</t>
  </si>
  <si>
    <t>随手拍、公共收益、数据看板等功能生产环境测试，问题处理</t>
  </si>
  <si>
    <t>滨州智慧物业
项目编号：23251211</t>
  </si>
  <si>
    <t>公共收益部署测试和问题处理</t>
  </si>
  <si>
    <t>功能测试，问题处理</t>
  </si>
  <si>
    <t>物业区域同步</t>
  </si>
  <si>
    <t>公共收益测试和问题处理</t>
  </si>
  <si>
    <t>泉农通二期销售售前支持
项目编号：
121018</t>
  </si>
  <si>
    <t>网信办-系统设计、前端开发</t>
  </si>
  <si>
    <t>韩华斌</t>
  </si>
  <si>
    <t>冯庆召</t>
  </si>
  <si>
    <t>网信办-项目立项</t>
  </si>
  <si>
    <t>农业局-泉农通小程序集成开发完成，上线</t>
  </si>
  <si>
    <t>张金枝</t>
  </si>
  <si>
    <t>网信办-系统设计、前端大屏开发</t>
  </si>
  <si>
    <t>网信办-招标评分标准沟通确定</t>
  </si>
  <si>
    <t>农业局项目立项</t>
  </si>
  <si>
    <t>农业局-泉农通小程序集成现场汇报沟通</t>
  </si>
  <si>
    <t>济南市不动产登记全量数据汇交及比对系统
项目编号：222201001</t>
  </si>
  <si>
    <t>99%</t>
  </si>
  <si>
    <t>济南市不动产登记电子监督系统功能拓展
项目编号：22220905</t>
  </si>
  <si>
    <t>90%</t>
  </si>
  <si>
    <t>1）税务局区县数据统计
2）人员异常时间，剔除业务操作LX= 发布公告的业务
3）统计导出槐荫区商业明细数据
4）集体土地业务档案数量统计
5）汇交工作交接
6）国有数字化管理平台接口规则确认
7）拆迁安置房交房即办证需求确认</t>
  </si>
  <si>
    <t>1）王建电子监督工作交接，环境部署、代码调试、问题解决</t>
  </si>
  <si>
    <t>毕彦信</t>
  </si>
  <si>
    <t>闫元泉</t>
  </si>
  <si>
    <t>不动产登记人工智能数字人(一期)项目
项目编号：21250326</t>
  </si>
  <si>
    <t>85%</t>
  </si>
  <si>
    <t>1）大数据局AI算力接口API申请、网络打通、接口测试、84服务器部署dify、安装模型服务商openai插件。</t>
  </si>
  <si>
    <t>电子监督系统标准化产品改造
项目编号：21250313J</t>
  </si>
  <si>
    <t>住房贷款项目验收材料-需规编写</t>
  </si>
  <si>
    <t>住房贷款项目后端测试与联调</t>
  </si>
  <si>
    <t>许兴欣</t>
  </si>
  <si>
    <t>住房贷款项目前端开发联调</t>
  </si>
  <si>
    <t>住房贷款项目开发与测试</t>
  </si>
  <si>
    <t>住房贷款项目验收材料编写</t>
  </si>
  <si>
    <t>维修大队视频制作</t>
  </si>
  <si>
    <t>基层经费监管系统升级研发（二期）
项目编号：
210123ZHJJ02</t>
  </si>
  <si>
    <t>系统运维管理</t>
  </si>
  <si>
    <t>王晓阳</t>
  </si>
  <si>
    <t>郑州出差进行系统对接</t>
  </si>
  <si>
    <t>系统预警生成流程优化</t>
  </si>
  <si>
    <t>Python模块工作交接</t>
  </si>
  <si>
    <t>项目立项会议及技术委员会等会议</t>
  </si>
  <si>
    <t>项目立项会议及技术委员会等会议、开发工作调度、协调等工作</t>
  </si>
  <si>
    <t>智慧房产产品线项目
项目编号：21260422</t>
  </si>
  <si>
    <t>1.原型设计：AI辅助完成首页看板、开发项目申请、开发项目管理、测绘管理、监管项目申请等 核心页面的原型设计；
2.需求文档：编写并细化了上述模块的 PRD 需求描述</t>
  </si>
  <si>
    <t>张燕</t>
  </si>
  <si>
    <t xml:space="preserve">
一、租赁业务
1、本周已开发完成 发布到106环境 
二、档案存量房查询业务
1、后端开发框架（springBoot+myBatis)项目已搭建完成  
2、跟山哥沟通，需要把客户数据迁移到服务器（山哥还在处理，下周继续跟进）
三、支援商品房业务
  1、下载代码 熟悉业务</t>
  </si>
  <si>
    <t>郭培培</t>
  </si>
  <si>
    <t>一、租赁业务
1、本周已开发完成，本地流程测了一遍 
二、档案存量房查询业务
1、前后端开发框架（springBoot+myBatis)项目已搭建完成  
三、支援商品房业务
  1、下载代码 熟悉业务</t>
  </si>
  <si>
    <t>卢波</t>
  </si>
  <si>
    <t>1.完善房产平台通用业务接口
2.数据库文档调整</t>
  </si>
  <si>
    <t>彭步坤</t>
  </si>
  <si>
    <t>销售许可代码重构</t>
  </si>
  <si>
    <t>1、封装根据id或code查询业务名称的工具
2、整理apiFox接口使用情况（商品房网签、销售许可、预售资金监管、存量房网签备案、房屋租赁网签备案）
3、修复楼盘销售数据获取和空值处理问题、修复区域查询方法数据异常问题以及UI调整
4、优化楼盘表组件，添加状态图标和数量统计以及房源详情延时显示
5、数字档案管理展示区域优化、增加数字档案区域的全屏展示</t>
  </si>
  <si>
    <t>王光辉</t>
  </si>
  <si>
    <t>租赁需求、数据库表设计梳理等、进度协调</t>
  </si>
  <si>
    <t>数据治理平台
项目编号：21260423</t>
  </si>
  <si>
    <t>完成节点配置管理的基本功能。</t>
  </si>
  <si>
    <t>数据源模块及其他配置模块完善。</t>
  </si>
  <si>
    <t>完成任务编排管理的基础调试。</t>
  </si>
  <si>
    <t>济南市不动产登记系统功能拓展
项目编号：22220901</t>
  </si>
  <si>
    <t>1、土地量化需求细节讨论以澄清
2、土地量化新架构开发环境搭建，上传代码
3、土地预量化接收功能细节讨论以及功能开发
4、协助处理云网签线上生产问题</t>
  </si>
  <si>
    <t>1.AI辅助完成量化需求实现方案，讨论量化需求与量化接口实现思路以及和超图对接于量化接口返回参数
2.信创智能审核和律师查询上线割接问题解答
3.土地量化新架构开发环境搭建，上传代码
4.AI辅助完成登记系统受理页面改造查询预量化不动产列表</t>
  </si>
  <si>
    <t>窦延群</t>
  </si>
  <si>
    <t>量化需求、运维项目招标材料对接、不动产贷后预警功能说明、拆迁需求对接等</t>
  </si>
  <si>
    <t>配置开发环境参数、本机启动电子监督系统后台程序；
参加电子监督系统业务讲解会议；</t>
  </si>
  <si>
    <t>本地启动电子监督系统供前端调用，测试；
解决ck查询报错问题；
瀚高数据库连接问题沟通；
电子监督数据处理系统梳理</t>
  </si>
  <si>
    <t>电子监督系统服务端部署资料搜集、测试</t>
  </si>
  <si>
    <t>离线yum安装python依赖；
离线安装docker；
离线编译安装python，编译、配置环境变量、验证；
离线pip库安装</t>
  </si>
  <si>
    <t>本地虚机安装python环境，下载pip库，测试环境安装pip库，解决非信创测试服务器各种依赖问题</t>
  </si>
  <si>
    <t xml:space="preserve">济南市联合资产交易公示平台
项目编号：22250903HF
</t>
  </si>
  <si>
    <t>原带押过户系统数据迁移本地测试与调试</t>
  </si>
  <si>
    <t>带押过户、带封过户、资金监管平台bug修复；</t>
  </si>
  <si>
    <t>梁超</t>
  </si>
  <si>
    <t>修复资金监管平台bug</t>
  </si>
  <si>
    <t>安震</t>
  </si>
  <si>
    <t>车位备案平台、联合资产-带押过过户、带封过户、资金监管测试</t>
  </si>
  <si>
    <t>亓俣辰</t>
  </si>
  <si>
    <t>1. 开发环境、测试环境调试流水线配置；
2. 车位备案平台测试、bug修复、功能优化进度推进；
3. 联合资产平台测试、bug修复、功能优化进度推进；
4. 带押带封过户业务老系统数据导入推进；
5. 与法信沟通车位备案协议签署需求、审批流程、短信签名等注意事项；
6. 与客户沟通车位备案需求；
7. 车位备案溯源功能需求调整进度推进；
8. 云资源申请表编写；
9.车位备案上线；</t>
  </si>
  <si>
    <t xml:space="preserve">车位使用权公证备案平台
项目编号：22250829HF
</t>
  </si>
  <si>
    <t>1.完成备案流程开发环境全流程自测，覆盖后台、小程序双平台，逐一排查并修复测试过程中发现的功能异常、数据交互、流程卡顿等问题；借助 AI 工具优化页面代码结构与性能，发布测试环境供业务方与测试团队验收验证；
2.联调测试按业务要求新增签署协议上传功能；
3.PC后台修改定价展示逻辑，支持可重复定价功能；新增驳回原因展示，完善流程反馈机制；同步完成测试 BUG 修复，保障功能稳定。 
4.小程序端：完成删除接口对接，新增支付价格字段展示；同步添加驳回原因展示，与 Web 端保持流程统一；完成相关测试问题修复。 确保 Web 与小程序两端功能一致、交互流畅，提升备案流程完整性与用户体验。
5.参与讨论并完善车位备案溯源功能方案，同步完成页面展示逻辑整改，优化溯源信息的呈现结构与用户体验；在车位基础库详情页新增车位备案溯源模块，搭建模块布局、数据渲染与基础交互逻辑；优化小程序备案编辑模块功能，新增必填项判断，修改签署状态及操作判断逻辑；同步完成相关测试 BUG 修复，保障功能稳定可用。
6.完成 Web 端尽调列表、审核列表及详情页的协议订单编号字段展示开发，强化业务数据的可追溯性；优化小程序端身份证照片校验逻辑，将原身份证照片必填项调整为仅受让人身份信息必填，有效提升用户操作效率；闭环修复相关测试问题，确保多端功能稳定、体验一致。</t>
  </si>
  <si>
    <t>1.车位备案详情增加挂账状态，车位审核状态筛选，法信证书联调支撑;
2.车位备案尽调，入账，详情接口调整，增加支付信息，新增上传协议接口，数字化组件配置，测试问题解决;
3.车位备案小程序列表新增删除接口，业务端驳回增加驳回原因，调整列表和详情接口返回数据，联调对接，测试问题解决;
4.车位备案溯源功能调整，法信公证签平台认证增加身份证信息，接口对接联调;</t>
  </si>
  <si>
    <t>赵敬</t>
  </si>
  <si>
    <t>车位备案PC后台与小程序测试，bug记录与回归</t>
  </si>
  <si>
    <t>修复工作流回调失败问题</t>
  </si>
  <si>
    <t>蔡高情</t>
  </si>
  <si>
    <t xml:space="preserve">汇房云经纪人
项目编号：21250418
</t>
  </si>
  <si>
    <t>app，web 合同模块解约合同，多经纪人录入
app鸿蒙系统 授权弹窗 消息举报 隐私协议调整</t>
  </si>
  <si>
    <t>赵旺</t>
  </si>
  <si>
    <t>合同 添加经纪人改为多个，支持外部经纪人
考试 报名改为 只有报名所学课程的企业
自动发证 发的是所在公司的证。本身是企业就发企业，门店是发企业的证书
合同列表合并</t>
  </si>
  <si>
    <t>滨州德邦客户现场财务对接，沟通财务相关流程及需求
汇房云经纪人运营支持，问题修改。
滨州运营数据查询及报表生成
对接银联经理，沟通银联收费产品方案及费率问题</t>
  </si>
  <si>
    <t>设计</t>
  </si>
  <si>
    <t>滨州经纪人执业证设计</t>
  </si>
  <si>
    <t xml:space="preserve">汇房云培训考试
项目编号：
</t>
  </si>
  <si>
    <t>滨州考试，枣庄考试运营支持。考试报名bug以及发证问题处理</t>
  </si>
  <si>
    <t>枣庄分账问题处理</t>
  </si>
  <si>
    <t>卓识网安业务平台系统
项目编号：22251028HFJ</t>
  </si>
  <si>
    <t>Bug修复：
修复甘特图切换Tab不调接口、任务行背景色导出错误、归档状态显示问题
修复各工作台图表百分比精度问题，统一保留1位小数
修复vxe-table虚拟滚动报错、导出空值不一致、网格id冲突问题
修复计划预览合同明细列重复、变更状态多余、列内容截断问题
重构文件上传组件为手动确认上传，修复文件名显示和附件反显/清空问题
修复工作订单详情未自动加载、监管周期空值显示问题
重构优化：
统一表格高度为height: '100%'自适应
Page组件添加auto-content-height属性
图表组件优化性能减少重绘
省份数据统一使用provincePreviewStore获取</t>
  </si>
  <si>
    <t>项目实施与分级：修改项目实施列表中综合分数字段类型、预审测评表字段取值，优化导出工程省份命名；修改项目分级数量及占比的查询条件。
资源日历优化：调整 task_type、start_date/end_date 判断条件，排除废弃工单及特定科室数据。
工单与交付物：修改工单详情交付物接口，新增根据交付物ID查询联系人、根据合同ID查询验收月份变更等接口；个人工作台报告编制关联工单并排除废弃工单。
其他：修改准入证明接口；异地备案废弃变更时补充公安报到时间字段赋值。</t>
  </si>
  <si>
    <t>工作台优化：修改验收月度、验收计划及各部门验收情况概览查询逻辑，使其与计划预览保持一致；优化百分比/比例值精度（保留一位小数）；优化"我的关注"排序。
报告编制申请：修复流程节点 isWrite 状态更新问题，完善工作流回调落库及校验返回格式；调整技术支持室主任选"否"审批通过后的任务流转逻辑。
计划与交付物：计划预览合同明细排除T类验收计划；优化项目交付物计算（刨除废弃项）；目标设定增加运营中心类型并修正部门计算范围。
测试问题支持，客户验收推进</t>
  </si>
  <si>
    <t>测试</t>
  </si>
  <si>
    <t>公司内部系统维护升级项目
项目编号：21250801J</t>
  </si>
  <si>
    <t>阳信房产超市运维</t>
  </si>
  <si>
    <t xml:space="preserve">日照银行智慧社区维护与升级
项目编号：22210906
</t>
  </si>
  <si>
    <t>橙e伴PC端对接智惠e家对客管理端</t>
  </si>
  <si>
    <t>菜品优选支持餐补</t>
  </si>
  <si>
    <t>王玉莹</t>
  </si>
  <si>
    <t>优化</t>
  </si>
  <si>
    <t>宜当生活白鹭湾专区对接智惠e家部分功能</t>
  </si>
  <si>
    <t>王德贤</t>
  </si>
  <si>
    <t>优化调整</t>
  </si>
  <si>
    <t>孙丁华</t>
  </si>
  <si>
    <t>行内闲置资产共享平台前端配合改造项目</t>
  </si>
  <si>
    <t>智惠e家”智慧餐厅、智慧社区系统功能优化（智惠e家增加寻车功能及对接碳惠日照）</t>
  </si>
  <si>
    <t>菜品优选二期</t>
  </si>
  <si>
    <t>“智惠e家”智慧餐厅、智慧社区系统功能优化（即墨区机关事务服务中心智慧餐厅项目系统功能优化-第三批次）</t>
  </si>
  <si>
    <t>识别性能优化</t>
  </si>
  <si>
    <t>智慧场景优化项目群（日照市人民医院本部餐厅、莒县人民法院智慧餐厅功能优化）</t>
  </si>
  <si>
    <t>智惠e家社区对接大华ICC社区通行设备</t>
  </si>
  <si>
    <t>正常开发推进</t>
  </si>
  <si>
    <t>韩化斌</t>
  </si>
  <si>
    <t>智惠e家移动端备案漏洞修复整改</t>
  </si>
  <si>
    <t>配合银行扫码测试</t>
  </si>
  <si>
    <t>潘春雷</t>
  </si>
  <si>
    <t>智惠e家漏洞修复、测试、发版、数据运维</t>
  </si>
  <si>
    <t>三方复测</t>
  </si>
  <si>
    <t>智慧餐厅离线支付项目（先享后付）
“一家人大食堂”等智慧餐厅相关系统功能优化需求
智惠e家宜当生活物业缴费功能改造
社区访客通行以及押金缴费退款需求</t>
  </si>
  <si>
    <t>正常开发</t>
  </si>
  <si>
    <t>银行运营</t>
  </si>
  <si>
    <t>银行网络金融部驻场银行业务运营</t>
  </si>
  <si>
    <t>穆德坤</t>
  </si>
  <si>
    <t>银行场景金融中心驻场银行业务运营</t>
  </si>
  <si>
    <t>赵文斌</t>
  </si>
  <si>
    <t>郑家洋</t>
  </si>
  <si>
    <t>需求</t>
  </si>
  <si>
    <t>安全保卫部智慧园区功能优化、2026年行政管理部“行政后勤管理平台”（推进）</t>
  </si>
  <si>
    <t>需求推进</t>
  </si>
  <si>
    <t>智慧餐厅移动端全量接入宜当生活、智慧物业公共收益项目推进</t>
  </si>
  <si>
    <t>需求推进，部分功能集成</t>
  </si>
  <si>
    <t>智惠e家对接对接五莲智能电表需求</t>
  </si>
  <si>
    <t>推进提报</t>
  </si>
  <si>
    <t>宜当生活白鹭湾专区对接智惠e家部分功能（配合业务验收）</t>
  </si>
  <si>
    <t>智惠e家社区对接大华ICC社区通行设备（完成对接）</t>
  </si>
  <si>
    <t>智慧餐厅移动端全量接入宜当生活（推进）</t>
  </si>
  <si>
    <t>安全保卫部智慧园区功能优化（推进需求提报）</t>
  </si>
  <si>
    <t>2026年行政管理部“行政后勤管理平台”（推进）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</si>
</sst>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s>
  <fonts count="50">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0"/>
      <color theme="1"/>
      <name val="等线"/>
      <charset val="134"/>
    </font>
    <font>
      <sz val="11"/>
      <color rgb="FF060A26"/>
      <name val="等线"/>
      <charset val="134"/>
      <scheme val="minor"/>
    </font>
    <font>
      <sz val="10"/>
      <color theme="1"/>
      <name val="等线"/>
      <charset val="134"/>
      <scheme val="minor"/>
    </font>
    <font>
      <sz val="12"/>
      <color rgb="FF000000"/>
      <name val="宋体"/>
      <charset val="134"/>
    </font>
    <font>
      <sz val="10"/>
      <color rgb="FF000000"/>
      <name val="等线"/>
      <charset val="134"/>
      <scheme val="minor"/>
    </font>
    <font>
      <sz val="12"/>
      <color rgb="FF000000"/>
      <name val="等线"/>
      <charset val="134"/>
      <scheme val="minor"/>
    </font>
    <font>
      <sz val="9"/>
      <color rgb="FF000000"/>
      <name val="等线"/>
      <charset val="134"/>
      <scheme val="minor"/>
    </font>
    <font>
      <sz val="10"/>
      <color rgb="FF000000"/>
      <name val="宋体"/>
      <charset val="134"/>
    </font>
    <font>
      <sz val="10"/>
      <color rgb="FF000000"/>
      <name val="SimSun"/>
      <charset val="134"/>
    </font>
    <font>
      <sz val="10"/>
      <color theme="1"/>
      <name val="等线"/>
      <charset val="134"/>
      <scheme val="minor"/>
    </font>
    <font>
      <sz val="12"/>
      <color rgb="FF000000"/>
      <name val="微软雅黑"/>
      <charset val="134"/>
    </font>
    <font>
      <sz val="11"/>
      <color rgb="FF000000"/>
      <name val="微软雅黑"/>
      <charset val="134"/>
    </font>
    <font>
      <sz val="10"/>
      <color rgb="FF000000"/>
      <name val="微软雅黑"/>
      <charset val="134"/>
    </font>
    <font>
      <sz val="10"/>
      <color rgb="FFFF0000"/>
      <name val="等线"/>
      <charset val="134"/>
      <scheme val="minor"/>
    </font>
    <font>
      <sz val="12"/>
      <color rgb="FF000000"/>
      <name val="等线"/>
      <charset val="134"/>
      <scheme val="minor"/>
    </font>
    <font>
      <sz val="9"/>
      <color rgb="FF000000"/>
      <name val="等线"/>
      <charset val="134"/>
      <scheme val="minor"/>
    </font>
    <font>
      <b/>
      <sz val="14"/>
      <color theme="1"/>
      <name val="微软雅黑"/>
      <charset val="134"/>
    </font>
    <font>
      <sz val="12"/>
      <color theme="1"/>
      <name val="微软雅黑"/>
      <charset val="134"/>
    </font>
    <font>
      <sz val="11"/>
      <color theme="1"/>
      <name val="微软雅黑"/>
      <charset val="134"/>
    </font>
    <font>
      <sz val="11"/>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9"/>
      <name val="宋体"/>
      <charset val="134"/>
    </font>
  </fonts>
  <fills count="37">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top style="thin">
        <color auto="1"/>
      </top>
      <bottom style="thin">
        <color auto="1"/>
      </bottom>
      <diagonal/>
    </border>
    <border>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rgb="FF000000"/>
      </top>
      <bottom/>
      <diagonal/>
    </border>
    <border>
      <left style="thin">
        <color auto="1"/>
      </left>
      <right style="thin">
        <color auto="1"/>
      </right>
      <top style="thin">
        <color auto="1"/>
      </top>
      <bottom style="thin">
        <color rgb="FF000000"/>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6" borderId="26"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7" applyNumberFormat="0" applyFill="0" applyAlignment="0" applyProtection="0">
      <alignment vertical="center"/>
    </xf>
    <xf numFmtId="0" fontId="33" fillId="0" borderId="27" applyNumberFormat="0" applyFill="0" applyAlignment="0" applyProtection="0">
      <alignment vertical="center"/>
    </xf>
    <xf numFmtId="0" fontId="34" fillId="0" borderId="28" applyNumberFormat="0" applyFill="0" applyAlignment="0" applyProtection="0">
      <alignment vertical="center"/>
    </xf>
    <xf numFmtId="0" fontId="34" fillId="0" borderId="0" applyNumberFormat="0" applyFill="0" applyBorder="0" applyAlignment="0" applyProtection="0">
      <alignment vertical="center"/>
    </xf>
    <xf numFmtId="0" fontId="35" fillId="7" borderId="29" applyNumberFormat="0" applyAlignment="0" applyProtection="0">
      <alignment vertical="center"/>
    </xf>
    <xf numFmtId="0" fontId="36" fillId="8" borderId="30" applyNumberFormat="0" applyAlignment="0" applyProtection="0">
      <alignment vertical="center"/>
    </xf>
    <xf numFmtId="0" fontId="37" fillId="8" borderId="29" applyNumberFormat="0" applyAlignment="0" applyProtection="0">
      <alignment vertical="center"/>
    </xf>
    <xf numFmtId="0" fontId="38" fillId="9" borderId="31" applyNumberFormat="0" applyAlignment="0" applyProtection="0">
      <alignment vertical="center"/>
    </xf>
    <xf numFmtId="0" fontId="39" fillId="0" borderId="32" applyNumberFormat="0" applyFill="0" applyAlignment="0" applyProtection="0">
      <alignment vertical="center"/>
    </xf>
    <xf numFmtId="0" fontId="40" fillId="0" borderId="33" applyNumberFormat="0" applyFill="0" applyAlignment="0" applyProtection="0">
      <alignment vertical="center"/>
    </xf>
    <xf numFmtId="0" fontId="41" fillId="10" borderId="0" applyNumberFormat="0" applyBorder="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9" fontId="46" fillId="0" borderId="0" applyFont="0" applyFill="0" applyBorder="0" applyAlignment="0" applyProtection="0">
      <alignment vertical="center"/>
    </xf>
    <xf numFmtId="9" fontId="0" fillId="0" borderId="0" applyFont="0" applyFill="0" applyBorder="0" applyAlignment="0" applyProtection="0">
      <alignment vertical="center"/>
    </xf>
    <xf numFmtId="176" fontId="46" fillId="0" borderId="0">
      <alignment vertical="center"/>
    </xf>
    <xf numFmtId="176" fontId="46" fillId="0" borderId="0">
      <alignment vertical="center"/>
    </xf>
    <xf numFmtId="176" fontId="1" fillId="0" borderId="0">
      <alignment vertical="center"/>
    </xf>
    <xf numFmtId="0" fontId="1" fillId="0" borderId="0">
      <alignment vertical="center"/>
    </xf>
    <xf numFmtId="0" fontId="46" fillId="0" borderId="0">
      <alignment vertical="center"/>
    </xf>
    <xf numFmtId="176" fontId="46" fillId="0" borderId="0">
      <alignment vertical="center"/>
    </xf>
    <xf numFmtId="176" fontId="46" fillId="0" borderId="0">
      <alignment vertical="center"/>
    </xf>
    <xf numFmtId="176" fontId="46" fillId="0" borderId="0">
      <alignment vertical="center"/>
    </xf>
    <xf numFmtId="176" fontId="47" fillId="0" borderId="0">
      <alignment vertical="center"/>
    </xf>
    <xf numFmtId="176" fontId="46" fillId="0" borderId="0">
      <alignment vertical="center"/>
    </xf>
    <xf numFmtId="176" fontId="46" fillId="0" borderId="0">
      <alignment vertical="center"/>
    </xf>
    <xf numFmtId="176" fontId="46" fillId="0" borderId="0">
      <alignment vertical="center"/>
    </xf>
    <xf numFmtId="176" fontId="46" fillId="0" borderId="0" applyBorder="0">
      <alignment vertical="center"/>
    </xf>
  </cellStyleXfs>
  <cellXfs count="391">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5" fillId="0" borderId="2" xfId="0" applyNumberFormat="1" applyFont="1" applyFill="1" applyBorder="1" applyAlignment="1">
      <alignment horizontal="left" vertical="center" wrapText="1"/>
    </xf>
    <xf numFmtId="9"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left" vertical="center" wrapText="1"/>
    </xf>
    <xf numFmtId="9" fontId="5" fillId="0" borderId="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left" vertical="center" wrapText="1"/>
    </xf>
    <xf numFmtId="9" fontId="5" fillId="0" borderId="4"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5" fillId="0" borderId="4" xfId="0" applyNumberFormat="1" applyFont="1" applyFill="1" applyBorder="1" applyAlignment="1">
      <alignment horizontal="center" vertical="center"/>
    </xf>
    <xf numFmtId="0" fontId="5" fillId="3" borderId="1" xfId="0" applyNumberFormat="1" applyFont="1" applyFill="1" applyBorder="1" applyAlignment="1">
      <alignment horizontal="center" vertical="center"/>
    </xf>
    <xf numFmtId="9" fontId="5" fillId="3" borderId="1" xfId="0" applyNumberFormat="1" applyFont="1" applyFill="1" applyBorder="1" applyAlignment="1">
      <alignment vertical="center"/>
    </xf>
    <xf numFmtId="0" fontId="5" fillId="3" borderId="1" xfId="0" applyNumberFormat="1" applyFont="1" applyFill="1" applyBorder="1" applyAlignment="1">
      <alignment vertical="center"/>
    </xf>
    <xf numFmtId="177" fontId="5" fillId="3"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3"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left" vertical="center"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0" fontId="5" fillId="2" borderId="2" xfId="0" applyNumberFormat="1" applyFont="1" applyFill="1" applyBorder="1" applyAlignment="1">
      <alignment horizontal="left" vertical="center" wrapText="1"/>
    </xf>
    <xf numFmtId="0" fontId="5" fillId="2" borderId="2" xfId="0" applyNumberFormat="1" applyFont="1" applyFill="1" applyBorder="1" applyAlignment="1">
      <alignment horizontal="center" vertical="center"/>
    </xf>
    <xf numFmtId="0" fontId="5" fillId="2" borderId="5" xfId="0" applyNumberFormat="1" applyFont="1" applyFill="1" applyBorder="1" applyAlignment="1">
      <alignment horizontal="left" vertical="center" wrapText="1"/>
    </xf>
    <xf numFmtId="9" fontId="5" fillId="2" borderId="2" xfId="0" applyNumberFormat="1" applyFont="1" applyFill="1" applyBorder="1" applyAlignment="1">
      <alignment horizontal="center" vertical="center"/>
    </xf>
    <xf numFmtId="0" fontId="5" fillId="2" borderId="2" xfId="0" applyNumberFormat="1" applyFont="1" applyFill="1" applyBorder="1" applyAlignment="1">
      <alignment vertical="center"/>
    </xf>
    <xf numFmtId="177" fontId="5" fillId="2" borderId="2" xfId="0" applyNumberFormat="1" applyFont="1" applyFill="1" applyBorder="1" applyAlignment="1">
      <alignment horizontal="center" vertical="center"/>
    </xf>
    <xf numFmtId="0" fontId="5" fillId="0" borderId="6" xfId="0" applyNumberFormat="1" applyFont="1" applyBorder="1" applyAlignment="1">
      <alignment horizontal="center" vertical="center" wrapText="1"/>
    </xf>
    <xf numFmtId="0" fontId="5" fillId="2" borderId="7" xfId="0" applyNumberFormat="1" applyFont="1" applyFill="1" applyBorder="1" applyAlignment="1">
      <alignment horizontal="center" vertical="center"/>
    </xf>
    <xf numFmtId="0" fontId="5" fillId="2" borderId="7" xfId="0" applyNumberFormat="1" applyFont="1" applyFill="1" applyBorder="1" applyAlignment="1">
      <alignment horizontal="left" vertical="center" wrapText="1"/>
    </xf>
    <xf numFmtId="9" fontId="5" fillId="2" borderId="7" xfId="0" applyNumberFormat="1" applyFont="1" applyFill="1" applyBorder="1" applyAlignment="1">
      <alignment horizontal="center" vertical="center"/>
    </xf>
    <xf numFmtId="0" fontId="5" fillId="2" borderId="7" xfId="0" applyNumberFormat="1" applyFont="1" applyFill="1" applyBorder="1" applyAlignment="1">
      <alignment vertical="center"/>
    </xf>
    <xf numFmtId="177" fontId="5" fillId="2" borderId="7" xfId="0" applyNumberFormat="1" applyFont="1" applyFill="1" applyBorder="1" applyAlignment="1">
      <alignment horizontal="center" vertical="center"/>
    </xf>
    <xf numFmtId="0" fontId="5" fillId="2" borderId="7" xfId="0" applyNumberFormat="1" applyFont="1" applyFill="1" applyBorder="1"/>
    <xf numFmtId="0" fontId="6" fillId="0" borderId="7" xfId="0" applyNumberFormat="1" applyFont="1" applyFill="1" applyBorder="1" applyAlignment="1">
      <alignment vertical="center" wrapText="1"/>
    </xf>
    <xf numFmtId="0" fontId="6" fillId="0" borderId="7" xfId="0" applyNumberFormat="1" applyFont="1" applyFill="1" applyBorder="1" applyAlignment="1">
      <alignment horizontal="center" vertical="center" wrapText="1"/>
    </xf>
    <xf numFmtId="0" fontId="5" fillId="2" borderId="8" xfId="0" applyNumberFormat="1" applyFont="1" applyFill="1" applyBorder="1" applyAlignment="1">
      <alignment horizontal="left" vertical="center" wrapText="1"/>
    </xf>
    <xf numFmtId="9" fontId="5" fillId="2" borderId="8" xfId="0" applyNumberFormat="1" applyFont="1" applyFill="1" applyBorder="1" applyAlignment="1">
      <alignment horizontal="center" vertical="center"/>
    </xf>
    <xf numFmtId="177" fontId="5" fillId="2" borderId="4" xfId="0" applyNumberFormat="1" applyFont="1" applyFill="1" applyBorder="1" applyAlignment="1">
      <alignment horizontal="center" vertical="center"/>
    </xf>
    <xf numFmtId="0" fontId="5" fillId="2" borderId="9" xfId="0" applyNumberFormat="1" applyFont="1" applyFill="1" applyBorder="1" applyAlignment="1">
      <alignment horizontal="center" vertical="center"/>
    </xf>
    <xf numFmtId="0" fontId="5" fillId="2" borderId="10" xfId="0" applyNumberFormat="1" applyFont="1" applyFill="1" applyBorder="1" applyAlignment="1">
      <alignment vertical="center"/>
    </xf>
    <xf numFmtId="0" fontId="5" fillId="0" borderId="4" xfId="0" applyNumberFormat="1" applyFont="1" applyBorder="1" applyAlignment="1">
      <alignment horizontal="center" vertical="center" wrapText="1"/>
    </xf>
    <xf numFmtId="0" fontId="5" fillId="2" borderId="11" xfId="0" applyNumberFormat="1" applyFont="1" applyFill="1" applyBorder="1" applyAlignment="1">
      <alignment horizontal="center" vertical="center"/>
    </xf>
    <xf numFmtId="0" fontId="5" fillId="2" borderId="12" xfId="0" applyNumberFormat="1" applyFont="1" applyFill="1" applyBorder="1" applyAlignment="1">
      <alignment vertical="center"/>
    </xf>
    <xf numFmtId="0" fontId="5" fillId="3" borderId="4" xfId="0" applyNumberFormat="1" applyFont="1" applyFill="1" applyBorder="1" applyAlignment="1">
      <alignment horizontal="center" vertical="center"/>
    </xf>
    <xf numFmtId="9" fontId="5" fillId="3" borderId="4" xfId="0" applyNumberFormat="1" applyFont="1" applyFill="1" applyBorder="1" applyAlignment="1">
      <alignment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xf>
    <xf numFmtId="177" fontId="5" fillId="0" borderId="1" xfId="0" applyNumberFormat="1" applyFont="1" applyBorder="1" applyAlignment="1">
      <alignment horizontal="center" vertical="center"/>
    </xf>
    <xf numFmtId="0" fontId="4" fillId="0" borderId="2" xfId="0" applyNumberFormat="1" applyFont="1" applyBorder="1" applyAlignment="1">
      <alignment horizontal="left" vertical="center" wrapText="1"/>
    </xf>
    <xf numFmtId="9" fontId="5" fillId="0" borderId="2" xfId="0" applyNumberFormat="1" applyFont="1" applyBorder="1" applyAlignment="1">
      <alignment horizontal="center" vertical="center"/>
    </xf>
    <xf numFmtId="0" fontId="5" fillId="0" borderId="2" xfId="0" applyNumberFormat="1" applyFont="1" applyBorder="1" applyAlignment="1">
      <alignment horizontal="center" vertical="center"/>
    </xf>
    <xf numFmtId="177" fontId="5" fillId="0" borderId="2" xfId="0" applyNumberFormat="1" applyFont="1" applyBorder="1" applyAlignment="1">
      <alignment horizontal="center" vertical="center"/>
    </xf>
    <xf numFmtId="0" fontId="5" fillId="0" borderId="11" xfId="0" applyNumberFormat="1" applyFont="1" applyBorder="1" applyAlignment="1">
      <alignment horizontal="center" vertical="center" wrapText="1"/>
    </xf>
    <xf numFmtId="0" fontId="0" fillId="0" borderId="3" xfId="0" applyNumberFormat="1" applyBorder="1"/>
    <xf numFmtId="0" fontId="0" fillId="0" borderId="4" xfId="0" applyNumberFormat="1" applyBorder="1"/>
    <xf numFmtId="0" fontId="5" fillId="0" borderId="4" xfId="0" applyNumberFormat="1" applyFont="1" applyBorder="1" applyAlignment="1">
      <alignment wrapText="1"/>
    </xf>
    <xf numFmtId="9" fontId="5" fillId="0" borderId="2" xfId="0" applyNumberFormat="1" applyFont="1" applyBorder="1" applyAlignment="1">
      <alignment horizontal="center" vertical="center" wrapText="1"/>
    </xf>
    <xf numFmtId="0" fontId="5" fillId="0" borderId="2" xfId="0" applyNumberFormat="1" applyFont="1" applyBorder="1" applyAlignment="1">
      <alignment horizontal="left" vertical="center" wrapText="1"/>
    </xf>
    <xf numFmtId="9" fontId="5" fillId="0" borderId="7" xfId="0" applyNumberFormat="1" applyFont="1" applyBorder="1" applyAlignment="1">
      <alignment horizontal="center" vertical="center" wrapText="1"/>
    </xf>
    <xf numFmtId="0" fontId="5" fillId="0" borderId="12" xfId="0" applyNumberFormat="1" applyFont="1" applyBorder="1" applyAlignment="1">
      <alignment horizontal="center" vertical="center" wrapText="1"/>
    </xf>
    <xf numFmtId="0" fontId="5" fillId="0" borderId="4" xfId="0" applyNumberFormat="1" applyFont="1" applyBorder="1" applyAlignment="1">
      <alignment horizontal="left" vertical="center" wrapText="1"/>
    </xf>
    <xf numFmtId="9" fontId="5" fillId="0" borderId="4" xfId="0" applyNumberFormat="1" applyFont="1" applyBorder="1" applyAlignment="1">
      <alignment horizontal="center" vertical="center" wrapText="1"/>
    </xf>
    <xf numFmtId="0" fontId="7" fillId="0" borderId="0" xfId="0" applyNumberFormat="1" applyFont="1"/>
    <xf numFmtId="0" fontId="8" fillId="0" borderId="0" xfId="0" applyNumberFormat="1" applyFont="1" applyFill="1" applyAlignment="1">
      <alignment vertical="center" wrapText="1"/>
    </xf>
    <xf numFmtId="0" fontId="8" fillId="0" borderId="0" xfId="0" applyNumberFormat="1" applyFont="1" applyFill="1" applyAlignment="1">
      <alignment horizontal="center" vertical="center" wrapText="1"/>
    </xf>
    <xf numFmtId="0" fontId="9"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xf>
    <xf numFmtId="0" fontId="9" fillId="0" borderId="1" xfId="0" applyNumberFormat="1" applyFont="1" applyFill="1" applyBorder="1" applyAlignment="1">
      <alignment horizontal="left" vertical="center" wrapText="1"/>
    </xf>
    <xf numFmtId="9" fontId="9" fillId="0" borderId="1" xfId="0"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xf>
    <xf numFmtId="0" fontId="10" fillId="0" borderId="0" xfId="0" applyNumberFormat="1" applyFont="1" applyFill="1" applyAlignment="1">
      <alignment vertical="center"/>
    </xf>
    <xf numFmtId="0" fontId="11"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3" fillId="0" borderId="1" xfId="0" applyNumberFormat="1" applyFont="1" applyFill="1" applyBorder="1" applyAlignment="1">
      <alignment vertical="center" wrapText="1"/>
    </xf>
    <xf numFmtId="0" fontId="13" fillId="0" borderId="1" xfId="0" applyNumberFormat="1" applyFont="1" applyFill="1" applyBorder="1" applyAlignment="1">
      <alignment horizontal="center" vertical="center" wrapText="1"/>
    </xf>
    <xf numFmtId="9" fontId="10" fillId="0" borderId="1" xfId="0" applyNumberFormat="1" applyFont="1" applyFill="1" applyBorder="1" applyAlignment="1">
      <alignment horizontal="center" vertical="center" wrapText="1"/>
    </xf>
    <xf numFmtId="177" fontId="10" fillId="0" borderId="1" xfId="0" applyNumberFormat="1" applyFont="1" applyFill="1" applyBorder="1" applyAlignment="1">
      <alignment horizontal="center" vertical="center"/>
    </xf>
    <xf numFmtId="0" fontId="10" fillId="3" borderId="1" xfId="0" applyNumberFormat="1" applyFont="1" applyFill="1" applyBorder="1" applyAlignment="1">
      <alignment horizontal="center" vertical="center"/>
    </xf>
    <xf numFmtId="9" fontId="10" fillId="3" borderId="1" xfId="0" applyNumberFormat="1" applyFont="1" applyFill="1" applyBorder="1" applyAlignment="1">
      <alignment vertical="center"/>
    </xf>
    <xf numFmtId="0" fontId="10" fillId="3" borderId="1" xfId="0" applyNumberFormat="1" applyFont="1" applyFill="1" applyBorder="1" applyAlignment="1">
      <alignment vertical="center"/>
    </xf>
    <xf numFmtId="177" fontId="10" fillId="3" borderId="1" xfId="0" applyNumberFormat="1" applyFont="1" applyFill="1" applyBorder="1" applyAlignment="1">
      <alignment horizontal="center" vertical="center"/>
    </xf>
    <xf numFmtId="9" fontId="10" fillId="0" borderId="1" xfId="0" applyNumberFormat="1" applyFont="1" applyFill="1" applyBorder="1" applyAlignment="1">
      <alignment horizontal="center" vertical="center"/>
    </xf>
    <xf numFmtId="0" fontId="13" fillId="0" borderId="1" xfId="0" applyNumberFormat="1" applyFont="1" applyFill="1" applyBorder="1" applyAlignment="1">
      <alignment horizontal="left" vertical="center" wrapText="1"/>
    </xf>
    <xf numFmtId="0" fontId="14" fillId="0" borderId="1" xfId="0" applyNumberFormat="1" applyFont="1" applyFill="1" applyBorder="1" applyAlignment="1">
      <alignment horizontal="left" vertical="center" wrapText="1"/>
    </xf>
    <xf numFmtId="0" fontId="10" fillId="0" borderId="1" xfId="0" applyNumberFormat="1" applyFont="1" applyFill="1" applyBorder="1" applyAlignment="1">
      <alignment vertical="center"/>
    </xf>
    <xf numFmtId="0" fontId="10" fillId="0" borderId="1" xfId="0" applyNumberFormat="1" applyFont="1" applyFill="1" applyBorder="1" applyAlignment="1">
      <alignment horizontal="left" vertical="center" wrapText="1"/>
    </xf>
    <xf numFmtId="9" fontId="10" fillId="0" borderId="1" xfId="0" applyNumberFormat="1" applyFont="1" applyFill="1" applyBorder="1" applyAlignment="1">
      <alignment horizontal="right" vertical="center"/>
    </xf>
    <xf numFmtId="0" fontId="10" fillId="0" borderId="1" xfId="0" applyNumberFormat="1" applyFont="1" applyFill="1" applyBorder="1" applyAlignment="1">
      <alignment horizontal="left" vertical="center"/>
    </xf>
    <xf numFmtId="9" fontId="10" fillId="0" borderId="1" xfId="0" applyNumberFormat="1" applyFont="1" applyFill="1" applyBorder="1" applyAlignment="1">
      <alignment vertical="center"/>
    </xf>
    <xf numFmtId="0" fontId="12" fillId="0" borderId="0" xfId="0" applyNumberFormat="1" applyFont="1" applyFill="1" applyAlignment="1">
      <alignment vertical="center"/>
    </xf>
    <xf numFmtId="0" fontId="10" fillId="0" borderId="0" xfId="0" applyNumberFormat="1" applyFont="1" applyFill="1" applyAlignment="1">
      <alignment vertical="center" wrapText="1"/>
    </xf>
    <xf numFmtId="0" fontId="15" fillId="0" borderId="0" xfId="0" applyNumberFormat="1" applyFont="1" applyAlignment="1">
      <alignment vertical="center" wrapText="1"/>
    </xf>
    <xf numFmtId="0" fontId="15" fillId="0" borderId="0" xfId="0" applyNumberFormat="1" applyFont="1" applyAlignment="1">
      <alignment horizontal="center" vertical="center" wrapText="1"/>
    </xf>
    <xf numFmtId="0" fontId="16" fillId="0" borderId="1" xfId="0" applyNumberFormat="1" applyFont="1" applyBorder="1" applyAlignment="1">
      <alignment horizontal="center" vertical="center" wrapText="1"/>
    </xf>
    <xf numFmtId="0" fontId="16" fillId="0" borderId="1" xfId="0" applyNumberFormat="1" applyFont="1" applyBorder="1" applyAlignment="1">
      <alignment horizontal="center" vertical="center"/>
    </xf>
    <xf numFmtId="0" fontId="16" fillId="0" borderId="1" xfId="0" applyNumberFormat="1" applyFont="1" applyBorder="1" applyAlignment="1">
      <alignment horizontal="left" vertical="center" wrapText="1"/>
    </xf>
    <xf numFmtId="9" fontId="16" fillId="0" borderId="1" xfId="0" applyNumberFormat="1" applyFont="1" applyBorder="1" applyAlignment="1">
      <alignment horizontal="center" vertical="center" wrapText="1"/>
    </xf>
    <xf numFmtId="177" fontId="16" fillId="0" borderId="1" xfId="0" applyNumberFormat="1" applyFont="1" applyBorder="1" applyAlignment="1">
      <alignment horizontal="center" vertical="center"/>
    </xf>
    <xf numFmtId="0" fontId="10" fillId="0" borderId="0" xfId="0" applyNumberFormat="1" applyFont="1" applyAlignment="1">
      <alignment vertical="center"/>
    </xf>
    <xf numFmtId="0" fontId="16" fillId="0" borderId="2" xfId="0" applyNumberFormat="1" applyFont="1" applyBorder="1" applyAlignment="1">
      <alignment horizontal="center" vertical="center" wrapText="1"/>
    </xf>
    <xf numFmtId="0" fontId="17" fillId="0" borderId="2" xfId="0" applyNumberFormat="1" applyFont="1" applyBorder="1" applyAlignment="1">
      <alignment horizontal="center" vertical="center"/>
    </xf>
    <xf numFmtId="9" fontId="18" fillId="0" borderId="2" xfId="0" applyNumberFormat="1" applyFont="1" applyBorder="1" applyAlignment="1">
      <alignment horizontal="center" vertical="center" wrapText="1"/>
    </xf>
    <xf numFmtId="0" fontId="18" fillId="0" borderId="2" xfId="0" applyNumberFormat="1" applyFont="1" applyBorder="1" applyAlignment="1">
      <alignment horizontal="center" vertical="center" wrapText="1"/>
    </xf>
    <xf numFmtId="0" fontId="18" fillId="0" borderId="2" xfId="0" applyNumberFormat="1" applyFont="1" applyBorder="1" applyAlignment="1">
      <alignment horizontal="center" vertical="center"/>
    </xf>
    <xf numFmtId="0" fontId="18" fillId="0" borderId="1" xfId="0" applyNumberFormat="1" applyFont="1" applyBorder="1" applyAlignment="1">
      <alignment horizontal="center" vertical="center" wrapText="1"/>
    </xf>
    <xf numFmtId="0" fontId="18" fillId="0" borderId="1" xfId="0" applyNumberFormat="1" applyFont="1" applyBorder="1" applyAlignment="1">
      <alignment horizontal="left" vertical="center" wrapText="1"/>
    </xf>
    <xf numFmtId="0" fontId="18" fillId="2" borderId="1" xfId="0" applyNumberFormat="1" applyFont="1" applyFill="1" applyBorder="1" applyAlignment="1">
      <alignment horizontal="center" vertical="center" wrapText="1"/>
    </xf>
    <xf numFmtId="9" fontId="18" fillId="0" borderId="1" xfId="0" applyNumberFormat="1" applyFont="1" applyBorder="1" applyAlignment="1">
      <alignment horizontal="center" vertical="center" wrapText="1"/>
    </xf>
    <xf numFmtId="0" fontId="18" fillId="0" borderId="1" xfId="0" applyNumberFormat="1" applyFont="1" applyBorder="1" applyAlignment="1">
      <alignment horizontal="center" vertical="center"/>
    </xf>
    <xf numFmtId="0" fontId="17" fillId="0" borderId="1" xfId="0" applyNumberFormat="1" applyFont="1" applyBorder="1" applyAlignment="1">
      <alignment horizontal="center" vertical="center"/>
    </xf>
    <xf numFmtId="0" fontId="16" fillId="0" borderId="3" xfId="0" applyNumberFormat="1" applyFont="1" applyBorder="1" applyAlignment="1">
      <alignment horizontal="center" vertical="center" wrapText="1"/>
    </xf>
    <xf numFmtId="0" fontId="17" fillId="0" borderId="3" xfId="0" applyNumberFormat="1" applyFont="1" applyBorder="1" applyAlignment="1">
      <alignment horizontal="center" vertical="center"/>
    </xf>
    <xf numFmtId="9" fontId="18" fillId="0" borderId="3" xfId="0" applyNumberFormat="1" applyFont="1" applyBorder="1" applyAlignment="1">
      <alignment horizontal="center" vertical="center" wrapText="1"/>
    </xf>
    <xf numFmtId="0" fontId="18" fillId="0" borderId="3" xfId="0" applyNumberFormat="1" applyFont="1" applyBorder="1" applyAlignment="1">
      <alignment horizontal="center" vertical="center" wrapText="1"/>
    </xf>
    <xf numFmtId="0" fontId="18" fillId="0" borderId="3" xfId="0" applyNumberFormat="1" applyFont="1" applyBorder="1" applyAlignment="1">
      <alignment horizontal="center" vertical="center"/>
    </xf>
    <xf numFmtId="0" fontId="18" fillId="0" borderId="4" xfId="0" applyNumberFormat="1" applyFont="1" applyBorder="1" applyAlignment="1">
      <alignment horizontal="center" vertical="center" wrapText="1"/>
    </xf>
    <xf numFmtId="0" fontId="18" fillId="3" borderId="1" xfId="0" applyNumberFormat="1" applyFont="1" applyFill="1" applyBorder="1" applyAlignment="1">
      <alignment horizontal="center" vertical="center"/>
    </xf>
    <xf numFmtId="9" fontId="18" fillId="3" borderId="1" xfId="0" applyNumberFormat="1" applyFont="1" applyFill="1" applyBorder="1" applyAlignment="1">
      <alignment vertical="center"/>
    </xf>
    <xf numFmtId="0" fontId="18" fillId="3" borderId="1" xfId="0" applyNumberFormat="1" applyFont="1" applyFill="1" applyBorder="1" applyAlignment="1">
      <alignment vertical="center"/>
    </xf>
    <xf numFmtId="177" fontId="18" fillId="3" borderId="1" xfId="0" applyNumberFormat="1" applyFont="1" applyFill="1" applyBorder="1" applyAlignment="1">
      <alignment horizontal="center" vertical="center"/>
    </xf>
    <xf numFmtId="9" fontId="18" fillId="0" borderId="1" xfId="0" applyNumberFormat="1" applyFont="1" applyBorder="1" applyAlignment="1">
      <alignment horizontal="center" vertical="center"/>
    </xf>
    <xf numFmtId="177" fontId="18" fillId="0" borderId="1" xfId="0" applyNumberFormat="1" applyFont="1" applyBorder="1" applyAlignment="1">
      <alignment horizontal="center" vertical="center"/>
    </xf>
    <xf numFmtId="0" fontId="16" fillId="0" borderId="4" xfId="0" applyNumberFormat="1" applyFont="1" applyBorder="1" applyAlignment="1">
      <alignment horizontal="center" vertical="center" wrapText="1"/>
    </xf>
    <xf numFmtId="0" fontId="17" fillId="0" borderId="4" xfId="0" applyNumberFormat="1" applyFont="1" applyBorder="1" applyAlignment="1">
      <alignment horizontal="center" vertical="center"/>
    </xf>
    <xf numFmtId="9" fontId="18" fillId="0" borderId="4" xfId="0" applyNumberFormat="1" applyFont="1" applyBorder="1" applyAlignment="1">
      <alignment horizontal="center" vertical="center" wrapText="1"/>
    </xf>
    <xf numFmtId="0" fontId="18" fillId="0" borderId="4" xfId="0" applyNumberFormat="1" applyFont="1" applyBorder="1" applyAlignment="1">
      <alignment horizontal="center" vertical="center"/>
    </xf>
    <xf numFmtId="0" fontId="18" fillId="0" borderId="1" xfId="0" applyNumberFormat="1" applyFont="1" applyBorder="1" applyAlignment="1">
      <alignment vertical="center" wrapText="1"/>
    </xf>
    <xf numFmtId="176" fontId="2" fillId="0" borderId="8" xfId="0" applyFont="1" applyBorder="1" applyAlignment="1">
      <alignment horizontal="center" vertical="center" wrapText="1"/>
    </xf>
    <xf numFmtId="176" fontId="4" fillId="0" borderId="8" xfId="0" applyFont="1" applyBorder="1" applyAlignment="1">
      <alignment horizontal="left" vertical="center"/>
    </xf>
    <xf numFmtId="49" fontId="5" fillId="0" borderId="8" xfId="0" applyNumberFormat="1" applyFont="1" applyBorder="1" applyAlignment="1">
      <alignment horizontal="center" vertical="center" wrapText="1"/>
    </xf>
    <xf numFmtId="176" fontId="5" fillId="0" borderId="8" xfId="0" applyFont="1" applyBorder="1" applyAlignment="1">
      <alignment horizontal="center" vertical="center" wrapText="1"/>
    </xf>
    <xf numFmtId="176" fontId="5" fillId="0" borderId="8" xfId="0" applyFont="1" applyBorder="1" applyAlignment="1">
      <alignment horizontal="center" vertical="center"/>
    </xf>
    <xf numFmtId="0" fontId="5" fillId="0" borderId="13" xfId="0" applyNumberFormat="1" applyFont="1" applyBorder="1" applyAlignment="1">
      <alignment horizontal="center" vertical="center" wrapText="1"/>
    </xf>
    <xf numFmtId="176" fontId="5" fillId="0" borderId="7" xfId="0" applyFont="1" applyBorder="1" applyAlignment="1">
      <alignment horizontal="center" vertical="center" wrapText="1"/>
    </xf>
    <xf numFmtId="177" fontId="5" fillId="0" borderId="7" xfId="0" applyNumberFormat="1" applyFont="1" applyBorder="1" applyAlignment="1">
      <alignment horizontal="center" vertical="center"/>
    </xf>
    <xf numFmtId="176" fontId="2" fillId="0" borderId="7" xfId="0" applyFont="1" applyBorder="1" applyAlignment="1">
      <alignment horizontal="center" vertical="center" wrapText="1"/>
    </xf>
    <xf numFmtId="176" fontId="4" fillId="0" borderId="7" xfId="0" applyFont="1" applyBorder="1" applyAlignment="1">
      <alignment horizontal="left" vertical="center"/>
    </xf>
    <xf numFmtId="49" fontId="5" fillId="0" borderId="7" xfId="0" applyNumberFormat="1" applyFont="1" applyBorder="1" applyAlignment="1">
      <alignment horizontal="center" vertical="center" wrapText="1"/>
    </xf>
    <xf numFmtId="176" fontId="5" fillId="0" borderId="7" xfId="0" applyFont="1" applyBorder="1" applyAlignment="1">
      <alignment horizontal="center" vertical="center"/>
    </xf>
    <xf numFmtId="176" fontId="5" fillId="0" borderId="5" xfId="0" applyFont="1" applyBorder="1" applyAlignment="1">
      <alignment horizontal="center" vertical="center"/>
    </xf>
    <xf numFmtId="176" fontId="5" fillId="0" borderId="5" xfId="0" applyFont="1" applyBorder="1" applyAlignment="1">
      <alignment horizontal="center" vertical="center" wrapText="1"/>
    </xf>
    <xf numFmtId="0" fontId="5" fillId="0" borderId="1" xfId="0" applyNumberFormat="1" applyFont="1" applyBorder="1" applyAlignment="1">
      <alignment vertical="center" wrapText="1"/>
    </xf>
    <xf numFmtId="176" fontId="5" fillId="3" borderId="14" xfId="0" applyFont="1" applyFill="1" applyBorder="1" applyAlignment="1">
      <alignment horizontal="center" vertical="center"/>
    </xf>
    <xf numFmtId="176" fontId="5" fillId="3" borderId="15" xfId="0" applyFont="1" applyFill="1" applyBorder="1" applyAlignment="1">
      <alignment horizontal="center" vertical="center"/>
    </xf>
    <xf numFmtId="176" fontId="5" fillId="3" borderId="16" xfId="0" applyFont="1" applyFill="1" applyBorder="1" applyAlignment="1">
      <alignment horizontal="center" vertical="center"/>
    </xf>
    <xf numFmtId="176" fontId="5" fillId="3" borderId="5" xfId="0" applyFont="1" applyFill="1" applyBorder="1" applyAlignment="1">
      <alignment horizontal="center" vertical="center"/>
    </xf>
    <xf numFmtId="9" fontId="5" fillId="3" borderId="7" xfId="0" applyNumberFormat="1" applyFont="1" applyFill="1" applyBorder="1" applyAlignment="1">
      <alignment vertical="center"/>
    </xf>
    <xf numFmtId="176" fontId="5" fillId="3" borderId="7" xfId="0" applyFont="1" applyFill="1" applyBorder="1" applyAlignment="1">
      <alignment vertical="center"/>
    </xf>
    <xf numFmtId="177" fontId="5" fillId="3" borderId="7" xfId="0" applyNumberFormat="1" applyFont="1" applyFill="1" applyBorder="1" applyAlignment="1">
      <alignment horizontal="center" vertical="center"/>
    </xf>
    <xf numFmtId="176" fontId="5" fillId="0" borderId="17" xfId="0" applyFont="1" applyBorder="1" applyAlignment="1">
      <alignment horizontal="center" vertical="center"/>
    </xf>
    <xf numFmtId="176" fontId="4" fillId="0" borderId="8" xfId="0" applyFont="1" applyBorder="1" applyAlignment="1">
      <alignment horizontal="left" vertical="center" wrapText="1"/>
    </xf>
    <xf numFmtId="9" fontId="5" fillId="0" borderId="18" xfId="0" applyNumberFormat="1" applyFont="1" applyBorder="1" applyAlignment="1">
      <alignment horizontal="center" vertical="center"/>
    </xf>
    <xf numFmtId="176" fontId="5" fillId="0" borderId="19" xfId="0" applyFont="1" applyBorder="1" applyAlignment="1">
      <alignment horizontal="center" vertical="center"/>
    </xf>
    <xf numFmtId="176" fontId="4" fillId="0" borderId="7" xfId="0" applyFont="1" applyBorder="1" applyAlignment="1">
      <alignment vertical="center"/>
    </xf>
    <xf numFmtId="176" fontId="5" fillId="0" borderId="20" xfId="0" applyFont="1" applyBorder="1" applyAlignment="1">
      <alignment vertical="center" wrapText="1"/>
    </xf>
    <xf numFmtId="176" fontId="5" fillId="0" borderId="18" xfId="0" applyFont="1" applyBorder="1" applyAlignment="1">
      <alignment horizontal="center" vertical="center" wrapText="1"/>
    </xf>
    <xf numFmtId="176" fontId="5" fillId="0" borderId="2" xfId="0" applyFont="1" applyBorder="1" applyAlignment="1">
      <alignment horizontal="left" vertical="center" wrapText="1"/>
    </xf>
    <xf numFmtId="176" fontId="5" fillId="0" borderId="3" xfId="0" applyFont="1" applyBorder="1" applyAlignment="1">
      <alignment horizontal="left" vertical="center" wrapText="1"/>
    </xf>
    <xf numFmtId="176" fontId="5" fillId="0" borderId="21" xfId="0" applyFont="1" applyBorder="1" applyAlignment="1">
      <alignment horizontal="left" vertical="center" wrapText="1"/>
    </xf>
    <xf numFmtId="176" fontId="5" fillId="3" borderId="7" xfId="0" applyFont="1" applyFill="1" applyBorder="1" applyAlignment="1">
      <alignment horizontal="center" vertical="center"/>
    </xf>
    <xf numFmtId="0" fontId="5" fillId="0" borderId="7" xfId="0" applyNumberFormat="1" applyFont="1" applyBorder="1" applyAlignment="1">
      <alignment vertical="center" wrapText="1"/>
    </xf>
    <xf numFmtId="9" fontId="5" fillId="0" borderId="7" xfId="0" applyNumberFormat="1" applyFont="1" applyBorder="1" applyAlignment="1">
      <alignment horizontal="center" vertical="center"/>
    </xf>
    <xf numFmtId="0" fontId="5" fillId="0" borderId="22" xfId="0" applyNumberFormat="1" applyFont="1" applyBorder="1" applyAlignment="1">
      <alignment vertical="center" wrapText="1"/>
    </xf>
    <xf numFmtId="0" fontId="5" fillId="0" borderId="2" xfId="0" applyNumberFormat="1" applyFont="1" applyBorder="1" applyAlignment="1">
      <alignment vertical="center" wrapText="1"/>
    </xf>
    <xf numFmtId="0" fontId="5" fillId="0" borderId="23" xfId="0" applyNumberFormat="1" applyFont="1" applyBorder="1" applyAlignment="1">
      <alignment vertical="center" wrapText="1"/>
    </xf>
    <xf numFmtId="0" fontId="5" fillId="0" borderId="7"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49" fontId="5" fillId="0" borderId="1" xfId="0" applyNumberFormat="1" applyFont="1" applyBorder="1" applyAlignment="1">
      <alignment horizontal="center" vertical="center" wrapText="1"/>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1" xfId="0" applyFont="1" applyBorder="1" applyAlignment="1">
      <alignment vertical="center"/>
    </xf>
    <xf numFmtId="176" fontId="5" fillId="0" borderId="4" xfId="0" applyFont="1" applyBorder="1" applyAlignment="1">
      <alignment horizontal="left" vertical="center" wrapText="1"/>
    </xf>
    <xf numFmtId="176" fontId="5" fillId="3" borderId="11" xfId="0" applyFont="1" applyFill="1" applyBorder="1" applyAlignment="1">
      <alignment horizontal="center" vertical="center"/>
    </xf>
    <xf numFmtId="176" fontId="5" fillId="3" borderId="12" xfId="0" applyFont="1" applyFill="1" applyBorder="1" applyAlignment="1">
      <alignment horizontal="center" vertical="center"/>
    </xf>
    <xf numFmtId="176" fontId="5" fillId="3" borderId="1" xfId="0" applyFont="1" applyFill="1" applyBorder="1" applyAlignment="1">
      <alignment vertical="center"/>
    </xf>
    <xf numFmtId="176" fontId="5" fillId="0" borderId="1" xfId="0" applyFont="1" applyBorder="1" applyAlignment="1">
      <alignment horizontal="left" vertical="center" wrapText="1"/>
    </xf>
    <xf numFmtId="0" fontId="5" fillId="0" borderId="1" xfId="0" applyNumberFormat="1" applyFont="1" applyBorder="1" applyAlignment="1">
      <alignment vertical="center"/>
    </xf>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4"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vertical="center" wrapText="1"/>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9"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9" fontId="5" fillId="0" borderId="1" xfId="0" applyNumberFormat="1" applyFont="1" applyFill="1" applyBorder="1" applyAlignment="1" applyProtection="1">
      <alignment horizontal="center" vertical="center" wrapText="1"/>
    </xf>
    <xf numFmtId="0" fontId="2" fillId="0" borderId="3" xfId="0" applyNumberFormat="1" applyFont="1" applyFill="1" applyBorder="1" applyAlignment="1">
      <alignment horizontal="center" vertical="center"/>
    </xf>
    <xf numFmtId="0" fontId="5" fillId="0" borderId="1" xfId="0" applyNumberFormat="1" applyFont="1" applyFill="1" applyBorder="1" applyAlignment="1">
      <alignment vertical="top" wrapText="1"/>
    </xf>
    <xf numFmtId="0" fontId="4" fillId="3" borderId="1" xfId="0" applyNumberFormat="1" applyFont="1" applyFill="1" applyBorder="1" applyAlignment="1">
      <alignment horizontal="center" vertical="center"/>
    </xf>
    <xf numFmtId="0" fontId="5" fillId="0" borderId="1" xfId="0" applyNumberFormat="1" applyFont="1" applyFill="1" applyBorder="1" applyAlignment="1">
      <alignment vertical="center" wrapText="1"/>
    </xf>
    <xf numFmtId="0" fontId="5" fillId="0" borderId="2" xfId="0" applyNumberFormat="1"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0" fontId="3" fillId="2" borderId="1" xfId="0" applyNumberFormat="1" applyFont="1" applyFill="1" applyBorder="1" applyAlignment="1">
      <alignment horizontal="center" vertical="center" wrapText="1"/>
    </xf>
    <xf numFmtId="9"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xf>
    <xf numFmtId="177" fontId="19" fillId="0" borderId="1" xfId="0" applyNumberFormat="1" applyFont="1" applyFill="1" applyBorder="1" applyAlignment="1">
      <alignment horizontal="center" vertical="center"/>
    </xf>
    <xf numFmtId="0" fontId="5" fillId="0" borderId="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177" fontId="3" fillId="0" borderId="1" xfId="0" applyNumberFormat="1" applyFont="1" applyFill="1" applyBorder="1" applyAlignment="1">
      <alignment horizontal="center" vertical="center"/>
    </xf>
    <xf numFmtId="0" fontId="5" fillId="2" borderId="2"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center"/>
    </xf>
    <xf numFmtId="0" fontId="2" fillId="0" borderId="2" xfId="0" applyNumberFormat="1" applyFont="1" applyFill="1" applyBorder="1" applyAlignment="1">
      <alignment horizontal="center" vertical="center"/>
    </xf>
    <xf numFmtId="0" fontId="15" fillId="0" borderId="0" xfId="0" applyNumberFormat="1" applyFont="1" applyFill="1" applyAlignment="1">
      <alignment vertical="center" wrapText="1"/>
    </xf>
    <xf numFmtId="0" fontId="15" fillId="0" borderId="0" xfId="0" applyNumberFormat="1" applyFont="1" applyFill="1" applyAlignment="1">
      <alignment horizontal="center" vertical="center" wrapText="1"/>
    </xf>
    <xf numFmtId="0" fontId="16" fillId="0" borderId="1" xfId="0" applyNumberFormat="1" applyFont="1" applyFill="1" applyBorder="1" applyAlignment="1">
      <alignment horizontal="center" vertical="center" wrapText="1"/>
    </xf>
    <xf numFmtId="0" fontId="16" fillId="0" borderId="1" xfId="0" applyNumberFormat="1" applyFont="1" applyFill="1" applyBorder="1" applyAlignment="1">
      <alignment horizontal="center" vertical="center"/>
    </xf>
    <xf numFmtId="0" fontId="16" fillId="0" borderId="1" xfId="0" applyNumberFormat="1" applyFont="1" applyFill="1" applyBorder="1" applyAlignment="1">
      <alignment horizontal="left" vertical="center" wrapText="1"/>
    </xf>
    <xf numFmtId="9" fontId="16" fillId="0" borderId="1" xfId="0" applyNumberFormat="1" applyFont="1" applyFill="1" applyBorder="1" applyAlignment="1">
      <alignment horizontal="center" vertical="center" wrapText="1"/>
    </xf>
    <xf numFmtId="177" fontId="16" fillId="0" borderId="1" xfId="0" applyNumberFormat="1" applyFont="1" applyFill="1" applyBorder="1" applyAlignment="1">
      <alignment horizontal="center" vertical="center"/>
    </xf>
    <xf numFmtId="0" fontId="10" fillId="0" borderId="0" xfId="0" applyNumberFormat="1" applyFont="1" applyFill="1" applyAlignment="1">
      <alignment vertical="center"/>
    </xf>
    <xf numFmtId="0" fontId="17" fillId="0"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wrapText="1"/>
    </xf>
    <xf numFmtId="0" fontId="18" fillId="0" borderId="1" xfId="0" applyNumberFormat="1" applyFont="1" applyFill="1" applyBorder="1" applyAlignment="1">
      <alignment horizontal="center" vertical="center"/>
    </xf>
    <xf numFmtId="0" fontId="18" fillId="2" borderId="1" xfId="0" applyNumberFormat="1" applyFont="1" applyFill="1" applyBorder="1" applyAlignment="1">
      <alignment horizontal="left" vertical="center" wrapText="1"/>
    </xf>
    <xf numFmtId="9" fontId="18" fillId="0" borderId="1" xfId="0" applyNumberFormat="1" applyFont="1" applyFill="1" applyBorder="1" applyAlignment="1">
      <alignment horizontal="center" vertical="center" wrapText="1"/>
    </xf>
    <xf numFmtId="0" fontId="18" fillId="0" borderId="1" xfId="0" applyNumberFormat="1" applyFont="1" applyFill="1" applyBorder="1" applyAlignment="1">
      <alignment horizontal="left" vertical="center" wrapText="1"/>
    </xf>
    <xf numFmtId="0" fontId="17" fillId="0" borderId="1" xfId="0" applyNumberFormat="1" applyFont="1" applyFill="1" applyBorder="1" applyAlignment="1">
      <alignment horizontal="left" vertical="center" wrapText="1"/>
    </xf>
    <xf numFmtId="9" fontId="18" fillId="0" borderId="1" xfId="0" applyNumberFormat="1" applyFont="1" applyFill="1" applyBorder="1" applyAlignment="1">
      <alignment horizontal="center" vertical="center"/>
    </xf>
    <xf numFmtId="177" fontId="18" fillId="0" borderId="1" xfId="0" applyNumberFormat="1" applyFont="1" applyFill="1" applyBorder="1" applyAlignment="1">
      <alignment horizontal="center" vertical="center"/>
    </xf>
    <xf numFmtId="0" fontId="18" fillId="0" borderId="2" xfId="0" applyNumberFormat="1" applyFont="1" applyFill="1" applyBorder="1" applyAlignment="1">
      <alignment horizontal="center" vertical="center" wrapText="1"/>
    </xf>
    <xf numFmtId="0" fontId="18" fillId="0" borderId="2" xfId="0" applyNumberFormat="1" applyFont="1" applyFill="1" applyBorder="1" applyAlignment="1">
      <alignment horizontal="left" vertical="center" wrapText="1"/>
    </xf>
    <xf numFmtId="0" fontId="18" fillId="0" borderId="4" xfId="0" applyNumberFormat="1" applyFont="1" applyFill="1" applyBorder="1" applyAlignment="1">
      <alignment horizontal="center" vertical="center" wrapText="1"/>
    </xf>
    <xf numFmtId="0" fontId="18" fillId="2" borderId="1" xfId="0" applyNumberFormat="1" applyFont="1" applyFill="1" applyBorder="1" applyAlignment="1">
      <alignment horizontal="center" vertical="center"/>
    </xf>
    <xf numFmtId="9" fontId="18" fillId="2" borderId="1" xfId="0" applyNumberFormat="1" applyFont="1" applyFill="1" applyBorder="1" applyAlignment="1">
      <alignment horizontal="center" vertical="center"/>
    </xf>
    <xf numFmtId="0" fontId="18" fillId="2" borderId="1" xfId="0" applyNumberFormat="1" applyFont="1" applyFill="1" applyBorder="1" applyAlignment="1">
      <alignment vertical="center"/>
    </xf>
    <xf numFmtId="177" fontId="18" fillId="2" borderId="1" xfId="0" applyNumberFormat="1" applyFont="1" applyFill="1" applyBorder="1" applyAlignment="1">
      <alignment horizontal="center" vertical="center"/>
    </xf>
    <xf numFmtId="0" fontId="18" fillId="0" borderId="3" xfId="0" applyNumberFormat="1" applyFont="1" applyFill="1" applyBorder="1" applyAlignment="1">
      <alignment horizontal="center" vertical="center" wrapText="1"/>
    </xf>
    <xf numFmtId="0" fontId="18" fillId="0" borderId="3" xfId="0" applyNumberFormat="1" applyFont="1" applyFill="1" applyBorder="1" applyAlignment="1">
      <alignment horizontal="left" vertical="center" wrapText="1"/>
    </xf>
    <xf numFmtId="0" fontId="18" fillId="0" borderId="1" xfId="0" applyNumberFormat="1" applyFont="1" applyFill="1" applyBorder="1" applyAlignment="1">
      <alignment vertical="center" wrapText="1"/>
    </xf>
    <xf numFmtId="0" fontId="20" fillId="0" borderId="2" xfId="0" applyNumberFormat="1" applyFont="1" applyFill="1" applyBorder="1" applyAlignment="1">
      <alignment horizontal="center" vertical="center" wrapText="1"/>
    </xf>
    <xf numFmtId="0" fontId="21" fillId="0" borderId="2" xfId="0" applyNumberFormat="1" applyFont="1" applyFill="1" applyBorder="1" applyAlignment="1">
      <alignment horizontal="center" vertical="center"/>
    </xf>
    <xf numFmtId="9" fontId="3"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20" fillId="0" borderId="3" xfId="0" applyNumberFormat="1" applyFont="1" applyFill="1" applyBorder="1" applyAlignment="1">
      <alignment horizontal="center" vertical="center" wrapText="1"/>
    </xf>
    <xf numFmtId="0" fontId="21" fillId="0" borderId="3" xfId="0" applyNumberFormat="1" applyFont="1" applyFill="1" applyBorder="1" applyAlignment="1">
      <alignment horizontal="center" vertical="center"/>
    </xf>
    <xf numFmtId="9" fontId="3" fillId="0"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xf>
    <xf numFmtId="0" fontId="3" fillId="0" borderId="4" xfId="0" applyNumberFormat="1" applyFont="1" applyFill="1" applyBorder="1" applyAlignment="1">
      <alignment horizontal="center" vertical="center"/>
    </xf>
    <xf numFmtId="0" fontId="20" fillId="0" borderId="4" xfId="0" applyNumberFormat="1" applyFont="1" applyFill="1" applyBorder="1" applyAlignment="1">
      <alignment horizontal="center" vertical="center" wrapText="1"/>
    </xf>
    <xf numFmtId="0" fontId="21" fillId="0" borderId="4" xfId="0" applyNumberFormat="1" applyFont="1" applyFill="1" applyBorder="1" applyAlignment="1">
      <alignment horizontal="center" vertical="center"/>
    </xf>
    <xf numFmtId="9" fontId="3" fillId="0" borderId="4"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xf>
    <xf numFmtId="9" fontId="3" fillId="3" borderId="1" xfId="0" applyNumberFormat="1" applyFont="1" applyFill="1" applyBorder="1" applyAlignment="1">
      <alignment vertical="center"/>
    </xf>
    <xf numFmtId="0" fontId="3" fillId="3" borderId="1" xfId="0" applyNumberFormat="1" applyFont="1" applyFill="1" applyBorder="1" applyAlignment="1">
      <alignment vertical="center"/>
    </xf>
    <xf numFmtId="177" fontId="3" fillId="3" borderId="1" xfId="0" applyNumberFormat="1" applyFont="1" applyFill="1" applyBorder="1" applyAlignment="1">
      <alignment horizontal="center" vertical="center"/>
    </xf>
    <xf numFmtId="0" fontId="0" fillId="0" borderId="0" xfId="0" applyNumberFormat="1"/>
    <xf numFmtId="9" fontId="0" fillId="0" borderId="0" xfId="0" applyNumberFormat="1"/>
    <xf numFmtId="49" fontId="0" fillId="0" borderId="0" xfId="0" applyNumberFormat="1"/>
    <xf numFmtId="176" fontId="22" fillId="4" borderId="1" xfId="0" applyFont="1" applyFill="1" applyBorder="1" applyAlignment="1">
      <alignment horizontal="center" vertical="center"/>
    </xf>
    <xf numFmtId="0" fontId="23" fillId="4" borderId="1" xfId="0" applyNumberFormat="1" applyFont="1" applyFill="1" applyBorder="1" applyAlignment="1">
      <alignment horizontal="center" vertical="center"/>
    </xf>
    <xf numFmtId="176" fontId="23" fillId="4" borderId="1" xfId="0" applyFont="1" applyFill="1" applyBorder="1" applyAlignment="1">
      <alignment horizontal="center" vertical="center"/>
    </xf>
    <xf numFmtId="9" fontId="23" fillId="4" borderId="1" xfId="0" applyNumberFormat="1" applyFont="1" applyFill="1" applyBorder="1" applyAlignment="1">
      <alignment horizontal="center" vertical="center"/>
    </xf>
    <xf numFmtId="0" fontId="23" fillId="4" borderId="1" xfId="0" applyNumberFormat="1" applyFont="1" applyFill="1" applyBorder="1" applyAlignment="1">
      <alignment horizontal="center" vertical="center" wrapText="1"/>
    </xf>
    <xf numFmtId="49" fontId="23" fillId="4" borderId="1" xfId="0" applyNumberFormat="1" applyFont="1" applyFill="1" applyBorder="1" applyAlignment="1">
      <alignment horizontal="center" vertical="center" wrapText="1"/>
    </xf>
    <xf numFmtId="176" fontId="23" fillId="4" borderId="1" xfId="0" applyFont="1" applyFill="1" applyBorder="1" applyAlignment="1">
      <alignment horizontal="center" vertical="center" wrapText="1"/>
    </xf>
    <xf numFmtId="0" fontId="24" fillId="0" borderId="1" xfId="0" applyNumberFormat="1" applyFont="1" applyBorder="1" applyAlignment="1">
      <alignment horizontal="center" vertical="center"/>
    </xf>
    <xf numFmtId="176" fontId="24" fillId="0" borderId="2" xfId="0" applyFont="1" applyBorder="1" applyAlignment="1">
      <alignment horizontal="center" vertical="center" wrapText="1"/>
    </xf>
    <xf numFmtId="176" fontId="24" fillId="0" borderId="1" xfId="0" applyFont="1" applyBorder="1" applyAlignment="1">
      <alignment horizontal="center" vertical="center" wrapText="1"/>
    </xf>
    <xf numFmtId="176" fontId="24" fillId="0" borderId="1" xfId="0" applyFont="1" applyBorder="1" applyAlignment="1">
      <alignment vertical="center"/>
    </xf>
    <xf numFmtId="176" fontId="24" fillId="0" borderId="1" xfId="0" applyFont="1" applyBorder="1" applyAlignment="1">
      <alignment horizontal="center" vertical="center"/>
    </xf>
    <xf numFmtId="9" fontId="24" fillId="0" borderId="1" xfId="0" applyNumberFormat="1" applyFont="1" applyBorder="1" applyAlignment="1">
      <alignment horizontal="center" vertical="center"/>
    </xf>
    <xf numFmtId="0" fontId="24" fillId="0" borderId="1" xfId="0" applyNumberFormat="1" applyFont="1" applyBorder="1" applyAlignment="1">
      <alignment horizontal="center" vertical="center" wrapText="1"/>
    </xf>
    <xf numFmtId="0" fontId="24" fillId="0" borderId="1" xfId="0" applyNumberFormat="1" applyFont="1" applyFill="1" applyBorder="1" applyAlignment="1">
      <alignment horizontal="center" vertical="center"/>
    </xf>
    <xf numFmtId="0" fontId="24" fillId="0" borderId="1" xfId="0" applyNumberFormat="1" applyFont="1" applyFill="1" applyBorder="1" applyAlignment="1">
      <alignment horizontal="center" vertical="center" wrapText="1"/>
    </xf>
    <xf numFmtId="176" fontId="24" fillId="0" borderId="1" xfId="0" applyFont="1" applyBorder="1" applyAlignment="1">
      <alignment vertical="center" wrapText="1"/>
    </xf>
    <xf numFmtId="176" fontId="24" fillId="0" borderId="3" xfId="0" applyFont="1" applyBorder="1" applyAlignment="1">
      <alignment horizontal="center" vertical="center"/>
    </xf>
    <xf numFmtId="9" fontId="24" fillId="0" borderId="1" xfId="0" applyNumberFormat="1" applyFont="1" applyFill="1" applyBorder="1" applyAlignment="1" applyProtection="1">
      <alignment horizontal="center" vertical="center"/>
    </xf>
    <xf numFmtId="0" fontId="25" fillId="0" borderId="1" xfId="0" applyNumberFormat="1" applyFont="1" applyFill="1" applyBorder="1" applyAlignment="1">
      <alignment horizontal="center" vertical="center"/>
    </xf>
    <xf numFmtId="176" fontId="24" fillId="0" borderId="1" xfId="0" applyFont="1" applyFill="1" applyBorder="1" applyAlignment="1">
      <alignment horizontal="center" vertical="center" wrapText="1"/>
    </xf>
    <xf numFmtId="176" fontId="24" fillId="0" borderId="1" xfId="0" applyFont="1" applyFill="1" applyBorder="1" applyAlignment="1">
      <alignment horizontal="center" vertical="center"/>
    </xf>
    <xf numFmtId="176" fontId="24" fillId="5" borderId="1" xfId="0" applyFont="1" applyFill="1" applyBorder="1" applyAlignment="1">
      <alignment horizontal="center" vertical="center"/>
    </xf>
    <xf numFmtId="9" fontId="24" fillId="0" borderId="1" xfId="0" applyNumberFormat="1" applyFont="1" applyFill="1" applyBorder="1" applyAlignment="1">
      <alignment horizontal="center" vertical="center"/>
    </xf>
    <xf numFmtId="176" fontId="24" fillId="5" borderId="1" xfId="0" applyFont="1" applyFill="1" applyBorder="1" applyAlignment="1">
      <alignment horizontal="center" vertical="center" wrapText="1"/>
    </xf>
    <xf numFmtId="176" fontId="24" fillId="0" borderId="1" xfId="0" applyFont="1" applyFill="1" applyBorder="1" applyAlignment="1">
      <alignment vertical="center"/>
    </xf>
    <xf numFmtId="176" fontId="24" fillId="0" borderId="3" xfId="0" applyFont="1" applyBorder="1" applyAlignment="1">
      <alignment horizontal="center" vertical="center" wrapText="1"/>
    </xf>
    <xf numFmtId="49" fontId="24" fillId="0" borderId="1" xfId="0" applyNumberFormat="1" applyFont="1" applyFill="1" applyBorder="1" applyAlignment="1">
      <alignment horizontal="center" vertical="center" wrapText="1"/>
    </xf>
    <xf numFmtId="0" fontId="24" fillId="3" borderId="1" xfId="0" applyNumberFormat="1" applyFont="1" applyFill="1" applyBorder="1" applyAlignment="1">
      <alignment horizontal="center" vertical="center"/>
    </xf>
    <xf numFmtId="176" fontId="25" fillId="5" borderId="1" xfId="0" applyFont="1" applyFill="1" applyBorder="1" applyAlignment="1">
      <alignment horizontal="center" vertical="center"/>
    </xf>
    <xf numFmtId="0" fontId="24" fillId="0" borderId="24" xfId="0" applyNumberFormat="1" applyFont="1" applyBorder="1" applyAlignment="1">
      <alignment horizontal="center" vertical="center"/>
    </xf>
    <xf numFmtId="176" fontId="24" fillId="0" borderId="25" xfId="0" applyFont="1" applyBorder="1" applyAlignment="1">
      <alignment horizontal="center" vertical="center"/>
    </xf>
    <xf numFmtId="176" fontId="24" fillId="0" borderId="24" xfId="0" applyFont="1" applyBorder="1" applyAlignment="1">
      <alignment horizontal="center" vertical="center"/>
    </xf>
    <xf numFmtId="176" fontId="24" fillId="4" borderId="24" xfId="0" applyFont="1" applyFill="1" applyBorder="1" applyAlignment="1">
      <alignment horizontal="center" vertical="center"/>
    </xf>
    <xf numFmtId="0" fontId="24" fillId="4" borderId="24" xfId="0" applyNumberFormat="1" applyFont="1" applyFill="1" applyBorder="1" applyAlignment="1">
      <alignment horizontal="center" vertical="center"/>
    </xf>
    <xf numFmtId="0" fontId="25" fillId="4" borderId="24" xfId="0" applyNumberFormat="1" applyFont="1" applyFill="1" applyBorder="1" applyAlignment="1">
      <alignment horizontal="center" vertical="center"/>
    </xf>
    <xf numFmtId="176" fontId="24" fillId="4" borderId="24" xfId="0" applyFont="1" applyFill="1" applyBorder="1" applyAlignment="1">
      <alignment horizontal="center" vertical="center" wrapText="1"/>
    </xf>
    <xf numFmtId="9" fontId="24" fillId="4" borderId="24" xfId="0" applyNumberFormat="1" applyFont="1" applyFill="1" applyBorder="1" applyAlignment="1">
      <alignment horizontal="center" vertical="center"/>
    </xf>
    <xf numFmtId="176" fontId="24" fillId="0" borderId="24" xfId="0" applyFont="1" applyBorder="1" applyAlignment="1">
      <alignment horizontal="center" vertical="center" wrapText="1"/>
    </xf>
    <xf numFmtId="0" fontId="24" fillId="0" borderId="4" xfId="0" applyNumberFormat="1" applyFont="1" applyBorder="1" applyAlignment="1">
      <alignment horizontal="center" vertical="center"/>
    </xf>
    <xf numFmtId="0" fontId="24" fillId="0" borderId="4" xfId="0" applyNumberFormat="1" applyFont="1" applyFill="1" applyBorder="1" applyAlignment="1">
      <alignment horizontal="center" vertical="center"/>
    </xf>
    <xf numFmtId="176" fontId="24" fillId="0" borderId="4" xfId="0" applyFont="1" applyFill="1" applyBorder="1" applyAlignment="1">
      <alignment vertical="center"/>
    </xf>
    <xf numFmtId="176" fontId="24" fillId="0" borderId="4" xfId="0" applyFont="1" applyFill="1" applyBorder="1" applyAlignment="1">
      <alignment horizontal="center" vertical="center"/>
    </xf>
    <xf numFmtId="9" fontId="24" fillId="0" borderId="4" xfId="0" applyNumberFormat="1" applyFont="1" applyFill="1" applyBorder="1" applyAlignment="1">
      <alignment horizontal="center" vertical="center"/>
    </xf>
    <xf numFmtId="0" fontId="24" fillId="0" borderId="4" xfId="0" applyNumberFormat="1" applyFont="1" applyFill="1" applyBorder="1" applyAlignment="1">
      <alignment horizontal="center" vertical="center" wrapText="1"/>
    </xf>
    <xf numFmtId="0" fontId="25" fillId="0" borderId="4" xfId="0" applyNumberFormat="1" applyFont="1" applyFill="1" applyBorder="1" applyAlignment="1">
      <alignment horizontal="center" vertical="center"/>
    </xf>
    <xf numFmtId="176" fontId="26" fillId="0" borderId="4" xfId="0" applyFont="1" applyFill="1" applyBorder="1" applyAlignment="1">
      <alignment vertical="center" wrapText="1"/>
    </xf>
    <xf numFmtId="0" fontId="25" fillId="0" borderId="2" xfId="0" applyNumberFormat="1" applyFont="1" applyFill="1" applyBorder="1" applyAlignment="1">
      <alignment horizontal="center" vertical="center"/>
    </xf>
    <xf numFmtId="0" fontId="24" fillId="0" borderId="2" xfId="0" applyNumberFormat="1" applyFont="1" applyFill="1" applyBorder="1" applyAlignment="1">
      <alignment horizontal="center" vertical="center"/>
    </xf>
    <xf numFmtId="0" fontId="24" fillId="0" borderId="2" xfId="0" applyNumberFormat="1" applyFont="1" applyBorder="1" applyAlignment="1">
      <alignment horizontal="center" vertical="center"/>
    </xf>
    <xf numFmtId="176" fontId="24" fillId="0" borderId="2" xfId="0" applyFont="1" applyBorder="1" applyAlignment="1">
      <alignment vertical="center"/>
    </xf>
    <xf numFmtId="176" fontId="24" fillId="0" borderId="2" xfId="0" applyFont="1" applyBorder="1" applyAlignment="1">
      <alignment horizontal="center" vertical="center"/>
    </xf>
    <xf numFmtId="9" fontId="24" fillId="0" borderId="2" xfId="0" applyNumberFormat="1" applyFont="1" applyBorder="1" applyAlignment="1">
      <alignment horizontal="center" vertical="center"/>
    </xf>
    <xf numFmtId="0" fontId="24" fillId="0" borderId="2" xfId="0" applyNumberFormat="1" applyFont="1" applyBorder="1" applyAlignment="1">
      <alignment horizontal="center" vertical="center" wrapText="1"/>
    </xf>
    <xf numFmtId="176" fontId="24" fillId="0" borderId="2" xfId="0" applyFont="1" applyBorder="1" applyAlignment="1">
      <alignment vertical="center" wrapText="1"/>
    </xf>
    <xf numFmtId="176" fontId="24" fillId="0" borderId="2" xfId="0" applyFont="1" applyFill="1" applyBorder="1" applyAlignment="1">
      <alignment horizontal="center" vertical="center"/>
    </xf>
    <xf numFmtId="176" fontId="24" fillId="0" borderId="25" xfId="0" applyFont="1" applyBorder="1" applyAlignment="1">
      <alignment horizontal="center" vertical="center" wrapText="1"/>
    </xf>
    <xf numFmtId="176" fontId="24" fillId="0" borderId="4" xfId="0" applyFont="1" applyBorder="1" applyAlignment="1">
      <alignment horizontal="center" vertical="center" wrapText="1"/>
    </xf>
    <xf numFmtId="176" fontId="24" fillId="0" borderId="4" xfId="0" applyFont="1" applyBorder="1" applyAlignment="1">
      <alignment vertical="center"/>
    </xf>
    <xf numFmtId="176" fontId="24" fillId="0" borderId="4" xfId="0" applyFont="1" applyFill="1" applyBorder="1" applyAlignment="1">
      <alignment horizontal="center" vertical="center" wrapText="1"/>
    </xf>
    <xf numFmtId="176" fontId="24" fillId="0" borderId="4" xfId="0" applyFont="1" applyFill="1" applyBorder="1" applyAlignment="1">
      <alignment vertical="center" wrapText="1"/>
    </xf>
    <xf numFmtId="176" fontId="26" fillId="0" borderId="1" xfId="0" applyFont="1" applyFill="1" applyBorder="1" applyAlignment="1">
      <alignment vertical="center" wrapText="1"/>
    </xf>
    <xf numFmtId="0" fontId="25" fillId="0" borderId="1" xfId="0" applyNumberFormat="1" applyFont="1" applyBorder="1" applyAlignment="1">
      <alignment horizontal="center" vertical="center"/>
    </xf>
    <xf numFmtId="0" fontId="24" fillId="0" borderId="11" xfId="0" applyNumberFormat="1" applyFont="1" applyFill="1" applyBorder="1" applyAlignment="1">
      <alignment horizontal="center" vertical="center"/>
    </xf>
    <xf numFmtId="0" fontId="24" fillId="0" borderId="12" xfId="0" applyNumberFormat="1" applyFont="1" applyFill="1" applyBorder="1" applyAlignment="1">
      <alignment horizontal="center" vertical="center"/>
    </xf>
    <xf numFmtId="176" fontId="24" fillId="0" borderId="4" xfId="0" applyFont="1" applyBorder="1" applyAlignment="1">
      <alignment horizontal="center" vertical="center"/>
    </xf>
    <xf numFmtId="9" fontId="24" fillId="0" borderId="4" xfId="0" applyNumberFormat="1" applyFont="1" applyBorder="1" applyAlignment="1">
      <alignment horizontal="center" vertical="center"/>
    </xf>
    <xf numFmtId="49" fontId="24" fillId="0" borderId="4" xfId="0" applyNumberFormat="1" applyFont="1" applyFill="1" applyBorder="1" applyAlignment="1">
      <alignment horizontal="center" vertical="center" wrapText="1"/>
    </xf>
    <xf numFmtId="176" fontId="24" fillId="0" borderId="4" xfId="0" applyFont="1" applyBorder="1" applyAlignment="1">
      <alignment vertical="center" wrapText="1"/>
    </xf>
    <xf numFmtId="0" fontId="24" fillId="0" borderId="0" xfId="0" applyNumberFormat="1" applyFont="1" applyAlignment="1">
      <alignment horizontal="center" vertical="center"/>
    </xf>
    <xf numFmtId="176" fontId="24" fillId="0" borderId="0" xfId="0" applyFont="1" applyAlignment="1">
      <alignment horizontal="center" vertical="center"/>
    </xf>
    <xf numFmtId="176" fontId="24" fillId="0" borderId="0" xfId="0" applyFont="1" applyAlignment="1">
      <alignment vertical="center"/>
    </xf>
    <xf numFmtId="0" fontId="24" fillId="0" borderId="0" xfId="0" applyNumberFormat="1" applyFont="1" applyAlignment="1">
      <alignment vertical="center"/>
    </xf>
    <xf numFmtId="176" fontId="0" fillId="0" borderId="0" xfId="0" applyAlignment="1">
      <alignment vertical="center"/>
    </xf>
    <xf numFmtId="0" fontId="18" fillId="0" borderId="1" xfId="0" applyNumberFormat="1" applyFont="1" applyFill="1" applyBorder="1" applyAlignment="1" quotePrefix="1">
      <alignment horizontal="center" vertical="center" wrapText="1"/>
    </xf>
    <xf numFmtId="0" fontId="5" fillId="0" borderId="2"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6.4.18-2026.4.24&#39033;&#30446;&#21608;&#25253;&#27719;&#2463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6.4.20-2026.4.24&#39033;&#30446;&#21608;&#25253;&#27719;&#24635;-&#20132;&#20184;-&#29289;&#19994;&#3245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6.4.20-2026.4.24&#39033;&#30446;&#21608;&#25253;&#27719;&#24635;-&#20132;&#20184;-AI&#22823;&#25968;&#25454;&#3245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26.4.20-2025.4.24&#39033;&#30446;&#21608;&#25253;&#27719;&#24635;-&#20132;&#20184;-JD&#3245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54"/>
  <sheetViews>
    <sheetView tabSelected="1" zoomScale="70" zoomScaleNormal="70" workbookViewId="0">
      <pane xSplit="5" ySplit="2" topLeftCell="F3" activePane="bottomRight" state="frozen"/>
      <selection/>
      <selection pane="topRight"/>
      <selection pane="bottomLeft"/>
      <selection pane="bottomRight" activeCell="I25" sqref="I25"/>
    </sheetView>
  </sheetViews>
  <sheetFormatPr defaultColWidth="9" defaultRowHeight="13.8"/>
  <cols>
    <col min="1" max="1" width="7.11111111111111" style="314" customWidth="1"/>
    <col min="2" max="2" width="15.4444444444444" customWidth="1"/>
    <col min="3" max="3" width="14.4444444444444" customWidth="1"/>
    <col min="4" max="4" width="21.8888888888889" style="314"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315" customWidth="1"/>
    <col min="11" max="11" width="11.3333333333333" style="314" customWidth="1"/>
    <col min="12" max="12" width="20.6296296296296" customWidth="1"/>
    <col min="13" max="13" width="19.7777777777778" style="314" customWidth="1"/>
    <col min="14" max="14" width="20.1574074074074" style="314" customWidth="1"/>
    <col min="15" max="15" width="21.2685185185185" style="316" customWidth="1"/>
    <col min="16" max="16" width="19.2037037037037" customWidth="1"/>
    <col min="17" max="17" width="16.3518518518519" customWidth="1"/>
    <col min="18" max="18" width="85.2314814814815" customWidth="1"/>
  </cols>
  <sheetData>
    <row r="1" ht="37.5" customHeight="1" spans="1:18">
      <c r="A1" s="317" t="s">
        <v>0</v>
      </c>
      <c r="B1" s="317"/>
      <c r="C1" s="317"/>
      <c r="D1" s="317"/>
      <c r="E1" s="317"/>
      <c r="F1" s="317"/>
      <c r="G1" s="317"/>
      <c r="H1" s="317"/>
      <c r="I1" s="317"/>
      <c r="J1" s="317"/>
      <c r="K1" s="317"/>
      <c r="L1" s="317"/>
      <c r="M1" s="317"/>
      <c r="N1" s="317"/>
      <c r="O1" s="317"/>
      <c r="P1" s="317"/>
      <c r="Q1" s="317"/>
      <c r="R1" s="317"/>
    </row>
    <row r="2" ht="30" customHeight="1" spans="1:18">
      <c r="A2" s="318" t="s">
        <v>1</v>
      </c>
      <c r="B2" s="319" t="s">
        <v>2</v>
      </c>
      <c r="C2" s="319" t="s">
        <v>3</v>
      </c>
      <c r="D2" s="318" t="s">
        <v>4</v>
      </c>
      <c r="E2" s="319" t="s">
        <v>5</v>
      </c>
      <c r="F2" s="319" t="s">
        <v>6</v>
      </c>
      <c r="G2" s="319" t="s">
        <v>7</v>
      </c>
      <c r="H2" s="319" t="s">
        <v>8</v>
      </c>
      <c r="I2" s="319" t="s">
        <v>9</v>
      </c>
      <c r="J2" s="320" t="s">
        <v>10</v>
      </c>
      <c r="K2" s="321" t="s">
        <v>11</v>
      </c>
      <c r="L2" s="319" t="s">
        <v>12</v>
      </c>
      <c r="M2" s="318" t="s">
        <v>13</v>
      </c>
      <c r="N2" s="318" t="s">
        <v>14</v>
      </c>
      <c r="O2" s="322" t="s">
        <v>15</v>
      </c>
      <c r="P2" s="323" t="s">
        <v>16</v>
      </c>
      <c r="Q2" s="319" t="s">
        <v>17</v>
      </c>
      <c r="R2" s="319" t="s">
        <v>18</v>
      </c>
    </row>
    <row r="3" ht="35" customHeight="1" spans="1:18">
      <c r="A3" s="324">
        <v>1</v>
      </c>
      <c r="B3" s="325" t="s">
        <v>19</v>
      </c>
      <c r="C3" s="326" t="s">
        <v>20</v>
      </c>
      <c r="D3" s="324">
        <v>22220901</v>
      </c>
      <c r="E3" s="327" t="s">
        <v>21</v>
      </c>
      <c r="F3" s="328" t="s">
        <v>22</v>
      </c>
      <c r="G3" s="328" t="s">
        <v>23</v>
      </c>
      <c r="H3" s="328" t="s">
        <v>24</v>
      </c>
      <c r="I3" s="328" t="s">
        <v>25</v>
      </c>
      <c r="J3" s="329" t="s">
        <v>26</v>
      </c>
      <c r="K3" s="330" t="s">
        <v>27</v>
      </c>
      <c r="L3" s="328"/>
      <c r="M3" s="331">
        <v>10.5</v>
      </c>
      <c r="N3" s="331">
        <v>9.5</v>
      </c>
      <c r="O3" s="332" t="str">
        <f>N3-M3&amp;"("&amp;ROUND(((N3-M3)/M3*100),0)&amp;"%)"</f>
        <v>-1(-10%)</v>
      </c>
      <c r="P3" s="333"/>
      <c r="Q3" s="327"/>
      <c r="R3" s="328"/>
    </row>
    <row r="4" ht="64" customHeight="1" spans="1:18">
      <c r="A4" s="324">
        <v>2</v>
      </c>
      <c r="B4" s="334"/>
      <c r="C4" s="328"/>
      <c r="D4" s="324">
        <v>22250226</v>
      </c>
      <c r="E4" s="327" t="s">
        <v>28</v>
      </c>
      <c r="F4" s="328" t="s">
        <v>22</v>
      </c>
      <c r="G4" s="328" t="s">
        <v>29</v>
      </c>
      <c r="H4" s="328" t="s">
        <v>30</v>
      </c>
      <c r="I4" s="328" t="s">
        <v>25</v>
      </c>
      <c r="J4" s="335">
        <v>0.93</v>
      </c>
      <c r="K4" s="330" t="s">
        <v>31</v>
      </c>
      <c r="L4" s="328"/>
      <c r="M4" s="336">
        <v>22.13</v>
      </c>
      <c r="N4" s="331">
        <v>19.06</v>
      </c>
      <c r="O4" s="332" t="str">
        <f t="shared" ref="O4:O6" si="0">ROUND(N4-M4,2)&amp;"("&amp;ROUND(((N4-M4)/M4*100),0)&amp;"%)"</f>
        <v>-3.07(-14%)</v>
      </c>
      <c r="P4" s="333"/>
      <c r="Q4" s="327"/>
      <c r="R4" s="337" t="s">
        <v>32</v>
      </c>
    </row>
    <row r="5" ht="32" customHeight="1" spans="1:18">
      <c r="A5" s="324">
        <v>3</v>
      </c>
      <c r="B5" s="334"/>
      <c r="C5" s="328"/>
      <c r="D5" s="324">
        <v>22220202</v>
      </c>
      <c r="E5" s="327" t="s">
        <v>33</v>
      </c>
      <c r="F5" s="328" t="s">
        <v>34</v>
      </c>
      <c r="G5" s="326" t="s">
        <v>35</v>
      </c>
      <c r="H5" s="328" t="s">
        <v>24</v>
      </c>
      <c r="I5" s="328" t="s">
        <v>25</v>
      </c>
      <c r="J5" s="329" t="s">
        <v>26</v>
      </c>
      <c r="K5" s="330" t="s">
        <v>31</v>
      </c>
      <c r="L5" s="333"/>
      <c r="M5" s="336">
        <v>0</v>
      </c>
      <c r="N5" s="331">
        <v>0</v>
      </c>
      <c r="O5" s="332">
        <v>0</v>
      </c>
      <c r="P5" s="326"/>
      <c r="Q5" s="327"/>
      <c r="R5" s="337" t="s">
        <v>36</v>
      </c>
    </row>
    <row r="6" ht="23" customHeight="1" spans="1:18">
      <c r="A6" s="324">
        <v>4</v>
      </c>
      <c r="B6" s="334"/>
      <c r="C6" s="328"/>
      <c r="D6" s="324">
        <v>22220701</v>
      </c>
      <c r="E6" s="327" t="s">
        <v>37</v>
      </c>
      <c r="F6" s="328" t="s">
        <v>34</v>
      </c>
      <c r="G6" s="326" t="s">
        <v>35</v>
      </c>
      <c r="H6" s="328" t="s">
        <v>24</v>
      </c>
      <c r="I6" s="328" t="s">
        <v>25</v>
      </c>
      <c r="J6" s="329" t="s">
        <v>26</v>
      </c>
      <c r="K6" s="330" t="s">
        <v>31</v>
      </c>
      <c r="L6" s="333"/>
      <c r="M6" s="336">
        <v>0</v>
      </c>
      <c r="N6" s="331">
        <v>0</v>
      </c>
      <c r="O6" s="332">
        <v>0</v>
      </c>
      <c r="P6" s="326"/>
      <c r="Q6" s="327"/>
      <c r="R6" s="337" t="s">
        <v>38</v>
      </c>
    </row>
    <row r="7" ht="23" customHeight="1" spans="1:18">
      <c r="A7" s="324">
        <v>5</v>
      </c>
      <c r="B7" s="334"/>
      <c r="C7" s="326" t="s">
        <v>39</v>
      </c>
      <c r="D7" s="324">
        <v>22221201</v>
      </c>
      <c r="E7" s="327" t="s">
        <v>40</v>
      </c>
      <c r="F7" s="328" t="s">
        <v>41</v>
      </c>
      <c r="G7" s="326" t="s">
        <v>23</v>
      </c>
      <c r="H7" s="328" t="s">
        <v>24</v>
      </c>
      <c r="I7" s="328" t="s">
        <v>25</v>
      </c>
      <c r="J7" s="329">
        <v>0.99</v>
      </c>
      <c r="K7" s="330" t="s">
        <v>42</v>
      </c>
      <c r="L7" s="328"/>
      <c r="M7" s="336">
        <v>0.5</v>
      </c>
      <c r="N7" s="331">
        <v>4</v>
      </c>
      <c r="O7" s="332" t="str">
        <f t="shared" ref="O7:O15" si="1">N7-M7&amp;"("&amp;ROUND(((N7-M7)/M7*100),0)&amp;"%)"</f>
        <v>3.5(700%)</v>
      </c>
      <c r="P7" s="333"/>
      <c r="Q7" s="327"/>
      <c r="R7" s="338"/>
    </row>
    <row r="8" ht="23" customHeight="1" spans="1:18">
      <c r="A8" s="324">
        <v>6</v>
      </c>
      <c r="B8" s="334"/>
      <c r="C8" s="328"/>
      <c r="D8" s="324">
        <v>22250314</v>
      </c>
      <c r="E8" s="327" t="s">
        <v>43</v>
      </c>
      <c r="F8" s="328" t="s">
        <v>44</v>
      </c>
      <c r="G8" s="328" t="s">
        <v>29</v>
      </c>
      <c r="H8" s="328" t="s">
        <v>30</v>
      </c>
      <c r="I8" s="339" t="s">
        <v>45</v>
      </c>
      <c r="J8" s="340">
        <v>0.95</v>
      </c>
      <c r="K8" s="330" t="s">
        <v>46</v>
      </c>
      <c r="L8" s="328"/>
      <c r="M8" s="336">
        <v>7</v>
      </c>
      <c r="N8" s="331">
        <v>7</v>
      </c>
      <c r="O8" s="332" t="str">
        <f t="shared" si="1"/>
        <v>0(0%)</v>
      </c>
      <c r="P8" s="341" t="s">
        <v>47</v>
      </c>
      <c r="Q8" s="327"/>
      <c r="R8" s="338" t="s">
        <v>48</v>
      </c>
    </row>
    <row r="9" ht="23" customHeight="1" spans="1:18">
      <c r="A9" s="324">
        <v>7</v>
      </c>
      <c r="B9" s="334"/>
      <c r="C9" s="328"/>
      <c r="D9" s="331" t="s">
        <v>49</v>
      </c>
      <c r="E9" s="342" t="s">
        <v>50</v>
      </c>
      <c r="F9" s="338" t="s">
        <v>51</v>
      </c>
      <c r="G9" s="338" t="s">
        <v>29</v>
      </c>
      <c r="H9" s="338" t="s">
        <v>52</v>
      </c>
      <c r="I9" s="338" t="s">
        <v>25</v>
      </c>
      <c r="J9" s="329" t="s">
        <v>26</v>
      </c>
      <c r="K9" s="332" t="s">
        <v>46</v>
      </c>
      <c r="L9" s="338"/>
      <c r="M9" s="336">
        <v>10</v>
      </c>
      <c r="N9" s="336">
        <v>10</v>
      </c>
      <c r="O9" s="332" t="str">
        <f t="shared" si="1"/>
        <v>0(0%)</v>
      </c>
      <c r="P9" s="333"/>
      <c r="Q9" s="327"/>
      <c r="R9" s="338" t="s">
        <v>53</v>
      </c>
    </row>
    <row r="10" ht="23" customHeight="1" spans="1:18">
      <c r="A10" s="324">
        <v>8</v>
      </c>
      <c r="B10" s="334"/>
      <c r="C10" s="328"/>
      <c r="D10" s="331">
        <v>23260410</v>
      </c>
      <c r="E10" s="342" t="s">
        <v>54</v>
      </c>
      <c r="F10" s="338" t="s">
        <v>55</v>
      </c>
      <c r="G10" s="338" t="s">
        <v>29</v>
      </c>
      <c r="H10" s="328" t="s">
        <v>56</v>
      </c>
      <c r="I10" s="338" t="s">
        <v>25</v>
      </c>
      <c r="J10" s="340"/>
      <c r="K10" s="332" t="s">
        <v>42</v>
      </c>
      <c r="L10" s="338"/>
      <c r="M10" s="336">
        <v>10.5</v>
      </c>
      <c r="N10" s="336">
        <v>13</v>
      </c>
      <c r="O10" s="331" t="str">
        <f t="shared" si="1"/>
        <v>2.5(24%)</v>
      </c>
      <c r="P10" s="337"/>
      <c r="Q10" s="342"/>
      <c r="R10" s="337" t="s">
        <v>57</v>
      </c>
    </row>
    <row r="11" ht="23" customHeight="1" spans="1:18">
      <c r="A11" s="324">
        <v>9</v>
      </c>
      <c r="B11" s="334"/>
      <c r="C11" s="325" t="s">
        <v>58</v>
      </c>
      <c r="D11" s="331">
        <v>22240822</v>
      </c>
      <c r="E11" s="342" t="s">
        <v>59</v>
      </c>
      <c r="F11" s="338" t="s">
        <v>60</v>
      </c>
      <c r="G11" s="338" t="s">
        <v>29</v>
      </c>
      <c r="H11" s="338" t="s">
        <v>52</v>
      </c>
      <c r="I11" s="338" t="s">
        <v>25</v>
      </c>
      <c r="J11" s="340">
        <v>1</v>
      </c>
      <c r="K11" s="332" t="s">
        <v>31</v>
      </c>
      <c r="L11" s="338"/>
      <c r="M11" s="336">
        <v>18.7</v>
      </c>
      <c r="N11" s="336">
        <v>16.5</v>
      </c>
      <c r="O11" s="332" t="str">
        <f t="shared" si="1"/>
        <v>-2.2(-12%)</v>
      </c>
      <c r="P11" s="337"/>
      <c r="Q11" s="342"/>
      <c r="R11" s="338" t="s">
        <v>61</v>
      </c>
    </row>
    <row r="12" ht="23" customHeight="1" spans="1:18">
      <c r="A12" s="324">
        <v>10</v>
      </c>
      <c r="B12" s="334"/>
      <c r="C12" s="343"/>
      <c r="D12" s="331">
        <v>23251211</v>
      </c>
      <c r="E12" s="342" t="s">
        <v>62</v>
      </c>
      <c r="F12" s="338" t="s">
        <v>63</v>
      </c>
      <c r="G12" s="338" t="s">
        <v>29</v>
      </c>
      <c r="H12" s="338" t="s">
        <v>56</v>
      </c>
      <c r="I12" s="338" t="s">
        <v>25</v>
      </c>
      <c r="J12" s="340">
        <v>0.86</v>
      </c>
      <c r="K12" s="332" t="s">
        <v>64</v>
      </c>
      <c r="L12" s="338"/>
      <c r="M12" s="336">
        <v>6</v>
      </c>
      <c r="N12" s="336">
        <v>7</v>
      </c>
      <c r="O12" s="344" t="str">
        <f t="shared" si="1"/>
        <v>1(17%)</v>
      </c>
      <c r="P12" s="337"/>
      <c r="Q12" s="342"/>
      <c r="R12" s="338"/>
    </row>
    <row r="13" ht="23" customHeight="1" spans="1:18">
      <c r="A13" s="324">
        <v>11</v>
      </c>
      <c r="B13" s="334"/>
      <c r="C13" s="343"/>
      <c r="D13" s="324">
        <v>121018</v>
      </c>
      <c r="E13" s="327" t="s">
        <v>65</v>
      </c>
      <c r="F13" s="328" t="s">
        <v>66</v>
      </c>
      <c r="G13" s="328" t="s">
        <v>67</v>
      </c>
      <c r="H13" s="328" t="s">
        <v>68</v>
      </c>
      <c r="I13" s="328" t="s">
        <v>25</v>
      </c>
      <c r="J13" s="329" t="s">
        <v>26</v>
      </c>
      <c r="K13" s="330"/>
      <c r="L13" s="328"/>
      <c r="M13" s="336">
        <v>26</v>
      </c>
      <c r="N13" s="336">
        <v>23.7</v>
      </c>
      <c r="O13" s="344" t="str">
        <f t="shared" si="1"/>
        <v>-2.3(-9%)</v>
      </c>
      <c r="P13" s="326"/>
      <c r="Q13" s="327"/>
      <c r="R13" s="338"/>
    </row>
    <row r="14" ht="23" customHeight="1" spans="1:18">
      <c r="A14" s="345">
        <v>12</v>
      </c>
      <c r="B14" s="334"/>
      <c r="C14" s="326" t="s">
        <v>69</v>
      </c>
      <c r="D14" s="324">
        <v>222201001</v>
      </c>
      <c r="E14" s="327" t="s">
        <v>70</v>
      </c>
      <c r="F14" s="328" t="s">
        <v>71</v>
      </c>
      <c r="G14" s="326" t="s">
        <v>35</v>
      </c>
      <c r="H14" s="328" t="s">
        <v>24</v>
      </c>
      <c r="I14" s="328" t="s">
        <v>25</v>
      </c>
      <c r="J14" s="329">
        <v>0.99</v>
      </c>
      <c r="K14" s="330" t="s">
        <v>31</v>
      </c>
      <c r="L14" s="333"/>
      <c r="M14" s="336">
        <v>0</v>
      </c>
      <c r="N14" s="336">
        <v>0</v>
      </c>
      <c r="O14" s="344" t="s">
        <v>72</v>
      </c>
      <c r="P14" s="326"/>
      <c r="Q14" s="327"/>
      <c r="R14" s="338" t="s">
        <v>73</v>
      </c>
    </row>
    <row r="15" ht="41" customHeight="1" spans="1:18">
      <c r="A15" s="345">
        <v>13</v>
      </c>
      <c r="B15" s="334"/>
      <c r="C15" s="328"/>
      <c r="D15" s="324">
        <v>22220905</v>
      </c>
      <c r="E15" s="327" t="s">
        <v>74</v>
      </c>
      <c r="F15" s="328" t="s">
        <v>71</v>
      </c>
      <c r="G15" s="326" t="s">
        <v>35</v>
      </c>
      <c r="H15" s="328" t="s">
        <v>24</v>
      </c>
      <c r="I15" s="328" t="s">
        <v>25</v>
      </c>
      <c r="J15" s="329">
        <v>0.99</v>
      </c>
      <c r="K15" s="330" t="s">
        <v>27</v>
      </c>
      <c r="L15" s="333"/>
      <c r="M15" s="336">
        <v>8.5</v>
      </c>
      <c r="N15" s="336">
        <v>10</v>
      </c>
      <c r="O15" s="344" t="str">
        <f t="shared" si="1"/>
        <v>1.5(18%)</v>
      </c>
      <c r="P15" s="333"/>
      <c r="Q15" s="327"/>
      <c r="R15" s="338" t="s">
        <v>75</v>
      </c>
    </row>
    <row r="16" ht="23" customHeight="1" spans="1:18">
      <c r="A16" s="345">
        <v>14</v>
      </c>
      <c r="B16" s="334"/>
      <c r="C16" s="328"/>
      <c r="D16" s="324">
        <v>21250326</v>
      </c>
      <c r="E16" s="327" t="s">
        <v>76</v>
      </c>
      <c r="F16" s="328" t="s">
        <v>71</v>
      </c>
      <c r="G16" s="326" t="s">
        <v>29</v>
      </c>
      <c r="H16" s="328" t="s">
        <v>77</v>
      </c>
      <c r="I16" s="346" t="s">
        <v>78</v>
      </c>
      <c r="J16" s="340">
        <v>0.85</v>
      </c>
      <c r="K16" s="330" t="s">
        <v>79</v>
      </c>
      <c r="L16" s="326"/>
      <c r="M16" s="336">
        <v>3</v>
      </c>
      <c r="N16" s="336">
        <v>3.5</v>
      </c>
      <c r="O16" s="332" t="str">
        <f t="shared" ref="O15:O23" si="2">N16-M16&amp;"("&amp;ROUND(((N16-M16)/M16*100),0)&amp;"%)"</f>
        <v>0.5(17%)</v>
      </c>
      <c r="P16" s="333"/>
      <c r="Q16" s="327"/>
      <c r="R16" s="339" t="s">
        <v>80</v>
      </c>
    </row>
    <row r="17" ht="23" customHeight="1" spans="1:18">
      <c r="A17" s="345">
        <v>15</v>
      </c>
      <c r="B17" s="334"/>
      <c r="C17" s="328"/>
      <c r="D17" s="324" t="s">
        <v>81</v>
      </c>
      <c r="E17" s="327" t="s">
        <v>82</v>
      </c>
      <c r="F17" s="328" t="s">
        <v>83</v>
      </c>
      <c r="G17" s="326" t="s">
        <v>29</v>
      </c>
      <c r="H17" s="328" t="s">
        <v>84</v>
      </c>
      <c r="I17" s="328" t="s">
        <v>25</v>
      </c>
      <c r="J17" s="340">
        <v>0.99</v>
      </c>
      <c r="K17" s="330" t="s">
        <v>79</v>
      </c>
      <c r="L17" s="326"/>
      <c r="M17" s="336">
        <v>0</v>
      </c>
      <c r="N17" s="336">
        <v>0</v>
      </c>
      <c r="O17" s="332">
        <v>0</v>
      </c>
      <c r="P17" s="333"/>
      <c r="Q17" s="327"/>
      <c r="R17" s="328" t="s">
        <v>85</v>
      </c>
    </row>
    <row r="18" ht="23" customHeight="1" spans="1:18">
      <c r="A18" s="324">
        <v>16</v>
      </c>
      <c r="B18" s="334"/>
      <c r="C18" s="326" t="s">
        <v>86</v>
      </c>
      <c r="D18" s="324" t="s">
        <v>87</v>
      </c>
      <c r="E18" s="327" t="s">
        <v>88</v>
      </c>
      <c r="F18" s="328" t="s">
        <v>89</v>
      </c>
      <c r="G18" s="328" t="s">
        <v>29</v>
      </c>
      <c r="H18" s="328" t="s">
        <v>30</v>
      </c>
      <c r="I18" s="328" t="s">
        <v>25</v>
      </c>
      <c r="J18" s="329">
        <v>0.95</v>
      </c>
      <c r="K18" s="330"/>
      <c r="L18" s="328"/>
      <c r="M18" s="336">
        <v>7</v>
      </c>
      <c r="N18" s="336">
        <v>7</v>
      </c>
      <c r="O18" s="344" t="str">
        <f t="shared" si="2"/>
        <v>0(0%)</v>
      </c>
      <c r="P18" s="333"/>
      <c r="Q18" s="327"/>
      <c r="R18" s="326" t="s">
        <v>90</v>
      </c>
    </row>
    <row r="19" ht="23" customHeight="1" spans="1:18">
      <c r="A19" s="324">
        <v>17</v>
      </c>
      <c r="B19" s="334"/>
      <c r="C19" s="328"/>
      <c r="D19" s="331"/>
      <c r="E19" s="327" t="s">
        <v>91</v>
      </c>
      <c r="F19" s="328" t="s">
        <v>89</v>
      </c>
      <c r="G19" s="328" t="s">
        <v>29</v>
      </c>
      <c r="H19" s="338" t="s">
        <v>52</v>
      </c>
      <c r="I19" s="328" t="s">
        <v>25</v>
      </c>
      <c r="J19" s="329" t="s">
        <v>26</v>
      </c>
      <c r="K19" s="330"/>
      <c r="L19" s="328"/>
      <c r="M19" s="336">
        <v>10.25</v>
      </c>
      <c r="N19" s="336">
        <v>6.5</v>
      </c>
      <c r="O19" s="344" t="str">
        <f t="shared" si="2"/>
        <v>-3.75(-37%)</v>
      </c>
      <c r="P19" s="333"/>
      <c r="Q19" s="327"/>
      <c r="R19" s="337"/>
    </row>
    <row r="20" ht="23" customHeight="1" spans="1:18">
      <c r="A20" s="324">
        <v>18</v>
      </c>
      <c r="B20" s="334"/>
      <c r="C20" s="326" t="s">
        <v>92</v>
      </c>
      <c r="D20" s="324" t="s">
        <v>93</v>
      </c>
      <c r="E20" s="327" t="s">
        <v>94</v>
      </c>
      <c r="F20" s="328" t="s">
        <v>95</v>
      </c>
      <c r="G20" s="328" t="s">
        <v>29</v>
      </c>
      <c r="H20" s="338" t="s">
        <v>52</v>
      </c>
      <c r="I20" s="328" t="s">
        <v>25</v>
      </c>
      <c r="J20" s="329" t="s">
        <v>26</v>
      </c>
      <c r="K20" s="330"/>
      <c r="L20" s="328"/>
      <c r="M20" s="336">
        <v>22</v>
      </c>
      <c r="N20" s="336">
        <v>22</v>
      </c>
      <c r="O20" s="344" t="str">
        <f t="shared" si="2"/>
        <v>0(0%)</v>
      </c>
      <c r="P20" s="337"/>
      <c r="Q20" s="342"/>
      <c r="R20" s="338"/>
    </row>
    <row r="21" ht="23" customHeight="1" spans="1:18">
      <c r="A21" s="324">
        <v>19</v>
      </c>
      <c r="B21" s="334"/>
      <c r="C21" s="328"/>
      <c r="D21" s="324"/>
      <c r="E21" s="327" t="s">
        <v>96</v>
      </c>
      <c r="F21" s="328" t="s">
        <v>44</v>
      </c>
      <c r="G21" s="328" t="s">
        <v>29</v>
      </c>
      <c r="H21" s="338" t="s">
        <v>52</v>
      </c>
      <c r="I21" s="328" t="s">
        <v>25</v>
      </c>
      <c r="J21" s="329" t="s">
        <v>26</v>
      </c>
      <c r="K21" s="330"/>
      <c r="L21" s="328"/>
      <c r="M21" s="336">
        <v>10.75</v>
      </c>
      <c r="N21" s="331">
        <v>9</v>
      </c>
      <c r="O21" s="332" t="str">
        <f t="shared" si="2"/>
        <v>-1.75(-16%)</v>
      </c>
      <c r="P21" s="337"/>
      <c r="Q21" s="342"/>
      <c r="R21" s="338" t="s">
        <v>97</v>
      </c>
    </row>
    <row r="22" ht="23" customHeight="1" spans="1:18">
      <c r="A22" s="324">
        <v>20</v>
      </c>
      <c r="B22" s="334"/>
      <c r="C22" s="328"/>
      <c r="D22" s="324"/>
      <c r="E22" s="327" t="s">
        <v>98</v>
      </c>
      <c r="F22" s="328" t="s">
        <v>55</v>
      </c>
      <c r="G22" s="328" t="s">
        <v>29</v>
      </c>
      <c r="H22" s="338" t="s">
        <v>52</v>
      </c>
      <c r="I22" s="328" t="s">
        <v>25</v>
      </c>
      <c r="J22" s="329" t="s">
        <v>26</v>
      </c>
      <c r="K22" s="330"/>
      <c r="L22" s="326"/>
      <c r="M22" s="336">
        <v>15</v>
      </c>
      <c r="N22" s="331">
        <v>13</v>
      </c>
      <c r="O22" s="332" t="str">
        <f t="shared" si="2"/>
        <v>-2(-13%)</v>
      </c>
      <c r="P22" s="333"/>
      <c r="Q22" s="327"/>
      <c r="R22" s="338"/>
    </row>
    <row r="23" ht="23" customHeight="1" spans="1:18">
      <c r="A23" s="324">
        <v>21</v>
      </c>
      <c r="B23" s="334"/>
      <c r="C23" s="328"/>
      <c r="D23" s="324"/>
      <c r="E23" s="327" t="s">
        <v>99</v>
      </c>
      <c r="F23" s="328" t="s">
        <v>63</v>
      </c>
      <c r="G23" s="328" t="s">
        <v>29</v>
      </c>
      <c r="H23" s="338" t="s">
        <v>52</v>
      </c>
      <c r="I23" s="328" t="s">
        <v>25</v>
      </c>
      <c r="J23" s="329" t="s">
        <v>26</v>
      </c>
      <c r="K23" s="330"/>
      <c r="L23" s="326"/>
      <c r="M23" s="336">
        <v>19</v>
      </c>
      <c r="N23" s="331">
        <v>23</v>
      </c>
      <c r="O23" s="332" t="str">
        <f t="shared" si="2"/>
        <v>4(21%)</v>
      </c>
      <c r="P23" s="333"/>
      <c r="Q23" s="327"/>
      <c r="R23" s="338"/>
    </row>
    <row r="24" ht="38.25" customHeight="1" spans="1:18">
      <c r="A24" s="347"/>
      <c r="B24" s="348"/>
      <c r="C24" s="349"/>
      <c r="D24" s="349"/>
      <c r="E24" s="349"/>
      <c r="F24" s="349"/>
      <c r="G24" s="349"/>
      <c r="H24" s="350"/>
      <c r="I24" s="350"/>
      <c r="J24" s="351"/>
      <c r="K24" s="351"/>
      <c r="L24" s="350" t="s">
        <v>100</v>
      </c>
      <c r="M24" s="352">
        <f>SUM(M3:M23)</f>
        <v>206.83</v>
      </c>
      <c r="N24" s="351">
        <f>SUM(N3:N23)</f>
        <v>203.76</v>
      </c>
      <c r="O24" s="351"/>
      <c r="P24" s="353" t="s">
        <v>101</v>
      </c>
      <c r="Q24" s="354">
        <f>N24/34/5</f>
        <v>1.19858823529412</v>
      </c>
      <c r="R24" s="355"/>
    </row>
    <row r="25" ht="29" customHeight="1" spans="1:18">
      <c r="A25" s="356">
        <v>22</v>
      </c>
      <c r="B25" s="343" t="s">
        <v>102</v>
      </c>
      <c r="C25" s="343" t="s">
        <v>103</v>
      </c>
      <c r="D25" s="357" t="s">
        <v>104</v>
      </c>
      <c r="E25" s="358" t="s">
        <v>105</v>
      </c>
      <c r="F25" s="359" t="s">
        <v>106</v>
      </c>
      <c r="G25" s="359" t="s">
        <v>29</v>
      </c>
      <c r="H25" s="359" t="s">
        <v>107</v>
      </c>
      <c r="I25" s="359" t="s">
        <v>25</v>
      </c>
      <c r="J25" s="360">
        <v>0.5</v>
      </c>
      <c r="K25" s="361"/>
      <c r="L25" s="359"/>
      <c r="M25" s="362">
        <v>0</v>
      </c>
      <c r="N25" s="357"/>
      <c r="O25" s="332" t="e">
        <f t="shared" ref="O25:O28" si="3">N25-M25&amp;"("&amp;ROUND(((N25-M25)/M25*100),0)&amp;"%)"</f>
        <v>#DIV/0!</v>
      </c>
      <c r="P25" s="363"/>
      <c r="Q25" s="358"/>
      <c r="R25" s="359"/>
    </row>
    <row r="26" ht="29" customHeight="1" spans="1:18">
      <c r="A26" s="356"/>
      <c r="B26" s="343"/>
      <c r="C26" s="343"/>
      <c r="D26" s="357"/>
      <c r="E26" s="358" t="s">
        <v>108</v>
      </c>
      <c r="F26" s="359" t="s">
        <v>109</v>
      </c>
      <c r="G26" s="359" t="s">
        <v>29</v>
      </c>
      <c r="H26" s="328" t="s">
        <v>77</v>
      </c>
      <c r="I26" s="359" t="s">
        <v>25</v>
      </c>
      <c r="J26" s="360" t="s">
        <v>23</v>
      </c>
      <c r="K26" s="361"/>
      <c r="L26" s="359"/>
      <c r="M26" s="336">
        <v>1.2</v>
      </c>
      <c r="N26" s="331">
        <v>1.5</v>
      </c>
      <c r="O26" s="332" t="str">
        <f t="shared" si="3"/>
        <v>0.3(25%)</v>
      </c>
      <c r="P26" s="363"/>
      <c r="Q26" s="358"/>
      <c r="R26" s="359" t="s">
        <v>110</v>
      </c>
    </row>
    <row r="27" ht="25" customHeight="1" spans="1:18">
      <c r="A27" s="324">
        <v>23</v>
      </c>
      <c r="B27" s="343"/>
      <c r="C27" s="343"/>
      <c r="D27" s="324">
        <v>21260422</v>
      </c>
      <c r="E27" s="327" t="s">
        <v>111</v>
      </c>
      <c r="F27" s="328" t="s">
        <v>112</v>
      </c>
      <c r="G27" s="359" t="s">
        <v>29</v>
      </c>
      <c r="H27" s="328" t="s">
        <v>77</v>
      </c>
      <c r="I27" s="328" t="s">
        <v>25</v>
      </c>
      <c r="J27" s="329">
        <v>0.3</v>
      </c>
      <c r="K27" s="330"/>
      <c r="L27" s="326"/>
      <c r="M27" s="364">
        <v>25</v>
      </c>
      <c r="N27" s="365">
        <v>26</v>
      </c>
      <c r="O27" s="332" t="str">
        <f t="shared" si="3"/>
        <v>1(4%)</v>
      </c>
      <c r="P27" s="333"/>
      <c r="Q27" s="327"/>
      <c r="R27" s="338"/>
    </row>
    <row r="28" ht="25" customHeight="1" spans="1:18">
      <c r="A28" s="366"/>
      <c r="B28" s="343"/>
      <c r="C28" s="343"/>
      <c r="D28" s="366">
        <v>21260423</v>
      </c>
      <c r="E28" s="367" t="s">
        <v>113</v>
      </c>
      <c r="F28" s="328" t="s">
        <v>112</v>
      </c>
      <c r="G28" s="359" t="s">
        <v>29</v>
      </c>
      <c r="H28" s="368" t="s">
        <v>77</v>
      </c>
      <c r="I28" s="368" t="s">
        <v>25</v>
      </c>
      <c r="J28" s="369">
        <v>0.2</v>
      </c>
      <c r="K28" s="370"/>
      <c r="L28" s="325"/>
      <c r="M28" s="364">
        <v>5.13</v>
      </c>
      <c r="N28" s="365">
        <v>4.5</v>
      </c>
      <c r="O28" s="332" t="str">
        <f t="shared" si="3"/>
        <v>-0.63(-12%)</v>
      </c>
      <c r="P28" s="371"/>
      <c r="Q28" s="367"/>
      <c r="R28" s="372"/>
    </row>
    <row r="29" ht="25" customHeight="1" spans="1:18">
      <c r="A29" s="366"/>
      <c r="B29" s="343"/>
      <c r="C29" s="343"/>
      <c r="D29" s="324">
        <v>22220901</v>
      </c>
      <c r="E29" s="327" t="s">
        <v>114</v>
      </c>
      <c r="F29" s="328" t="s">
        <v>22</v>
      </c>
      <c r="G29" s="328" t="s">
        <v>23</v>
      </c>
      <c r="H29" s="328" t="s">
        <v>24</v>
      </c>
      <c r="I29" s="328" t="s">
        <v>25</v>
      </c>
      <c r="J29" s="369"/>
      <c r="K29" s="370"/>
      <c r="L29" s="325"/>
      <c r="M29" s="364">
        <v>6.5</v>
      </c>
      <c r="N29" s="365">
        <v>11.5</v>
      </c>
      <c r="O29" s="332" t="str">
        <f>N29-M29&amp;"("&amp;ROUND(((N29-M29)/M29*100),0)&amp;"%)"</f>
        <v>5(77%)</v>
      </c>
      <c r="P29" s="371"/>
      <c r="Q29" s="367"/>
      <c r="R29" s="372"/>
    </row>
    <row r="30" ht="25" customHeight="1" spans="1:18">
      <c r="A30" s="366"/>
      <c r="B30" s="343"/>
      <c r="C30" s="343"/>
      <c r="D30" s="366">
        <v>22220905</v>
      </c>
      <c r="E30" s="371" t="s">
        <v>115</v>
      </c>
      <c r="F30" s="368" t="s">
        <v>71</v>
      </c>
      <c r="G30" s="328" t="s">
        <v>23</v>
      </c>
      <c r="H30" s="368" t="s">
        <v>77</v>
      </c>
      <c r="I30" s="368" t="s">
        <v>25</v>
      </c>
      <c r="J30" s="369"/>
      <c r="K30" s="370"/>
      <c r="L30" s="325"/>
      <c r="M30" s="364">
        <v>2.5</v>
      </c>
      <c r="N30" s="365">
        <v>3.75</v>
      </c>
      <c r="O30" s="332" t="str">
        <f>N30-M30&amp;"("&amp;ROUND(((N30-M30)/M30*100),0)&amp;"%)"</f>
        <v>1.25(50%)</v>
      </c>
      <c r="P30" s="371"/>
      <c r="Q30" s="367"/>
      <c r="R30" s="372"/>
    </row>
    <row r="31" ht="41" customHeight="1" spans="1:18">
      <c r="A31" s="347"/>
      <c r="B31" s="373"/>
      <c r="C31" s="349"/>
      <c r="D31" s="349"/>
      <c r="E31" s="349"/>
      <c r="F31" s="349"/>
      <c r="G31" s="349"/>
      <c r="H31" s="350"/>
      <c r="I31" s="350"/>
      <c r="J31" s="351"/>
      <c r="K31" s="351"/>
      <c r="L31" s="350" t="s">
        <v>100</v>
      </c>
      <c r="M31" s="352">
        <f>SUM(M25:M30)</f>
        <v>40.33</v>
      </c>
      <c r="N31" s="351">
        <f>SUM(N25:N30)</f>
        <v>47.25</v>
      </c>
      <c r="O31" s="351"/>
      <c r="P31" s="353" t="s">
        <v>101</v>
      </c>
      <c r="Q31" s="354">
        <f>N31/10/5</f>
        <v>0.945</v>
      </c>
      <c r="R31" s="355"/>
    </row>
    <row r="32" ht="23" customHeight="1" spans="1:18">
      <c r="A32" s="356">
        <v>24</v>
      </c>
      <c r="B32" s="343" t="s">
        <v>116</v>
      </c>
      <c r="C32" s="374" t="s">
        <v>103</v>
      </c>
      <c r="D32" s="357" t="s">
        <v>117</v>
      </c>
      <c r="E32" s="375" t="s">
        <v>118</v>
      </c>
      <c r="F32" s="359" t="s">
        <v>119</v>
      </c>
      <c r="G32" s="376" t="s">
        <v>29</v>
      </c>
      <c r="H32" s="359" t="s">
        <v>77</v>
      </c>
      <c r="I32" s="359" t="s">
        <v>25</v>
      </c>
      <c r="J32" s="360">
        <v>0.95</v>
      </c>
      <c r="K32" s="361" t="s">
        <v>31</v>
      </c>
      <c r="L32" s="359"/>
      <c r="M32" s="362">
        <v>13.75</v>
      </c>
      <c r="N32" s="357">
        <v>9.5</v>
      </c>
      <c r="O32" s="361" t="str">
        <f>ROUND(N32-M32,2)&amp;"("&amp;ROUND(((N32-M32)/M32)*100,0)&amp;"%)"</f>
        <v>-4.25(-31%)</v>
      </c>
      <c r="P32" s="377"/>
      <c r="Q32" s="358"/>
      <c r="R32" s="359"/>
    </row>
    <row r="33" ht="23" customHeight="1" spans="1:18">
      <c r="A33" s="356">
        <v>25</v>
      </c>
      <c r="B33" s="343"/>
      <c r="C33" s="326"/>
      <c r="D33" s="324">
        <v>21250418</v>
      </c>
      <c r="E33" s="342" t="s">
        <v>120</v>
      </c>
      <c r="F33" s="328" t="s">
        <v>121</v>
      </c>
      <c r="G33" s="328" t="s">
        <v>29</v>
      </c>
      <c r="H33" s="328" t="s">
        <v>24</v>
      </c>
      <c r="I33" s="328" t="s">
        <v>25</v>
      </c>
      <c r="J33" s="329" t="s">
        <v>26</v>
      </c>
      <c r="K33" s="324" t="s">
        <v>79</v>
      </c>
      <c r="L33" s="338"/>
      <c r="M33" s="336">
        <v>11.8</v>
      </c>
      <c r="N33" s="331">
        <v>9</v>
      </c>
      <c r="O33" s="361" t="str">
        <f>ROUND(N33-M33,2)&amp;"("&amp;ROUND(((N33-M33)/M33)*100,0)&amp;"%)"</f>
        <v>-2.8(-24%)</v>
      </c>
      <c r="P33" s="378"/>
      <c r="Q33" s="342"/>
      <c r="R33" s="337"/>
    </row>
    <row r="34" ht="23" customHeight="1" spans="1:18">
      <c r="A34" s="356">
        <v>26</v>
      </c>
      <c r="B34" s="343"/>
      <c r="C34" s="326"/>
      <c r="D34" s="331" t="s">
        <v>122</v>
      </c>
      <c r="E34" s="327" t="s">
        <v>123</v>
      </c>
      <c r="F34" s="338" t="s">
        <v>121</v>
      </c>
      <c r="G34" s="337" t="s">
        <v>29</v>
      </c>
      <c r="H34" s="338" t="s">
        <v>77</v>
      </c>
      <c r="I34" s="338" t="s">
        <v>25</v>
      </c>
      <c r="J34" s="340">
        <v>0.95</v>
      </c>
      <c r="K34" s="332" t="s">
        <v>31</v>
      </c>
      <c r="L34" s="338"/>
      <c r="M34" s="336">
        <v>9</v>
      </c>
      <c r="N34" s="331">
        <v>14.6</v>
      </c>
      <c r="O34" s="361" t="str">
        <f>ROUND(N34-M34,2)&amp;"("&amp;ROUND(((N34-M34)/M34)*100,0)&amp;"%)"</f>
        <v>5.6(62%)</v>
      </c>
      <c r="P34" s="378"/>
      <c r="Q34" s="342"/>
      <c r="R34" s="337"/>
    </row>
    <row r="35" ht="23" customHeight="1" spans="1:18">
      <c r="A35" s="356">
        <v>27</v>
      </c>
      <c r="B35" s="343"/>
      <c r="C35" s="326"/>
      <c r="D35" s="331" t="s">
        <v>124</v>
      </c>
      <c r="E35" s="342" t="s">
        <v>125</v>
      </c>
      <c r="F35" s="338" t="s">
        <v>121</v>
      </c>
      <c r="G35" s="337" t="s">
        <v>29</v>
      </c>
      <c r="H35" s="338" t="s">
        <v>30</v>
      </c>
      <c r="I35" s="338" t="s">
        <v>25</v>
      </c>
      <c r="J35" s="340">
        <v>0.97</v>
      </c>
      <c r="K35" s="332"/>
      <c r="L35" s="338"/>
      <c r="M35" s="336">
        <v>11</v>
      </c>
      <c r="N35" s="331">
        <v>9.4</v>
      </c>
      <c r="O35" s="361" t="str">
        <f>ROUND(N35-M35,2)&amp;"("&amp;ROUND(((N35-M35)/M35)*100,0)&amp;"%)"</f>
        <v>-1.6(-15%)</v>
      </c>
      <c r="P35" s="378"/>
      <c r="Q35" s="342"/>
      <c r="R35" s="337" t="s">
        <v>126</v>
      </c>
    </row>
    <row r="36" ht="23" customHeight="1" spans="1:18">
      <c r="A36" s="356">
        <v>28</v>
      </c>
      <c r="B36" s="343"/>
      <c r="C36" s="326"/>
      <c r="D36" s="324" t="s">
        <v>127</v>
      </c>
      <c r="E36" s="327" t="s">
        <v>128</v>
      </c>
      <c r="F36" s="338" t="s">
        <v>121</v>
      </c>
      <c r="G36" s="328" t="s">
        <v>29</v>
      </c>
      <c r="H36" s="328" t="s">
        <v>24</v>
      </c>
      <c r="I36" s="338" t="s">
        <v>25</v>
      </c>
      <c r="J36" s="329" t="s">
        <v>26</v>
      </c>
      <c r="K36" s="324" t="s">
        <v>79</v>
      </c>
      <c r="L36" s="327"/>
      <c r="M36" s="379">
        <v>2.5</v>
      </c>
      <c r="N36" s="324">
        <v>3.5</v>
      </c>
      <c r="O36" s="361" t="str">
        <f>ROUND(N36-M36,2)&amp;"("&amp;ROUND(((N36-M36)/M36)*100,0)&amp;"%)"</f>
        <v>1(40%)</v>
      </c>
      <c r="P36" s="327"/>
      <c r="Q36" s="342"/>
      <c r="R36" s="337"/>
    </row>
    <row r="37" ht="23" customHeight="1" spans="1:18">
      <c r="A37" s="356">
        <v>29</v>
      </c>
      <c r="B37" s="343"/>
      <c r="C37" s="326"/>
      <c r="D37" s="324" t="s">
        <v>129</v>
      </c>
      <c r="E37" s="327" t="s">
        <v>130</v>
      </c>
      <c r="F37" s="328" t="s">
        <v>121</v>
      </c>
      <c r="G37" s="328" t="s">
        <v>29</v>
      </c>
      <c r="H37" s="328" t="s">
        <v>24</v>
      </c>
      <c r="I37" s="328" t="s">
        <v>25</v>
      </c>
      <c r="J37" s="329" t="s">
        <v>26</v>
      </c>
      <c r="K37" s="330" t="s">
        <v>79</v>
      </c>
      <c r="L37" s="326"/>
      <c r="M37" s="379"/>
      <c r="N37" s="324"/>
      <c r="O37" s="361"/>
      <c r="P37" s="333"/>
      <c r="Q37" s="327"/>
      <c r="R37" s="337"/>
    </row>
    <row r="38" ht="23" customHeight="1" spans="1:18">
      <c r="A38" s="356">
        <v>30</v>
      </c>
      <c r="B38" s="343"/>
      <c r="C38" s="326"/>
      <c r="D38" s="324">
        <v>21250417</v>
      </c>
      <c r="E38" s="327" t="s">
        <v>131</v>
      </c>
      <c r="F38" s="328" t="s">
        <v>132</v>
      </c>
      <c r="G38" s="328" t="s">
        <v>29</v>
      </c>
      <c r="H38" s="338" t="s">
        <v>24</v>
      </c>
      <c r="I38" s="328" t="s">
        <v>25</v>
      </c>
      <c r="J38" s="329" t="s">
        <v>26</v>
      </c>
      <c r="K38" s="324" t="s">
        <v>79</v>
      </c>
      <c r="L38" s="327"/>
      <c r="M38" s="379"/>
      <c r="N38" s="324"/>
      <c r="O38" s="361"/>
      <c r="P38" s="327"/>
      <c r="Q38" s="327"/>
      <c r="R38" s="337"/>
    </row>
    <row r="39" ht="23" customHeight="1" spans="1:18">
      <c r="A39" s="356">
        <v>31</v>
      </c>
      <c r="B39" s="343"/>
      <c r="C39" s="326"/>
      <c r="D39" s="324"/>
      <c r="E39" s="342" t="s">
        <v>133</v>
      </c>
      <c r="F39" s="338"/>
      <c r="G39" s="337" t="s">
        <v>35</v>
      </c>
      <c r="H39" s="338" t="s">
        <v>68</v>
      </c>
      <c r="I39" s="328"/>
      <c r="J39" s="329"/>
      <c r="K39" s="330"/>
      <c r="L39" s="326"/>
      <c r="M39" s="379"/>
      <c r="N39" s="324"/>
      <c r="O39" s="361"/>
      <c r="P39" s="333"/>
      <c r="Q39" s="327"/>
      <c r="R39" s="337" t="s">
        <v>134</v>
      </c>
    </row>
    <row r="40" ht="23" customHeight="1" spans="1:18">
      <c r="A40" s="356">
        <v>32</v>
      </c>
      <c r="B40" s="343"/>
      <c r="C40" s="326"/>
      <c r="D40" s="324"/>
      <c r="E40" s="342" t="s">
        <v>135</v>
      </c>
      <c r="F40" s="328"/>
      <c r="G40" s="328" t="s">
        <v>136</v>
      </c>
      <c r="H40" s="328" t="s">
        <v>137</v>
      </c>
      <c r="I40" s="328"/>
      <c r="J40" s="329"/>
      <c r="K40" s="330"/>
      <c r="L40" s="326"/>
      <c r="M40" s="379"/>
      <c r="N40" s="324"/>
      <c r="O40" s="361"/>
      <c r="P40" s="333"/>
      <c r="Q40" s="327"/>
      <c r="R40" s="337"/>
    </row>
    <row r="41" ht="23" customHeight="1" spans="1:18">
      <c r="A41" s="356">
        <v>33</v>
      </c>
      <c r="B41" s="343"/>
      <c r="C41" s="380" t="s">
        <v>93</v>
      </c>
      <c r="D41" s="381"/>
      <c r="E41" s="327" t="s">
        <v>138</v>
      </c>
      <c r="F41" s="328" t="s">
        <v>139</v>
      </c>
      <c r="G41" s="328" t="s">
        <v>29</v>
      </c>
      <c r="H41" s="338"/>
      <c r="I41" s="338"/>
      <c r="J41" s="340"/>
      <c r="K41" s="332"/>
      <c r="L41" s="338"/>
      <c r="M41" s="336">
        <v>1.5</v>
      </c>
      <c r="N41" s="331"/>
      <c r="O41" s="361"/>
      <c r="P41" s="378"/>
      <c r="Q41" s="342"/>
      <c r="R41" s="337"/>
    </row>
    <row r="42" ht="47" customHeight="1" spans="1:18">
      <c r="A42" s="347"/>
      <c r="B42" s="373"/>
      <c r="C42" s="349"/>
      <c r="D42" s="349"/>
      <c r="E42" s="349"/>
      <c r="F42" s="349"/>
      <c r="G42" s="349"/>
      <c r="H42" s="350"/>
      <c r="I42" s="350"/>
      <c r="J42" s="351"/>
      <c r="K42" s="351"/>
      <c r="L42" s="350" t="s">
        <v>100</v>
      </c>
      <c r="M42" s="352">
        <f>SUM(M32:M41)</f>
        <v>49.55</v>
      </c>
      <c r="N42" s="351">
        <f>SUM(N32:N41)</f>
        <v>46</v>
      </c>
      <c r="O42" s="351"/>
      <c r="P42" s="353" t="s">
        <v>101</v>
      </c>
      <c r="Q42" s="354">
        <f>N42/7/5</f>
        <v>1.31428571428571</v>
      </c>
      <c r="R42" s="355"/>
    </row>
    <row r="43" ht="28" customHeight="1" spans="1:18">
      <c r="A43" s="356">
        <v>34</v>
      </c>
      <c r="B43" s="343" t="s">
        <v>140</v>
      </c>
      <c r="C43" s="382" t="s">
        <v>103</v>
      </c>
      <c r="D43" s="356">
        <v>22210906</v>
      </c>
      <c r="E43" s="375" t="s">
        <v>141</v>
      </c>
      <c r="F43" s="382" t="s">
        <v>60</v>
      </c>
      <c r="G43" s="382" t="s">
        <v>23</v>
      </c>
      <c r="H43" s="382" t="s">
        <v>77</v>
      </c>
      <c r="I43" s="382" t="s">
        <v>25</v>
      </c>
      <c r="J43" s="383" t="s">
        <v>23</v>
      </c>
      <c r="K43" s="356"/>
      <c r="L43" s="382"/>
      <c r="M43" s="362">
        <v>36.5</v>
      </c>
      <c r="N43" s="362">
        <v>39</v>
      </c>
      <c r="O43" s="384" t="str">
        <f>N43-M43&amp;"("&amp;ROUND(((N43-M43)/M43*100),0)&amp;"%)"</f>
        <v>2.5(7%)</v>
      </c>
      <c r="P43" s="385"/>
      <c r="Q43" s="375"/>
      <c r="R43" s="374"/>
    </row>
    <row r="44" ht="40" customHeight="1" spans="1:18">
      <c r="A44" s="347"/>
      <c r="B44" s="348"/>
      <c r="C44" s="349"/>
      <c r="D44" s="349"/>
      <c r="E44" s="349"/>
      <c r="F44" s="349"/>
      <c r="G44" s="349"/>
      <c r="H44" s="350"/>
      <c r="I44" s="350"/>
      <c r="J44" s="351"/>
      <c r="K44" s="351"/>
      <c r="L44" s="350" t="s">
        <v>100</v>
      </c>
      <c r="M44" s="352">
        <f>SUM(M43:M43)</f>
        <v>36.5</v>
      </c>
      <c r="N44" s="351">
        <f>SUM(N43)</f>
        <v>39</v>
      </c>
      <c r="O44" s="351"/>
      <c r="P44" s="353" t="s">
        <v>101</v>
      </c>
      <c r="Q44" s="354">
        <f>N44/22/5</f>
        <v>0.354545454545455</v>
      </c>
      <c r="R44" s="355"/>
    </row>
    <row r="45" ht="43.2" customHeight="1" spans="1:18">
      <c r="A45" s="386"/>
      <c r="B45" s="387"/>
      <c r="C45" s="387"/>
      <c r="D45" s="386"/>
      <c r="E45" s="388"/>
      <c r="F45" s="387"/>
    </row>
    <row r="46" ht="43.2" customHeight="1" spans="1:18">
      <c r="A46" s="386"/>
      <c r="B46" s="387"/>
      <c r="C46" s="387"/>
      <c r="D46" s="386"/>
      <c r="E46" s="388"/>
      <c r="F46" s="387"/>
    </row>
    <row r="47" ht="15.6" spans="1:18">
      <c r="A47" s="389"/>
      <c r="B47" s="388"/>
      <c r="C47" s="388"/>
      <c r="D47" s="389"/>
      <c r="E47" s="388"/>
      <c r="F47" s="388"/>
    </row>
    <row r="48" ht="15.6" customHeight="1" spans="1:18">
      <c r="A48" s="389"/>
      <c r="B48" s="388"/>
      <c r="C48" s="388"/>
      <c r="D48" s="389"/>
      <c r="E48" s="388"/>
      <c r="F48" s="388"/>
    </row>
    <row r="49" ht="15.6" spans="1:6">
      <c r="A49" s="389"/>
      <c r="B49" s="388"/>
      <c r="C49" s="388"/>
      <c r="D49" s="389"/>
      <c r="E49" s="388"/>
      <c r="F49" s="388"/>
    </row>
    <row r="50" ht="15.6" spans="1:6">
      <c r="A50" s="389"/>
      <c r="B50" s="388"/>
      <c r="C50" s="388"/>
      <c r="D50" s="389"/>
      <c r="E50" s="388"/>
      <c r="F50" s="388"/>
    </row>
    <row r="51" ht="15.6" spans="1:6">
      <c r="A51" s="389"/>
      <c r="B51" s="388"/>
      <c r="C51" s="388"/>
      <c r="D51" s="389"/>
      <c r="E51" s="388"/>
      <c r="F51" s="388"/>
    </row>
    <row r="52" ht="15.6" spans="1:6">
      <c r="A52" s="389"/>
      <c r="B52" s="388"/>
      <c r="C52" s="388"/>
      <c r="D52" s="389"/>
      <c r="E52" s="388"/>
      <c r="F52" s="388"/>
    </row>
    <row r="53" spans="1:6">
      <c r="A53" s="43"/>
      <c r="B53" s="390"/>
      <c r="C53" s="390"/>
      <c r="D53" s="43"/>
      <c r="E53" s="390"/>
      <c r="F53" s="390"/>
    </row>
    <row r="54" spans="1:6">
      <c r="A54" s="43"/>
      <c r="B54" s="390"/>
      <c r="C54" s="390"/>
      <c r="D54" s="43"/>
      <c r="E54" s="390"/>
      <c r="F54" s="390"/>
    </row>
  </sheetData>
  <mergeCells count="27">
    <mergeCell ref="A1:R1"/>
    <mergeCell ref="C24:G24"/>
    <mergeCell ref="H24:I24"/>
    <mergeCell ref="J24:K24"/>
    <mergeCell ref="C31:G31"/>
    <mergeCell ref="H31:I31"/>
    <mergeCell ref="J31:K31"/>
    <mergeCell ref="C41:D41"/>
    <mergeCell ref="C42:G42"/>
    <mergeCell ref="H42:I42"/>
    <mergeCell ref="J42:K42"/>
    <mergeCell ref="C44:G44"/>
    <mergeCell ref="H44:I44"/>
    <mergeCell ref="J44:K44"/>
    <mergeCell ref="B3:B24"/>
    <mergeCell ref="B25:B31"/>
    <mergeCell ref="B32:B42"/>
    <mergeCell ref="B43:B44"/>
    <mergeCell ref="C3:C6"/>
    <mergeCell ref="C7:C10"/>
    <mergeCell ref="C11:C13"/>
    <mergeCell ref="C14:C17"/>
    <mergeCell ref="C18:C19"/>
    <mergeCell ref="C20:C23"/>
    <mergeCell ref="C25:C30"/>
    <mergeCell ref="C32:C40"/>
    <mergeCell ref="D20:D23"/>
  </mergeCells>
  <dataValidations count="7">
    <dataValidation type="list" allowBlank="1" showInputMessage="1" showErrorMessage="1" sqref="H8 H43 H12:H13">
      <formula1>"售前,立项,需求,开发,发布,实施,验收"</formula1>
    </dataValidation>
    <dataValidation type="list" allowBlank="1" showInputMessage="1" showErrorMessage="1" sqref="H9 H11 H32 H19:H23 H34:H35 H38:H39">
      <formula1>"售前,立项,需求,开发,发布,实施,验收,上线运行,维护"</formula1>
    </dataValidation>
    <dataValidation type="list" allowBlank="1" showInputMessage="1" showErrorMessage="1" sqref="H10 H33 H3:H7 H14:H18 H26:H30 H36:H37">
      <formula1>"售前,立项,需求,开发,发布,实施,验收,上线运行"</formula1>
    </dataValidation>
    <dataValidation type="list" allowBlank="1" showInputMessage="1" showErrorMessage="1" sqref="H25 H41">
      <formula1>"售前,立项,需求,设计,开发,发布,实施,验收"</formula1>
    </dataValidation>
    <dataValidation type="list" allowBlank="1" showInputMessage="1" showErrorMessage="1" sqref="I36">
      <formula1>"长期项目,正常,提前,延迟,严重延迟,暂停"</formula1>
    </dataValidation>
    <dataValidation type="list" allowBlank="1" showInputMessage="1" showErrorMessage="1" sqref="H40">
      <formula1>"售前,立项,需求,设计,开发,发布,实施,验收,挂起,暂停"</formula1>
    </dataValidation>
    <dataValidation type="list" allowBlank="1" showInputMessage="1" showErrorMessage="1" sqref="I43 I3:I23 I25:I30 I32:I35 I37:I41">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5"/>
  <sheetViews>
    <sheetView workbookViewId="0">
      <pane ySplit="1" topLeftCell="A18" activePane="bottomLeft" state="frozen"/>
      <selection/>
      <selection pane="bottomLeft" activeCell="A40" sqref="A40:L45"/>
    </sheetView>
  </sheetViews>
  <sheetFormatPr defaultColWidth="9.11111111111111" defaultRowHeight="13.2"/>
  <cols>
    <col min="1" max="1" width="22.4444444444444" style="267" customWidth="1"/>
    <col min="2" max="2" width="11.6666666666667" style="267" customWidth="1"/>
    <col min="3" max="5" width="9.11111111111111" style="267"/>
    <col min="6" max="6" width="19.5555555555556" style="267" customWidth="1"/>
    <col min="7" max="7" width="9.11111111111111" style="267"/>
    <col min="8" max="8" width="69.7777777777778" style="267" customWidth="1"/>
    <col min="9" max="11" width="9.11111111111111" style="267"/>
    <col min="12" max="12" width="30.4444444444444" style="268" customWidth="1"/>
    <col min="13" max="16384" width="9.11111111111111" style="267"/>
  </cols>
  <sheetData>
    <row r="1" ht="69.6" spans="1:26">
      <c r="A1" s="269" t="s">
        <v>142</v>
      </c>
      <c r="B1" s="270" t="s">
        <v>6</v>
      </c>
      <c r="C1" s="269" t="s">
        <v>143</v>
      </c>
      <c r="D1" s="269" t="s">
        <v>144</v>
      </c>
      <c r="E1" s="270" t="s">
        <v>145</v>
      </c>
      <c r="F1" s="269" t="s">
        <v>146</v>
      </c>
      <c r="G1" s="269" t="s">
        <v>1</v>
      </c>
      <c r="H1" s="271" t="s">
        <v>147</v>
      </c>
      <c r="I1" s="269" t="s">
        <v>148</v>
      </c>
      <c r="J1" s="272" t="s">
        <v>149</v>
      </c>
      <c r="K1" s="269" t="s">
        <v>150</v>
      </c>
      <c r="L1" s="273" t="s">
        <v>151</v>
      </c>
      <c r="M1" s="274"/>
      <c r="N1" s="274"/>
      <c r="O1" s="274"/>
      <c r="P1" s="274"/>
      <c r="Q1" s="274"/>
      <c r="R1" s="274"/>
      <c r="S1" s="274"/>
      <c r="T1" s="274"/>
      <c r="U1" s="274"/>
      <c r="V1" s="274"/>
      <c r="W1" s="274"/>
      <c r="X1" s="274"/>
      <c r="Y1" s="274"/>
      <c r="Z1" s="274"/>
    </row>
    <row r="2" ht="15.6" spans="1:26">
      <c r="A2" s="269" t="s">
        <v>152</v>
      </c>
      <c r="B2" s="275" t="s">
        <v>22</v>
      </c>
      <c r="C2" s="391" t="s">
        <v>153</v>
      </c>
      <c r="D2" s="276"/>
      <c r="E2" s="277" t="s">
        <v>154</v>
      </c>
      <c r="F2" s="276" t="s">
        <v>77</v>
      </c>
      <c r="G2" s="276">
        <v>1</v>
      </c>
      <c r="H2" s="278" t="s">
        <v>155</v>
      </c>
      <c r="I2" s="151" t="s">
        <v>22</v>
      </c>
      <c r="J2" s="279">
        <v>1</v>
      </c>
      <c r="K2" s="276"/>
      <c r="L2" s="275">
        <v>0.5</v>
      </c>
    </row>
    <row r="3" ht="30" spans="1:26">
      <c r="A3" s="269"/>
      <c r="B3" s="275"/>
      <c r="C3" s="276"/>
      <c r="D3" s="276"/>
      <c r="E3" s="277"/>
      <c r="F3" s="276"/>
      <c r="G3" s="276">
        <v>2</v>
      </c>
      <c r="H3" s="278" t="s">
        <v>156</v>
      </c>
      <c r="I3" s="151" t="s">
        <v>22</v>
      </c>
      <c r="J3" s="279">
        <v>1</v>
      </c>
      <c r="K3" s="276"/>
      <c r="L3" s="275">
        <v>0.25</v>
      </c>
    </row>
    <row r="4" ht="30" spans="1:26">
      <c r="A4" s="269"/>
      <c r="B4" s="275"/>
      <c r="C4" s="276"/>
      <c r="D4" s="276"/>
      <c r="E4" s="277"/>
      <c r="F4" s="276"/>
      <c r="G4" s="276">
        <v>3</v>
      </c>
      <c r="H4" s="278" t="s">
        <v>157</v>
      </c>
      <c r="I4" s="151" t="s">
        <v>22</v>
      </c>
      <c r="J4" s="279">
        <v>1</v>
      </c>
      <c r="K4" s="276"/>
      <c r="L4" s="275">
        <v>0.5</v>
      </c>
    </row>
    <row r="5" ht="30" spans="1:26">
      <c r="A5" s="269"/>
      <c r="B5" s="275"/>
      <c r="C5" s="276"/>
      <c r="D5" s="276"/>
      <c r="E5" s="277"/>
      <c r="F5" s="276"/>
      <c r="G5" s="276">
        <v>4</v>
      </c>
      <c r="H5" s="278" t="s">
        <v>158</v>
      </c>
      <c r="I5" s="151" t="s">
        <v>22</v>
      </c>
      <c r="J5" s="279">
        <v>1</v>
      </c>
      <c r="K5" s="276"/>
      <c r="L5" s="275">
        <v>0.25</v>
      </c>
    </row>
    <row r="6" ht="30" spans="1:26">
      <c r="A6" s="269"/>
      <c r="B6" s="275"/>
      <c r="C6" s="276"/>
      <c r="D6" s="276"/>
      <c r="E6" s="277"/>
      <c r="F6" s="276"/>
      <c r="G6" s="276">
        <v>5</v>
      </c>
      <c r="H6" s="278" t="s">
        <v>159</v>
      </c>
      <c r="I6" s="151" t="s">
        <v>22</v>
      </c>
      <c r="J6" s="279">
        <v>1</v>
      </c>
      <c r="K6" s="276"/>
      <c r="L6" s="275">
        <v>0.5</v>
      </c>
    </row>
    <row r="7" ht="30" spans="1:26">
      <c r="A7" s="269"/>
      <c r="B7" s="275"/>
      <c r="C7" s="276"/>
      <c r="D7" s="276"/>
      <c r="E7" s="277"/>
      <c r="F7" s="276"/>
      <c r="G7" s="276">
        <v>6</v>
      </c>
      <c r="H7" s="278" t="s">
        <v>160</v>
      </c>
      <c r="I7" s="151" t="s">
        <v>22</v>
      </c>
      <c r="J7" s="279">
        <v>1</v>
      </c>
      <c r="K7" s="276"/>
      <c r="L7" s="275">
        <v>1</v>
      </c>
    </row>
    <row r="8" ht="15.6" spans="1:26">
      <c r="A8" s="269"/>
      <c r="B8" s="275"/>
      <c r="C8" s="276"/>
      <c r="D8" s="276"/>
      <c r="E8" s="277"/>
      <c r="F8" s="276"/>
      <c r="G8" s="276">
        <v>7</v>
      </c>
      <c r="H8" s="278" t="s">
        <v>161</v>
      </c>
      <c r="I8" s="151" t="s">
        <v>22</v>
      </c>
      <c r="J8" s="279">
        <v>1</v>
      </c>
      <c r="K8" s="276"/>
      <c r="L8" s="275">
        <v>1</v>
      </c>
    </row>
    <row r="9" ht="15.6" spans="1:26">
      <c r="A9" s="269"/>
      <c r="B9" s="275"/>
      <c r="C9" s="276"/>
      <c r="D9" s="276"/>
      <c r="E9" s="277"/>
      <c r="F9" s="276"/>
      <c r="G9" s="276">
        <v>8</v>
      </c>
      <c r="H9" s="280" t="s">
        <v>162</v>
      </c>
      <c r="I9" s="276" t="s">
        <v>163</v>
      </c>
      <c r="J9" s="279">
        <v>1</v>
      </c>
      <c r="K9" s="276"/>
      <c r="L9" s="275">
        <v>0.5</v>
      </c>
    </row>
    <row r="10" ht="15.6" spans="1:26">
      <c r="A10" s="269"/>
      <c r="B10" s="275"/>
      <c r="C10" s="276"/>
      <c r="D10" s="276"/>
      <c r="E10" s="277"/>
      <c r="F10" s="276"/>
      <c r="G10" s="276">
        <v>9</v>
      </c>
      <c r="H10" s="280" t="s">
        <v>164</v>
      </c>
      <c r="I10" s="276" t="s">
        <v>165</v>
      </c>
      <c r="J10" s="279">
        <v>1</v>
      </c>
      <c r="K10" s="276"/>
      <c r="L10" s="275">
        <v>1.5</v>
      </c>
    </row>
    <row r="11" ht="15.6" spans="1:26">
      <c r="A11" s="269"/>
      <c r="B11" s="275"/>
      <c r="C11" s="276"/>
      <c r="D11" s="276"/>
      <c r="E11" s="277"/>
      <c r="F11" s="276"/>
      <c r="G11" s="276">
        <v>10</v>
      </c>
      <c r="H11" s="280" t="s">
        <v>166</v>
      </c>
      <c r="I11" s="276" t="s">
        <v>165</v>
      </c>
      <c r="J11" s="279">
        <v>1</v>
      </c>
      <c r="K11" s="276"/>
      <c r="L11" s="275">
        <v>2.5</v>
      </c>
    </row>
    <row r="12" ht="15.6" spans="1:26">
      <c r="A12" s="269"/>
      <c r="B12" s="275"/>
      <c r="C12" s="276"/>
      <c r="D12" s="276"/>
      <c r="E12" s="277"/>
      <c r="F12" s="276"/>
      <c r="G12" s="276">
        <v>11</v>
      </c>
      <c r="H12" s="280" t="s">
        <v>167</v>
      </c>
      <c r="I12" s="276" t="s">
        <v>165</v>
      </c>
      <c r="J12" s="279">
        <v>1</v>
      </c>
      <c r="K12" s="276"/>
      <c r="L12" s="275">
        <v>1</v>
      </c>
    </row>
    <row r="13" ht="15" spans="1:26">
      <c r="A13" s="269"/>
      <c r="B13" s="275"/>
      <c r="C13" s="276"/>
      <c r="D13" s="276"/>
      <c r="E13" s="161" t="s">
        <v>168</v>
      </c>
      <c r="F13" s="161"/>
      <c r="G13" s="161"/>
      <c r="H13" s="161"/>
      <c r="I13" s="161"/>
      <c r="J13" s="162"/>
      <c r="K13" s="163"/>
      <c r="L13" s="164">
        <f>SUM(L2:L12)</f>
        <v>9.5</v>
      </c>
    </row>
    <row r="14" ht="15.6" spans="1:26">
      <c r="A14" s="269"/>
      <c r="B14" s="275"/>
      <c r="C14" s="276"/>
      <c r="D14" s="276"/>
      <c r="E14" s="277" t="s">
        <v>169</v>
      </c>
      <c r="F14" s="277" t="s">
        <v>77</v>
      </c>
      <c r="G14" s="277">
        <v>1</v>
      </c>
      <c r="H14" s="281"/>
      <c r="I14" s="276"/>
      <c r="J14" s="282"/>
      <c r="K14" s="277"/>
      <c r="L14" s="283"/>
    </row>
    <row r="15" ht="15.6" spans="1:26">
      <c r="A15" s="269"/>
      <c r="B15" s="275"/>
      <c r="C15" s="276"/>
      <c r="D15" s="276"/>
      <c r="E15" s="277"/>
      <c r="F15" s="277"/>
      <c r="G15" s="277">
        <v>2</v>
      </c>
      <c r="H15" s="281"/>
      <c r="I15" s="277"/>
      <c r="J15" s="282"/>
      <c r="K15" s="277"/>
      <c r="L15" s="283"/>
    </row>
    <row r="16" ht="15.6" spans="1:26">
      <c r="A16" s="269" t="s">
        <v>170</v>
      </c>
      <c r="B16" s="275" t="s">
        <v>22</v>
      </c>
      <c r="C16" s="279">
        <v>0.93</v>
      </c>
      <c r="D16" s="276"/>
      <c r="E16" s="277" t="s">
        <v>154</v>
      </c>
      <c r="F16" s="284" t="s">
        <v>171</v>
      </c>
      <c r="G16" s="276">
        <v>1</v>
      </c>
      <c r="H16" s="285" t="s">
        <v>172</v>
      </c>
      <c r="I16" s="151" t="s">
        <v>22</v>
      </c>
      <c r="J16" s="279">
        <v>0.4</v>
      </c>
      <c r="K16" s="277"/>
      <c r="L16" s="275">
        <v>1</v>
      </c>
    </row>
    <row r="17" ht="150" spans="1:12">
      <c r="A17" s="269"/>
      <c r="B17" s="275"/>
      <c r="C17" s="279"/>
      <c r="D17" s="276"/>
      <c r="E17" s="277"/>
      <c r="F17" s="284" t="s">
        <v>173</v>
      </c>
      <c r="G17" s="276">
        <v>1</v>
      </c>
      <c r="H17" s="285" t="s">
        <v>174</v>
      </c>
      <c r="I17" s="151" t="s">
        <v>163</v>
      </c>
      <c r="J17" s="279">
        <v>1</v>
      </c>
      <c r="K17" s="277"/>
      <c r="L17" s="275">
        <v>4.5</v>
      </c>
    </row>
    <row r="18" ht="150" spans="1:12">
      <c r="A18" s="269"/>
      <c r="B18" s="275"/>
      <c r="C18" s="279"/>
      <c r="D18" s="276"/>
      <c r="E18" s="277"/>
      <c r="F18" s="284" t="s">
        <v>175</v>
      </c>
      <c r="G18" s="276">
        <v>1</v>
      </c>
      <c r="H18" s="285" t="s">
        <v>176</v>
      </c>
      <c r="I18" s="151" t="s">
        <v>34</v>
      </c>
      <c r="J18" s="279">
        <v>1</v>
      </c>
      <c r="K18" s="277"/>
      <c r="L18" s="275">
        <v>1.26</v>
      </c>
    </row>
    <row r="19" ht="15.6" spans="1:12">
      <c r="A19" s="269"/>
      <c r="B19" s="275"/>
      <c r="C19" s="279"/>
      <c r="D19" s="276"/>
      <c r="E19" s="277"/>
      <c r="F19" s="286"/>
      <c r="G19" s="276">
        <v>2</v>
      </c>
      <c r="H19" s="285" t="s">
        <v>177</v>
      </c>
      <c r="I19" s="151" t="s">
        <v>178</v>
      </c>
      <c r="J19" s="279">
        <v>1</v>
      </c>
      <c r="K19" s="277"/>
      <c r="L19" s="275">
        <v>0.3</v>
      </c>
    </row>
    <row r="20" ht="25.8" customHeight="1" spans="1:12">
      <c r="A20" s="269"/>
      <c r="B20" s="275"/>
      <c r="C20" s="276"/>
      <c r="D20" s="276"/>
      <c r="E20" s="277"/>
      <c r="F20" s="284" t="s">
        <v>179</v>
      </c>
      <c r="G20" s="287">
        <v>1</v>
      </c>
      <c r="H20" s="285" t="s">
        <v>180</v>
      </c>
      <c r="I20" s="287" t="s">
        <v>71</v>
      </c>
      <c r="J20" s="288">
        <v>1</v>
      </c>
      <c r="K20" s="289"/>
      <c r="L20" s="290">
        <v>0.5</v>
      </c>
    </row>
    <row r="21" ht="25.8" customHeight="1" spans="1:12">
      <c r="A21" s="269"/>
      <c r="B21" s="275"/>
      <c r="C21" s="276"/>
      <c r="D21" s="276"/>
      <c r="E21" s="277"/>
      <c r="F21" s="291"/>
      <c r="G21" s="287">
        <v>2</v>
      </c>
      <c r="H21" s="292"/>
      <c r="I21" s="287" t="s">
        <v>83</v>
      </c>
      <c r="J21" s="288">
        <v>1</v>
      </c>
      <c r="K21" s="289"/>
      <c r="L21" s="290">
        <v>2</v>
      </c>
    </row>
    <row r="22" ht="25.8" customHeight="1" spans="1:12">
      <c r="A22" s="269"/>
      <c r="B22" s="275"/>
      <c r="C22" s="276"/>
      <c r="D22" s="276"/>
      <c r="E22" s="277"/>
      <c r="F22" s="291"/>
      <c r="G22" s="287">
        <v>3</v>
      </c>
      <c r="H22" s="292"/>
      <c r="I22" s="287" t="s">
        <v>181</v>
      </c>
      <c r="J22" s="288">
        <v>1</v>
      </c>
      <c r="K22" s="289"/>
      <c r="L22" s="290">
        <v>1.5</v>
      </c>
    </row>
    <row r="23" ht="30" spans="1:12">
      <c r="A23" s="269"/>
      <c r="B23" s="275"/>
      <c r="C23" s="276"/>
      <c r="D23" s="276"/>
      <c r="E23" s="277"/>
      <c r="F23" s="151" t="s">
        <v>182</v>
      </c>
      <c r="G23" s="287">
        <v>1</v>
      </c>
      <c r="H23" s="278" t="s">
        <v>183</v>
      </c>
      <c r="I23" s="151" t="s">
        <v>184</v>
      </c>
      <c r="J23" s="288">
        <v>1</v>
      </c>
      <c r="K23" s="289"/>
      <c r="L23" s="290">
        <v>3</v>
      </c>
    </row>
    <row r="24" ht="15" spans="1:12">
      <c r="A24" s="269"/>
      <c r="B24" s="275"/>
      <c r="C24" s="276"/>
      <c r="D24" s="276"/>
      <c r="E24" s="277"/>
      <c r="F24" s="151"/>
      <c r="G24" s="287">
        <v>2</v>
      </c>
      <c r="H24" s="278" t="s">
        <v>185</v>
      </c>
      <c r="I24" s="151" t="s">
        <v>186</v>
      </c>
      <c r="J24" s="288">
        <v>1</v>
      </c>
      <c r="K24" s="289"/>
      <c r="L24" s="290">
        <v>1</v>
      </c>
    </row>
    <row r="25" ht="15" spans="1:12">
      <c r="A25" s="269"/>
      <c r="B25" s="275"/>
      <c r="C25" s="276"/>
      <c r="D25" s="276"/>
      <c r="E25" s="277"/>
      <c r="F25" s="151"/>
      <c r="G25" s="287">
        <v>3</v>
      </c>
      <c r="H25" s="278" t="s">
        <v>187</v>
      </c>
      <c r="I25" s="151" t="s">
        <v>186</v>
      </c>
      <c r="J25" s="288">
        <v>1</v>
      </c>
      <c r="K25" s="289"/>
      <c r="L25" s="290">
        <v>4</v>
      </c>
    </row>
    <row r="26" ht="15" spans="1:12">
      <c r="A26" s="269"/>
      <c r="B26" s="275"/>
      <c r="C26" s="276"/>
      <c r="D26" s="276"/>
      <c r="E26" s="161" t="s">
        <v>168</v>
      </c>
      <c r="F26" s="161"/>
      <c r="G26" s="161"/>
      <c r="H26" s="161"/>
      <c r="I26" s="161"/>
      <c r="J26" s="162"/>
      <c r="K26" s="163"/>
      <c r="L26" s="164">
        <f>SUM(L16:L25)</f>
        <v>19.06</v>
      </c>
    </row>
    <row r="27" ht="15.6" spans="1:12">
      <c r="A27" s="269"/>
      <c r="B27" s="275"/>
      <c r="C27" s="276"/>
      <c r="D27" s="276"/>
      <c r="E27" s="277" t="s">
        <v>169</v>
      </c>
      <c r="F27" s="277" t="s">
        <v>77</v>
      </c>
      <c r="G27" s="277">
        <v>1</v>
      </c>
      <c r="H27" s="281"/>
      <c r="I27" s="276"/>
      <c r="J27" s="282"/>
      <c r="K27" s="277"/>
      <c r="L27" s="283"/>
    </row>
    <row r="28" ht="15" spans="1:12">
      <c r="A28" s="269"/>
      <c r="B28" s="275"/>
      <c r="C28" s="276"/>
      <c r="D28" s="276"/>
      <c r="E28" s="277"/>
      <c r="F28" s="277"/>
      <c r="G28" s="277">
        <v>2</v>
      </c>
      <c r="H28" s="280"/>
      <c r="I28" s="277"/>
      <c r="J28" s="282"/>
      <c r="K28" s="277"/>
      <c r="L28" s="283"/>
    </row>
    <row r="29" ht="15" spans="1:12">
      <c r="A29" s="269" t="s">
        <v>188</v>
      </c>
      <c r="B29" s="275" t="s">
        <v>34</v>
      </c>
      <c r="C29" s="276"/>
      <c r="D29" s="276"/>
      <c r="E29" s="277" t="s">
        <v>154</v>
      </c>
      <c r="F29" s="276" t="s">
        <v>189</v>
      </c>
      <c r="G29" s="276">
        <v>1</v>
      </c>
      <c r="H29" s="293"/>
      <c r="I29" s="151"/>
      <c r="J29" s="279"/>
      <c r="K29" s="277"/>
      <c r="L29" s="283"/>
    </row>
    <row r="30" ht="15" spans="1:12">
      <c r="A30" s="269"/>
      <c r="B30" s="275"/>
      <c r="C30" s="276"/>
      <c r="D30" s="276"/>
      <c r="E30" s="277"/>
      <c r="F30" s="276"/>
      <c r="G30" s="276">
        <v>2</v>
      </c>
      <c r="H30" s="280"/>
      <c r="I30" s="151"/>
      <c r="J30" s="279"/>
      <c r="K30" s="277"/>
      <c r="L30" s="283"/>
    </row>
    <row r="31" ht="15" spans="1:12">
      <c r="A31" s="269"/>
      <c r="B31" s="275"/>
      <c r="C31" s="276"/>
      <c r="D31" s="276"/>
      <c r="E31" s="161" t="s">
        <v>168</v>
      </c>
      <c r="F31" s="161"/>
      <c r="G31" s="161"/>
      <c r="H31" s="161"/>
      <c r="I31" s="161"/>
      <c r="J31" s="162"/>
      <c r="K31" s="163"/>
      <c r="L31" s="164">
        <f>SUM(L29:L30)</f>
        <v>0</v>
      </c>
    </row>
    <row r="32" ht="15.6" spans="1:12">
      <c r="A32" s="269"/>
      <c r="B32" s="275"/>
      <c r="C32" s="276"/>
      <c r="D32" s="276"/>
      <c r="E32" s="277" t="s">
        <v>169</v>
      </c>
      <c r="F32" s="277"/>
      <c r="G32" s="277"/>
      <c r="H32" s="281"/>
      <c r="I32" s="276"/>
      <c r="J32" s="282"/>
      <c r="K32" s="277"/>
      <c r="L32" s="283"/>
    </row>
    <row r="33" ht="15" spans="1:12">
      <c r="A33" s="269"/>
      <c r="B33" s="275"/>
      <c r="C33" s="276"/>
      <c r="D33" s="276"/>
      <c r="E33" s="277"/>
      <c r="F33" s="277"/>
      <c r="G33" s="277"/>
      <c r="H33" s="280"/>
      <c r="I33" s="277"/>
      <c r="J33" s="282"/>
      <c r="K33" s="277"/>
      <c r="L33" s="283"/>
    </row>
    <row r="34" ht="34.8" customHeight="1" spans="1:12">
      <c r="A34" s="269" t="s">
        <v>190</v>
      </c>
      <c r="B34" s="275" t="s">
        <v>34</v>
      </c>
      <c r="C34" s="276"/>
      <c r="D34" s="276"/>
      <c r="E34" s="277" t="s">
        <v>154</v>
      </c>
      <c r="F34" s="276" t="s">
        <v>189</v>
      </c>
      <c r="G34" s="276">
        <v>1</v>
      </c>
      <c r="H34" s="293"/>
      <c r="I34" s="151"/>
      <c r="J34" s="279"/>
      <c r="K34" s="277"/>
      <c r="L34" s="283"/>
    </row>
    <row r="35" ht="15" spans="1:12">
      <c r="A35" s="269"/>
      <c r="B35" s="275"/>
      <c r="C35" s="276"/>
      <c r="D35" s="276"/>
      <c r="E35" s="277"/>
      <c r="F35" s="276"/>
      <c r="G35" s="276">
        <v>2</v>
      </c>
      <c r="H35" s="280"/>
      <c r="I35" s="151"/>
      <c r="J35" s="279"/>
      <c r="K35" s="277"/>
      <c r="L35" s="283"/>
    </row>
    <row r="36" ht="15" spans="1:12">
      <c r="A36" s="269"/>
      <c r="B36" s="275"/>
      <c r="C36" s="276"/>
      <c r="D36" s="276"/>
      <c r="E36" s="277"/>
      <c r="F36" s="276"/>
      <c r="G36" s="276">
        <v>3</v>
      </c>
      <c r="H36" s="280"/>
      <c r="I36" s="151"/>
      <c r="J36" s="279"/>
      <c r="K36" s="277"/>
      <c r="L36" s="283"/>
    </row>
    <row r="37" ht="15" spans="1:12">
      <c r="A37" s="269"/>
      <c r="B37" s="275"/>
      <c r="C37" s="276"/>
      <c r="D37" s="276"/>
      <c r="E37" s="161" t="s">
        <v>168</v>
      </c>
      <c r="F37" s="161"/>
      <c r="G37" s="161"/>
      <c r="H37" s="161"/>
      <c r="I37" s="161"/>
      <c r="J37" s="162"/>
      <c r="K37" s="163"/>
      <c r="L37" s="164">
        <v>0</v>
      </c>
    </row>
    <row r="38" ht="15.6" spans="1:12">
      <c r="A38" s="269"/>
      <c r="B38" s="275"/>
      <c r="C38" s="276"/>
      <c r="D38" s="276"/>
      <c r="E38" s="277" t="s">
        <v>169</v>
      </c>
      <c r="F38" s="277"/>
      <c r="G38" s="277"/>
      <c r="H38" s="281"/>
      <c r="I38" s="276"/>
      <c r="J38" s="282"/>
      <c r="K38" s="277"/>
      <c r="L38" s="283"/>
    </row>
    <row r="39" ht="15" spans="1:12">
      <c r="A39" s="269"/>
      <c r="B39" s="275"/>
      <c r="C39" s="276"/>
      <c r="D39" s="276"/>
      <c r="E39" s="277"/>
      <c r="F39" s="277"/>
      <c r="G39" s="277"/>
      <c r="H39" s="280"/>
      <c r="I39" s="277"/>
      <c r="J39" s="282"/>
      <c r="K39" s="277"/>
      <c r="L39" s="283"/>
    </row>
    <row r="40" spans="1:12">
      <c r="A40" s="294" t="s">
        <v>191</v>
      </c>
      <c r="B40" s="295" t="s">
        <v>95</v>
      </c>
      <c r="C40" s="296"/>
      <c r="D40" s="297"/>
      <c r="E40" s="298" t="s">
        <v>154</v>
      </c>
      <c r="F40" s="299" t="s">
        <v>192</v>
      </c>
      <c r="G40" s="299">
        <v>1</v>
      </c>
      <c r="H40" s="256" t="s">
        <v>193</v>
      </c>
      <c r="I40" s="257" t="s">
        <v>95</v>
      </c>
      <c r="J40" s="258">
        <v>1</v>
      </c>
      <c r="K40" s="259"/>
      <c r="L40" s="260">
        <v>5</v>
      </c>
    </row>
    <row r="41" spans="1:12">
      <c r="A41" s="300"/>
      <c r="B41" s="301"/>
      <c r="C41" s="302"/>
      <c r="D41" s="303"/>
      <c r="E41" s="304"/>
      <c r="F41" s="299"/>
      <c r="G41" s="299"/>
      <c r="H41" s="256"/>
      <c r="I41" s="257" t="s">
        <v>194</v>
      </c>
      <c r="J41" s="258">
        <v>1</v>
      </c>
      <c r="K41" s="259"/>
      <c r="L41" s="260">
        <v>5</v>
      </c>
    </row>
    <row r="42" spans="1:12">
      <c r="A42" s="300"/>
      <c r="B42" s="301"/>
      <c r="C42" s="302"/>
      <c r="D42" s="303"/>
      <c r="E42" s="304"/>
      <c r="F42" s="299"/>
      <c r="G42" s="299"/>
      <c r="H42" s="256"/>
      <c r="I42" s="257" t="s">
        <v>195</v>
      </c>
      <c r="J42" s="258">
        <v>1</v>
      </c>
      <c r="K42" s="259"/>
      <c r="L42" s="260">
        <v>4</v>
      </c>
    </row>
    <row r="43" spans="1:12">
      <c r="A43" s="300"/>
      <c r="B43" s="301"/>
      <c r="C43" s="302"/>
      <c r="D43" s="303"/>
      <c r="E43" s="304"/>
      <c r="F43" s="259" t="s">
        <v>196</v>
      </c>
      <c r="G43" s="299">
        <v>1</v>
      </c>
      <c r="H43" s="256" t="s">
        <v>197</v>
      </c>
      <c r="I43" s="257" t="s">
        <v>198</v>
      </c>
      <c r="J43" s="258">
        <v>1</v>
      </c>
      <c r="K43" s="259"/>
      <c r="L43" s="263">
        <v>4</v>
      </c>
    </row>
    <row r="44" spans="1:12">
      <c r="A44" s="300"/>
      <c r="B44" s="301"/>
      <c r="C44" s="302"/>
      <c r="D44" s="303"/>
      <c r="E44" s="305"/>
      <c r="F44" s="259"/>
      <c r="G44" s="299"/>
      <c r="H44" s="256"/>
      <c r="I44" s="257" t="s">
        <v>199</v>
      </c>
      <c r="J44" s="258">
        <v>1</v>
      </c>
      <c r="K44" s="259"/>
      <c r="L44" s="263">
        <v>4</v>
      </c>
    </row>
    <row r="45" spans="1:12">
      <c r="A45" s="306"/>
      <c r="B45" s="307"/>
      <c r="C45" s="308"/>
      <c r="D45" s="309"/>
      <c r="E45" s="310" t="s">
        <v>168</v>
      </c>
      <c r="F45" s="310"/>
      <c r="G45" s="310"/>
      <c r="H45" s="310"/>
      <c r="I45" s="310"/>
      <c r="J45" s="311"/>
      <c r="K45" s="312"/>
      <c r="L45" s="313">
        <f>SUM(L40:L44)</f>
        <v>22</v>
      </c>
    </row>
  </sheetData>
  <autoFilter xmlns:etc="http://www.wps.cn/officeDocument/2017/etCustomData" ref="A1:L39" etc:filterBottomFollowUsedRange="0">
    <extLst/>
  </autoFilter>
  <mergeCells count="51">
    <mergeCell ref="E13:H13"/>
    <mergeCell ref="E26:H26"/>
    <mergeCell ref="E31:H31"/>
    <mergeCell ref="E37:H37"/>
    <mergeCell ref="E45:H45"/>
    <mergeCell ref="A2:A15"/>
    <mergeCell ref="A16:A28"/>
    <mergeCell ref="A29:A33"/>
    <mergeCell ref="A34:A39"/>
    <mergeCell ref="A40:A45"/>
    <mergeCell ref="B2:B15"/>
    <mergeCell ref="B16:B28"/>
    <mergeCell ref="B29:B33"/>
    <mergeCell ref="B34:B39"/>
    <mergeCell ref="B40:B45"/>
    <mergeCell ref="C2:C15"/>
    <mergeCell ref="C16:C28"/>
    <mergeCell ref="C29:C33"/>
    <mergeCell ref="C34:C39"/>
    <mergeCell ref="C40:C45"/>
    <mergeCell ref="D2:D15"/>
    <mergeCell ref="D16:D28"/>
    <mergeCell ref="D29:D33"/>
    <mergeCell ref="D34:D39"/>
    <mergeCell ref="D40:D45"/>
    <mergeCell ref="E2:E12"/>
    <mergeCell ref="E14:E15"/>
    <mergeCell ref="E16:E25"/>
    <mergeCell ref="E27:E28"/>
    <mergeCell ref="E29:E30"/>
    <mergeCell ref="E32:E33"/>
    <mergeCell ref="E34:E36"/>
    <mergeCell ref="E38:E39"/>
    <mergeCell ref="E40:E44"/>
    <mergeCell ref="F2:F12"/>
    <mergeCell ref="F14:F15"/>
    <mergeCell ref="F18:F19"/>
    <mergeCell ref="F20:F22"/>
    <mergeCell ref="F23:F25"/>
    <mergeCell ref="F27:F28"/>
    <mergeCell ref="F29:F30"/>
    <mergeCell ref="F32:F33"/>
    <mergeCell ref="F34:F36"/>
    <mergeCell ref="F38:F39"/>
    <mergeCell ref="F40:F42"/>
    <mergeCell ref="F43:F44"/>
    <mergeCell ref="G40:G42"/>
    <mergeCell ref="G43:G44"/>
    <mergeCell ref="H20:H22"/>
    <mergeCell ref="H40:H42"/>
    <mergeCell ref="H43:H4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60"/>
  <sheetViews>
    <sheetView workbookViewId="0">
      <pane ySplit="1" topLeftCell="A45" activePane="bottomLeft" state="frozen"/>
      <selection/>
      <selection pane="bottomLeft" activeCell="H17" sqref="H17:H19"/>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142</v>
      </c>
      <c r="B1" s="4" t="s">
        <v>6</v>
      </c>
      <c r="C1" s="3" t="s">
        <v>143</v>
      </c>
      <c r="D1" s="3" t="s">
        <v>144</v>
      </c>
      <c r="E1" s="4" t="s">
        <v>145</v>
      </c>
      <c r="F1" s="3" t="s">
        <v>146</v>
      </c>
      <c r="G1" s="3" t="s">
        <v>1</v>
      </c>
      <c r="H1" s="5" t="s">
        <v>147</v>
      </c>
      <c r="I1" s="3" t="s">
        <v>148</v>
      </c>
      <c r="J1" s="6" t="s">
        <v>149</v>
      </c>
      <c r="K1" s="3" t="s">
        <v>150</v>
      </c>
      <c r="L1" s="7" t="s">
        <v>151</v>
      </c>
      <c r="M1" s="8"/>
      <c r="N1" s="8"/>
      <c r="O1" s="8"/>
      <c r="P1" s="8"/>
      <c r="Q1" s="8"/>
      <c r="R1" s="8"/>
      <c r="S1" s="8"/>
      <c r="T1" s="8"/>
      <c r="U1" s="8"/>
      <c r="V1" s="8"/>
      <c r="W1" s="8"/>
      <c r="X1" s="8"/>
      <c r="Y1" s="8"/>
      <c r="Z1" s="8"/>
    </row>
    <row r="2" ht="17.4" spans="1:26">
      <c r="A2" s="3"/>
      <c r="B2" s="4"/>
      <c r="C2" s="3"/>
      <c r="D2" s="3"/>
      <c r="E2" s="251"/>
      <c r="F2" s="18"/>
      <c r="G2" s="9"/>
      <c r="H2" s="5"/>
      <c r="I2" s="9"/>
      <c r="J2" s="6"/>
      <c r="K2" s="3"/>
      <c r="L2" s="7"/>
      <c r="M2" s="8"/>
      <c r="N2" s="8"/>
      <c r="O2" s="8"/>
      <c r="P2" s="8"/>
      <c r="Q2" s="8"/>
      <c r="R2" s="8"/>
      <c r="S2" s="8"/>
      <c r="T2" s="8"/>
      <c r="U2" s="8"/>
      <c r="V2" s="8"/>
      <c r="W2" s="8"/>
      <c r="X2" s="8"/>
      <c r="Y2" s="8"/>
      <c r="Z2" s="8"/>
    </row>
    <row r="3" s="1" customFormat="1" ht="15.6" spans="1:26">
      <c r="A3" s="3" t="s">
        <v>200</v>
      </c>
      <c r="B3" s="17" t="s">
        <v>41</v>
      </c>
      <c r="C3" s="13">
        <v>99</v>
      </c>
      <c r="D3" s="13"/>
      <c r="E3" s="30" t="s">
        <v>154</v>
      </c>
      <c r="F3" s="13" t="s">
        <v>77</v>
      </c>
      <c r="G3" s="13">
        <v>1</v>
      </c>
      <c r="H3" s="14" t="s">
        <v>201</v>
      </c>
      <c r="I3" s="15" t="s">
        <v>41</v>
      </c>
      <c r="J3" s="16">
        <v>1</v>
      </c>
      <c r="K3" s="13"/>
      <c r="L3" s="17">
        <v>2.5</v>
      </c>
    </row>
    <row r="4" s="1" customFormat="1" ht="15.6" spans="1:26">
      <c r="A4" s="3"/>
      <c r="B4" s="17"/>
      <c r="C4" s="13"/>
      <c r="D4" s="13"/>
      <c r="E4" s="30"/>
      <c r="F4" s="13"/>
      <c r="G4" s="13">
        <v>2</v>
      </c>
      <c r="H4" s="22" t="s">
        <v>202</v>
      </c>
      <c r="I4" s="15" t="s">
        <v>41</v>
      </c>
      <c r="J4" s="16">
        <v>1</v>
      </c>
      <c r="K4" s="13"/>
      <c r="L4" s="17">
        <v>1.5</v>
      </c>
    </row>
    <row r="5" s="1" customFormat="1" ht="15" spans="1:26">
      <c r="A5" s="3"/>
      <c r="B5" s="17"/>
      <c r="C5" s="13"/>
      <c r="D5" s="13"/>
      <c r="E5" s="33" t="s">
        <v>168</v>
      </c>
      <c r="F5" s="33"/>
      <c r="G5" s="33"/>
      <c r="H5" s="33"/>
      <c r="I5" s="33"/>
      <c r="J5" s="34"/>
      <c r="K5" s="35"/>
      <c r="L5" s="36">
        <f>SUM(L3:L4)</f>
        <v>4</v>
      </c>
    </row>
    <row r="6" s="1" customFormat="1" ht="15" spans="1:26">
      <c r="A6" s="3"/>
      <c r="B6" s="17"/>
      <c r="C6" s="13"/>
      <c r="D6" s="13"/>
      <c r="E6" s="30" t="s">
        <v>169</v>
      </c>
      <c r="F6" s="30" t="s">
        <v>77</v>
      </c>
      <c r="G6" s="30">
        <v>1</v>
      </c>
      <c r="H6" s="14"/>
      <c r="I6" s="13"/>
      <c r="J6" s="38"/>
      <c r="K6" s="30"/>
      <c r="L6" s="39"/>
    </row>
    <row r="7" s="1" customFormat="1" ht="15" spans="1:26">
      <c r="A7" s="3"/>
      <c r="B7" s="17"/>
      <c r="C7" s="13"/>
      <c r="D7" s="13"/>
      <c r="E7" s="30"/>
      <c r="F7" s="30"/>
      <c r="G7" s="30">
        <v>2</v>
      </c>
      <c r="H7" s="14"/>
      <c r="I7" s="30"/>
      <c r="J7" s="38"/>
      <c r="K7" s="30"/>
      <c r="L7" s="39"/>
    </row>
    <row r="8" ht="180" spans="1:26">
      <c r="A8" s="3" t="s">
        <v>203</v>
      </c>
      <c r="B8" s="17" t="s">
        <v>51</v>
      </c>
      <c r="C8" s="13"/>
      <c r="D8" s="13"/>
      <c r="E8" s="12" t="s">
        <v>154</v>
      </c>
      <c r="F8" s="11" t="s">
        <v>189</v>
      </c>
      <c r="G8" s="13">
        <v>1</v>
      </c>
      <c r="H8" s="252" t="s">
        <v>204</v>
      </c>
      <c r="I8" s="15" t="s">
        <v>51</v>
      </c>
      <c r="J8" s="16">
        <v>1</v>
      </c>
      <c r="K8" s="30"/>
      <c r="L8" s="17">
        <v>4</v>
      </c>
      <c r="M8" s="8"/>
      <c r="N8" s="8"/>
      <c r="O8" s="8"/>
      <c r="P8" s="8"/>
      <c r="Q8" s="8"/>
      <c r="R8" s="8"/>
      <c r="S8" s="8"/>
      <c r="T8" s="8"/>
      <c r="U8" s="8"/>
      <c r="V8" s="8"/>
      <c r="W8" s="8"/>
      <c r="X8" s="8"/>
      <c r="Y8" s="8"/>
      <c r="Z8" s="8"/>
    </row>
    <row r="9" ht="150" spans="1:26">
      <c r="A9" s="3"/>
      <c r="B9" s="17"/>
      <c r="C9" s="13"/>
      <c r="D9" s="13"/>
      <c r="E9" s="21"/>
      <c r="F9" s="27"/>
      <c r="G9" s="13">
        <v>2</v>
      </c>
      <c r="H9" s="252" t="s">
        <v>205</v>
      </c>
      <c r="I9" s="15" t="s">
        <v>206</v>
      </c>
      <c r="J9" s="16">
        <v>1</v>
      </c>
      <c r="K9" s="13"/>
      <c r="L9" s="17">
        <v>5</v>
      </c>
      <c r="M9" s="8"/>
      <c r="N9" s="8"/>
      <c r="O9" s="8"/>
      <c r="P9" s="8"/>
      <c r="Q9" s="8"/>
      <c r="R9" s="8"/>
      <c r="S9" s="8"/>
      <c r="T9" s="8"/>
      <c r="U9" s="8"/>
      <c r="V9" s="8"/>
      <c r="W9" s="8"/>
      <c r="X9" s="8"/>
      <c r="Y9" s="8"/>
      <c r="Z9" s="8"/>
    </row>
    <row r="10" ht="30" spans="1:26">
      <c r="A10" s="3"/>
      <c r="B10" s="17"/>
      <c r="C10" s="13"/>
      <c r="D10" s="13"/>
      <c r="E10" s="21"/>
      <c r="F10" s="11" t="s">
        <v>77</v>
      </c>
      <c r="G10" s="13">
        <v>3</v>
      </c>
      <c r="H10" s="14" t="s">
        <v>207</v>
      </c>
      <c r="I10" s="15" t="s">
        <v>51</v>
      </c>
      <c r="J10" s="16">
        <v>1</v>
      </c>
      <c r="K10" s="30"/>
      <c r="L10" s="17">
        <v>1</v>
      </c>
      <c r="M10" s="8"/>
      <c r="N10" s="8"/>
      <c r="O10" s="8"/>
      <c r="P10" s="8"/>
      <c r="Q10" s="8"/>
      <c r="R10" s="8"/>
      <c r="S10" s="8"/>
      <c r="T10" s="8"/>
      <c r="U10" s="8"/>
      <c r="V10" s="8"/>
      <c r="W10" s="8"/>
      <c r="X10" s="8"/>
      <c r="Y10" s="8"/>
      <c r="Z10" s="8"/>
    </row>
    <row r="11" ht="15.6" spans="1:26">
      <c r="A11" s="3"/>
      <c r="B11" s="17"/>
      <c r="C11" s="13"/>
      <c r="D11" s="13"/>
      <c r="E11" s="33" t="s">
        <v>168</v>
      </c>
      <c r="F11" s="33"/>
      <c r="G11" s="33"/>
      <c r="H11" s="33"/>
      <c r="I11" s="33"/>
      <c r="J11" s="34"/>
      <c r="K11" s="35"/>
      <c r="L11" s="253">
        <f>SUM(L8:L10)</f>
        <v>10</v>
      </c>
      <c r="M11" s="8"/>
      <c r="N11" s="8"/>
      <c r="O11" s="8"/>
      <c r="P11" s="8"/>
      <c r="Q11" s="8"/>
      <c r="R11" s="8"/>
      <c r="S11" s="8"/>
      <c r="T11" s="8"/>
      <c r="U11" s="8"/>
      <c r="V11" s="8"/>
      <c r="W11" s="8"/>
      <c r="X11" s="8"/>
      <c r="Y11" s="8"/>
      <c r="Z11" s="8"/>
    </row>
    <row r="12" ht="15.6" spans="1:26">
      <c r="A12" s="3"/>
      <c r="B12" s="17"/>
      <c r="C12" s="13"/>
      <c r="D12" s="13"/>
      <c r="E12" s="30" t="s">
        <v>169</v>
      </c>
      <c r="F12" s="30"/>
      <c r="G12" s="30"/>
      <c r="H12" s="37"/>
      <c r="I12" s="13"/>
      <c r="J12" s="38"/>
      <c r="K12" s="30"/>
      <c r="L12" s="39"/>
      <c r="M12" s="8"/>
      <c r="N12" s="8"/>
      <c r="O12" s="8"/>
      <c r="P12" s="8"/>
      <c r="Q12" s="8"/>
      <c r="R12" s="8"/>
      <c r="S12" s="8"/>
      <c r="T12" s="8"/>
      <c r="U12" s="8"/>
      <c r="V12" s="8"/>
      <c r="W12" s="8"/>
      <c r="X12" s="8"/>
      <c r="Y12" s="8"/>
      <c r="Z12" s="8"/>
    </row>
    <row r="13" ht="15" spans="1:26">
      <c r="A13" s="3"/>
      <c r="B13" s="17"/>
      <c r="C13" s="13"/>
      <c r="D13" s="13"/>
      <c r="E13" s="30"/>
      <c r="F13" s="30"/>
      <c r="G13" s="30"/>
      <c r="H13" s="14"/>
      <c r="I13" s="30"/>
      <c r="J13" s="38"/>
      <c r="K13" s="30"/>
      <c r="L13" s="39"/>
      <c r="M13" s="8"/>
      <c r="N13" s="8"/>
      <c r="O13" s="8"/>
      <c r="P13" s="8"/>
      <c r="Q13" s="8"/>
      <c r="R13" s="8"/>
      <c r="S13" s="8"/>
      <c r="T13" s="8"/>
      <c r="U13" s="8"/>
      <c r="V13" s="8"/>
      <c r="W13" s="8"/>
      <c r="X13" s="8"/>
      <c r="Y13" s="8"/>
      <c r="Z13" s="8"/>
    </row>
    <row r="14" s="1" customFormat="1" ht="15" spans="1:26">
      <c r="A14" s="3" t="s">
        <v>208</v>
      </c>
      <c r="B14" s="17" t="s">
        <v>44</v>
      </c>
      <c r="C14" s="13"/>
      <c r="D14" s="13"/>
      <c r="E14" s="30"/>
      <c r="F14" s="13"/>
      <c r="G14" s="13">
        <v>1</v>
      </c>
      <c r="H14" s="14"/>
      <c r="I14" s="15" t="s">
        <v>83</v>
      </c>
      <c r="J14" s="16">
        <v>1</v>
      </c>
      <c r="K14" s="30"/>
      <c r="L14" s="39">
        <v>0</v>
      </c>
    </row>
    <row r="15" s="1" customFormat="1" ht="90" customHeight="1" spans="1:26">
      <c r="A15" s="3"/>
      <c r="B15" s="17"/>
      <c r="C15" s="13"/>
      <c r="D15" s="13"/>
      <c r="E15" s="30"/>
      <c r="F15" s="13"/>
      <c r="G15" s="13">
        <v>2</v>
      </c>
      <c r="H15" s="254" t="s">
        <v>209</v>
      </c>
      <c r="I15" s="15" t="s">
        <v>44</v>
      </c>
      <c r="J15" s="16">
        <v>1</v>
      </c>
      <c r="K15" s="30"/>
      <c r="L15" s="39">
        <v>3</v>
      </c>
    </row>
    <row r="16" s="1" customFormat="1" ht="45" spans="1:26">
      <c r="A16" s="3"/>
      <c r="B16" s="17"/>
      <c r="C16" s="13"/>
      <c r="D16" s="13"/>
      <c r="E16" s="30"/>
      <c r="F16" s="13"/>
      <c r="G16" s="13">
        <v>3</v>
      </c>
      <c r="H16" s="254" t="s">
        <v>210</v>
      </c>
      <c r="I16" s="15" t="s">
        <v>211</v>
      </c>
      <c r="J16" s="16">
        <v>1</v>
      </c>
      <c r="K16" s="30"/>
      <c r="L16" s="39">
        <v>2</v>
      </c>
    </row>
    <row r="17" s="1" customFormat="1" ht="15" spans="1:12">
      <c r="A17" s="3"/>
      <c r="B17" s="17"/>
      <c r="C17" s="13"/>
      <c r="D17" s="13"/>
      <c r="E17" s="30"/>
      <c r="F17" s="13"/>
      <c r="G17" s="255">
        <v>4</v>
      </c>
      <c r="H17" s="256" t="s">
        <v>212</v>
      </c>
      <c r="I17" s="257" t="s">
        <v>95</v>
      </c>
      <c r="J17" s="258">
        <v>1</v>
      </c>
      <c r="K17" s="259"/>
      <c r="L17" s="260">
        <v>1</v>
      </c>
    </row>
    <row r="18" s="1" customFormat="1" ht="15" spans="1:12">
      <c r="A18" s="3"/>
      <c r="B18" s="17"/>
      <c r="C18" s="13"/>
      <c r="D18" s="13"/>
      <c r="E18" s="30"/>
      <c r="F18" s="13"/>
      <c r="G18" s="261"/>
      <c r="H18" s="256"/>
      <c r="I18" s="257" t="s">
        <v>194</v>
      </c>
      <c r="J18" s="258">
        <v>1</v>
      </c>
      <c r="K18" s="259"/>
      <c r="L18" s="260">
        <v>0</v>
      </c>
    </row>
    <row r="19" s="1" customFormat="1" ht="15" spans="1:12">
      <c r="A19" s="3"/>
      <c r="B19" s="17"/>
      <c r="C19" s="13"/>
      <c r="D19" s="13"/>
      <c r="E19" s="30"/>
      <c r="F19" s="13"/>
      <c r="G19" s="262"/>
      <c r="H19" s="256"/>
      <c r="I19" s="257" t="s">
        <v>195</v>
      </c>
      <c r="J19" s="258">
        <v>1</v>
      </c>
      <c r="K19" s="259"/>
      <c r="L19" s="260">
        <v>1</v>
      </c>
    </row>
    <row r="20" s="1" customFormat="1" ht="15" spans="1:12">
      <c r="A20" s="3"/>
      <c r="B20" s="17"/>
      <c r="C20" s="13"/>
      <c r="D20" s="13"/>
      <c r="E20" s="30"/>
      <c r="F20" s="13"/>
      <c r="G20" s="255">
        <v>5</v>
      </c>
      <c r="H20" s="256" t="s">
        <v>213</v>
      </c>
      <c r="I20" s="257" t="s">
        <v>198</v>
      </c>
      <c r="J20" s="258">
        <v>1</v>
      </c>
      <c r="K20" s="259"/>
      <c r="L20" s="263">
        <v>1</v>
      </c>
    </row>
    <row r="21" s="1" customFormat="1" ht="76" customHeight="1" spans="1:12">
      <c r="A21" s="3"/>
      <c r="B21" s="17"/>
      <c r="C21" s="13"/>
      <c r="D21" s="13"/>
      <c r="E21" s="30"/>
      <c r="F21" s="13"/>
      <c r="G21" s="262"/>
      <c r="H21" s="256"/>
      <c r="I21" s="257" t="s">
        <v>199</v>
      </c>
      <c r="J21" s="258">
        <v>1</v>
      </c>
      <c r="K21" s="259"/>
      <c r="L21" s="263">
        <v>1</v>
      </c>
    </row>
    <row r="22" s="1" customFormat="1" ht="26" customHeight="1" spans="1:12">
      <c r="A22" s="3"/>
      <c r="B22" s="17"/>
      <c r="C22" s="13"/>
      <c r="D22" s="13"/>
      <c r="E22" s="33" t="s">
        <v>168</v>
      </c>
      <c r="F22" s="33"/>
      <c r="G22" s="33"/>
      <c r="H22" s="33"/>
      <c r="I22" s="33"/>
      <c r="J22" s="34"/>
      <c r="K22" s="35"/>
      <c r="L22" s="36">
        <f>SUM(L14:L21)</f>
        <v>9</v>
      </c>
    </row>
    <row r="23" s="1" customFormat="1" ht="15.6" spans="1:12">
      <c r="A23" s="3"/>
      <c r="B23" s="17"/>
      <c r="C23" s="13"/>
      <c r="D23" s="13"/>
      <c r="E23" s="30" t="s">
        <v>169</v>
      </c>
      <c r="F23" s="30"/>
      <c r="G23" s="30"/>
      <c r="H23" s="37"/>
      <c r="I23" s="13"/>
      <c r="J23" s="38"/>
      <c r="K23" s="30"/>
      <c r="L23" s="39"/>
    </row>
    <row r="24" s="1" customFormat="1" ht="15" spans="1:12">
      <c r="A24" s="3"/>
      <c r="B24" s="17"/>
      <c r="C24" s="13"/>
      <c r="D24" s="13"/>
      <c r="E24" s="30"/>
      <c r="F24" s="30"/>
      <c r="G24" s="30"/>
      <c r="H24" s="14"/>
      <c r="I24" s="30"/>
      <c r="J24" s="38"/>
      <c r="K24" s="30"/>
      <c r="L24" s="39"/>
    </row>
    <row r="25" s="1" customFormat="1" ht="60" spans="1:12">
      <c r="A25" s="3" t="s">
        <v>43</v>
      </c>
      <c r="B25" s="17" t="s">
        <v>44</v>
      </c>
      <c r="C25" s="13"/>
      <c r="D25" s="13"/>
      <c r="E25" s="30" t="s">
        <v>154</v>
      </c>
      <c r="F25" s="13" t="s">
        <v>189</v>
      </c>
      <c r="G25" s="13">
        <v>1</v>
      </c>
      <c r="H25" s="254" t="s">
        <v>214</v>
      </c>
      <c r="I25" s="15" t="s">
        <v>184</v>
      </c>
      <c r="J25" s="16">
        <v>1</v>
      </c>
      <c r="K25" s="30"/>
      <c r="L25" s="39">
        <v>2</v>
      </c>
    </row>
    <row r="26" s="1" customFormat="1" ht="69" customHeight="1" spans="1:12">
      <c r="A26" s="3"/>
      <c r="B26" s="17"/>
      <c r="C26" s="13"/>
      <c r="D26" s="13"/>
      <c r="E26" s="30"/>
      <c r="F26" s="13"/>
      <c r="G26" s="13">
        <v>2</v>
      </c>
      <c r="H26" s="14" t="s">
        <v>215</v>
      </c>
      <c r="I26" s="15" t="s">
        <v>211</v>
      </c>
      <c r="J26" s="16">
        <v>1</v>
      </c>
      <c r="K26" s="30"/>
      <c r="L26" s="39">
        <v>3</v>
      </c>
    </row>
    <row r="27" s="1" customFormat="1" ht="45" spans="1:12">
      <c r="A27" s="3"/>
      <c r="B27" s="17"/>
      <c r="C27" s="13"/>
      <c r="D27" s="13"/>
      <c r="E27" s="30"/>
      <c r="F27" s="13"/>
      <c r="G27" s="13">
        <v>3</v>
      </c>
      <c r="H27" s="14" t="s">
        <v>216</v>
      </c>
      <c r="I27" s="15" t="s">
        <v>44</v>
      </c>
      <c r="J27" s="16">
        <v>1</v>
      </c>
      <c r="K27" s="30"/>
      <c r="L27" s="39">
        <v>2</v>
      </c>
    </row>
    <row r="28" s="1" customFormat="1" ht="15" spans="1:12">
      <c r="A28" s="3"/>
      <c r="B28" s="17"/>
      <c r="C28" s="13"/>
      <c r="D28" s="13"/>
      <c r="E28" s="33" t="s">
        <v>168</v>
      </c>
      <c r="F28" s="33"/>
      <c r="G28" s="33"/>
      <c r="H28" s="33"/>
      <c r="I28" s="33"/>
      <c r="J28" s="34"/>
      <c r="K28" s="35"/>
      <c r="L28" s="36">
        <f>SUM(L25:L27)</f>
        <v>7</v>
      </c>
    </row>
    <row r="29" s="1" customFormat="1" ht="15.6" spans="1:12">
      <c r="A29" s="3"/>
      <c r="B29" s="17"/>
      <c r="C29" s="13"/>
      <c r="D29" s="13"/>
      <c r="E29" s="30" t="s">
        <v>169</v>
      </c>
      <c r="F29" s="30"/>
      <c r="G29" s="30"/>
      <c r="H29" s="37"/>
      <c r="I29" s="13"/>
      <c r="J29" s="38"/>
      <c r="K29" s="30"/>
      <c r="L29" s="39"/>
    </row>
    <row r="30" s="1" customFormat="1" ht="15" spans="1:12">
      <c r="A30" s="3"/>
      <c r="B30" s="17"/>
      <c r="C30" s="13"/>
      <c r="D30" s="13"/>
      <c r="E30" s="30"/>
      <c r="F30" s="30"/>
      <c r="G30" s="30"/>
      <c r="H30" s="14"/>
      <c r="I30" s="30"/>
      <c r="J30" s="38"/>
      <c r="K30" s="30"/>
      <c r="L30" s="39"/>
    </row>
    <row r="31" ht="15" spans="1:12">
      <c r="A31" s="3" t="s">
        <v>54</v>
      </c>
      <c r="B31" s="17" t="s">
        <v>55</v>
      </c>
      <c r="C31" s="13"/>
      <c r="D31" s="13"/>
      <c r="E31" s="21" t="s">
        <v>154</v>
      </c>
      <c r="F31" s="20" t="s">
        <v>77</v>
      </c>
      <c r="G31" s="11">
        <v>1</v>
      </c>
      <c r="H31" s="254" t="s">
        <v>217</v>
      </c>
      <c r="I31" s="264" t="s">
        <v>218</v>
      </c>
      <c r="J31" s="16">
        <v>0.5</v>
      </c>
      <c r="K31" s="30"/>
      <c r="L31" s="39">
        <v>3</v>
      </c>
    </row>
    <row r="32" ht="15" spans="1:12">
      <c r="A32" s="3"/>
      <c r="B32" s="17"/>
      <c r="C32" s="13"/>
      <c r="D32" s="13"/>
      <c r="E32" s="21"/>
      <c r="F32" s="20"/>
      <c r="G32" s="11">
        <v>2</v>
      </c>
      <c r="H32" s="254" t="s">
        <v>219</v>
      </c>
      <c r="I32" s="264" t="s">
        <v>220</v>
      </c>
      <c r="J32" s="16">
        <v>0.5</v>
      </c>
      <c r="K32" s="30"/>
      <c r="L32" s="39">
        <v>4</v>
      </c>
    </row>
    <row r="33" ht="15" spans="1:12">
      <c r="A33" s="3"/>
      <c r="B33" s="17"/>
      <c r="C33" s="13"/>
      <c r="D33" s="13"/>
      <c r="E33" s="21"/>
      <c r="F33" s="20"/>
      <c r="G33" s="11"/>
      <c r="H33" s="254" t="s">
        <v>221</v>
      </c>
      <c r="I33" s="264" t="s">
        <v>222</v>
      </c>
      <c r="J33" s="16">
        <v>0.05</v>
      </c>
      <c r="K33" s="30"/>
      <c r="L33" s="39">
        <v>3</v>
      </c>
    </row>
    <row r="34" ht="15" spans="1:12">
      <c r="A34" s="3"/>
      <c r="B34" s="17"/>
      <c r="C34" s="13"/>
      <c r="D34" s="13"/>
      <c r="E34" s="32"/>
      <c r="F34" s="27"/>
      <c r="G34" s="13">
        <v>3</v>
      </c>
      <c r="H34" s="254" t="s">
        <v>223</v>
      </c>
      <c r="I34" s="15" t="s">
        <v>55</v>
      </c>
      <c r="J34" s="16">
        <v>1</v>
      </c>
      <c r="K34" s="30"/>
      <c r="L34" s="39">
        <v>3</v>
      </c>
    </row>
    <row r="35" ht="15" spans="1:12">
      <c r="A35" s="3"/>
      <c r="B35" s="17"/>
      <c r="C35" s="13"/>
      <c r="D35" s="13"/>
      <c r="E35" s="33" t="s">
        <v>168</v>
      </c>
      <c r="F35" s="33"/>
      <c r="G35" s="33"/>
      <c r="H35" s="33"/>
      <c r="I35" s="33"/>
      <c r="J35" s="34"/>
      <c r="K35" s="35"/>
      <c r="L35" s="36">
        <f>SUM(L31:L34)</f>
        <v>13</v>
      </c>
    </row>
    <row r="36" ht="15" spans="1:12">
      <c r="A36" s="3"/>
      <c r="B36" s="17"/>
      <c r="C36" s="13"/>
      <c r="D36" s="13"/>
      <c r="E36" s="30"/>
      <c r="F36" s="30"/>
      <c r="G36" s="30"/>
      <c r="H36" s="14"/>
      <c r="I36" s="13"/>
      <c r="J36" s="38"/>
      <c r="K36" s="30"/>
      <c r="L36" s="39"/>
    </row>
    <row r="37" ht="15" spans="1:12">
      <c r="A37" s="3"/>
      <c r="B37" s="17"/>
      <c r="C37" s="13"/>
      <c r="D37" s="13"/>
      <c r="E37" s="30"/>
      <c r="F37" s="30"/>
      <c r="G37" s="30"/>
      <c r="H37" s="14"/>
      <c r="I37" s="30"/>
      <c r="J37" s="38"/>
      <c r="K37" s="30"/>
      <c r="L37" s="39"/>
    </row>
    <row r="38" ht="15" spans="1:12">
      <c r="A38" s="3" t="s">
        <v>98</v>
      </c>
      <c r="B38" s="17"/>
      <c r="C38" s="13"/>
      <c r="D38" s="13"/>
      <c r="E38" s="21"/>
      <c r="F38" s="20"/>
      <c r="G38" s="13">
        <v>1</v>
      </c>
      <c r="H38" s="254" t="s">
        <v>224</v>
      </c>
      <c r="I38" s="15" t="s">
        <v>225</v>
      </c>
      <c r="J38" s="16">
        <v>1</v>
      </c>
      <c r="K38" s="30"/>
      <c r="L38" s="39">
        <v>2</v>
      </c>
    </row>
    <row r="39" ht="15" spans="1:12">
      <c r="A39" s="3"/>
      <c r="B39" s="17"/>
      <c r="C39" s="13"/>
      <c r="D39" s="13"/>
      <c r="E39" s="21"/>
      <c r="F39" s="20"/>
      <c r="G39" s="13">
        <v>2</v>
      </c>
      <c r="H39" s="254" t="s">
        <v>226</v>
      </c>
      <c r="I39" s="15" t="s">
        <v>55</v>
      </c>
      <c r="J39" s="16">
        <v>1</v>
      </c>
      <c r="K39" s="30"/>
      <c r="L39" s="39">
        <v>2</v>
      </c>
    </row>
    <row r="40" ht="15" spans="1:12">
      <c r="A40" s="3"/>
      <c r="B40" s="17"/>
      <c r="C40" s="13"/>
      <c r="D40" s="13"/>
      <c r="E40" s="21"/>
      <c r="F40" s="20"/>
      <c r="G40" s="13">
        <v>3</v>
      </c>
      <c r="H40" s="254" t="s">
        <v>227</v>
      </c>
      <c r="I40" s="15" t="s">
        <v>220</v>
      </c>
      <c r="J40" s="16">
        <v>1</v>
      </c>
      <c r="K40" s="30"/>
      <c r="L40" s="39">
        <v>1</v>
      </c>
    </row>
    <row r="41" ht="15" spans="1:12">
      <c r="A41" s="3"/>
      <c r="B41" s="17"/>
      <c r="C41" s="13"/>
      <c r="D41" s="13"/>
      <c r="E41" s="21"/>
      <c r="F41" s="20"/>
      <c r="G41" s="13">
        <v>4</v>
      </c>
      <c r="H41" s="254" t="s">
        <v>228</v>
      </c>
      <c r="I41" s="15" t="s">
        <v>222</v>
      </c>
      <c r="J41" s="16">
        <v>1</v>
      </c>
      <c r="K41" s="30"/>
      <c r="L41" s="39">
        <v>2</v>
      </c>
    </row>
    <row r="42" ht="15" spans="1:12">
      <c r="A42" s="3"/>
      <c r="B42" s="17"/>
      <c r="C42" s="13"/>
      <c r="D42" s="13"/>
      <c r="E42" s="21"/>
      <c r="F42" s="20"/>
      <c r="G42" s="13">
        <v>5</v>
      </c>
      <c r="H42" s="254" t="s">
        <v>229</v>
      </c>
      <c r="I42" s="15" t="s">
        <v>218</v>
      </c>
      <c r="J42" s="16">
        <v>1</v>
      </c>
      <c r="K42" s="30"/>
      <c r="L42" s="39">
        <v>1</v>
      </c>
    </row>
    <row r="43" ht="15" spans="1:12">
      <c r="A43" s="3"/>
      <c r="B43" s="17"/>
      <c r="C43" s="13"/>
      <c r="D43" s="13"/>
      <c r="E43" s="21"/>
      <c r="F43" s="20"/>
      <c r="G43" s="13">
        <v>6</v>
      </c>
      <c r="H43" s="254" t="s">
        <v>230</v>
      </c>
      <c r="I43" s="15" t="s">
        <v>231</v>
      </c>
      <c r="J43" s="16">
        <v>1</v>
      </c>
      <c r="K43" s="30"/>
      <c r="L43" s="39">
        <v>5</v>
      </c>
    </row>
    <row r="44" ht="15" spans="1:12">
      <c r="A44" s="3"/>
      <c r="B44" s="17"/>
      <c r="C44" s="13"/>
      <c r="D44" s="13"/>
      <c r="E44" s="33" t="s">
        <v>168</v>
      </c>
      <c r="F44" s="33"/>
      <c r="G44" s="33"/>
      <c r="H44" s="33"/>
      <c r="I44" s="33"/>
      <c r="J44" s="34"/>
      <c r="K44" s="35"/>
      <c r="L44" s="36">
        <f>SUM(L38:L43)</f>
        <v>13</v>
      </c>
    </row>
    <row r="45" ht="15" spans="1:12">
      <c r="A45" s="3"/>
      <c r="B45" s="17"/>
      <c r="C45" s="13"/>
      <c r="D45" s="13"/>
      <c r="E45" s="30" t="s">
        <v>169</v>
      </c>
      <c r="F45" s="30"/>
      <c r="G45" s="30"/>
      <c r="H45" s="14"/>
      <c r="I45" s="13"/>
      <c r="J45" s="38"/>
      <c r="K45" s="30"/>
      <c r="L45" s="39"/>
    </row>
    <row r="46" ht="15" spans="1:12">
      <c r="A46" s="3"/>
      <c r="B46" s="17"/>
      <c r="C46" s="13"/>
      <c r="D46" s="13"/>
      <c r="E46" s="30"/>
      <c r="F46" s="30"/>
      <c r="G46" s="30"/>
      <c r="H46" s="14"/>
      <c r="I46" s="30"/>
      <c r="J46" s="38"/>
      <c r="K46" s="30"/>
      <c r="L46" s="39"/>
    </row>
    <row r="47" ht="15" spans="1:12">
      <c r="A47" s="251" t="s">
        <v>232</v>
      </c>
      <c r="B47" s="17"/>
      <c r="C47" s="13"/>
      <c r="D47" s="13"/>
      <c r="E47" s="21"/>
      <c r="F47" s="20"/>
      <c r="G47" s="13">
        <v>1</v>
      </c>
      <c r="H47" s="254" t="s">
        <v>233</v>
      </c>
      <c r="I47" s="15" t="s">
        <v>234</v>
      </c>
      <c r="J47" s="16">
        <v>1</v>
      </c>
      <c r="K47" s="30"/>
      <c r="L47" s="39">
        <v>0</v>
      </c>
    </row>
    <row r="48" ht="30" spans="1:12">
      <c r="A48" s="251"/>
      <c r="B48" s="17"/>
      <c r="C48" s="13"/>
      <c r="D48" s="13"/>
      <c r="E48" s="21"/>
      <c r="F48" s="20"/>
      <c r="G48" s="13">
        <v>2</v>
      </c>
      <c r="H48" s="254" t="s">
        <v>235</v>
      </c>
      <c r="I48" s="15" t="s">
        <v>236</v>
      </c>
      <c r="J48" s="16">
        <v>1</v>
      </c>
      <c r="K48" s="30"/>
      <c r="L48" s="39">
        <v>5</v>
      </c>
    </row>
    <row r="49" ht="15" spans="1:12">
      <c r="A49" s="251"/>
      <c r="B49" s="17"/>
      <c r="C49" s="13"/>
      <c r="D49" s="13"/>
      <c r="E49" s="21"/>
      <c r="F49" s="20"/>
      <c r="G49" s="13">
        <v>3</v>
      </c>
      <c r="H49" s="254" t="s">
        <v>237</v>
      </c>
      <c r="I49" s="15" t="s">
        <v>238</v>
      </c>
      <c r="J49" s="16">
        <v>1</v>
      </c>
      <c r="K49" s="30"/>
      <c r="L49" s="39">
        <v>5</v>
      </c>
    </row>
    <row r="50" ht="15" spans="1:12">
      <c r="A50" s="251"/>
      <c r="B50" s="17"/>
      <c r="C50" s="13"/>
      <c r="D50" s="13"/>
      <c r="E50" s="21"/>
      <c r="F50" s="20"/>
      <c r="G50" s="13">
        <v>4</v>
      </c>
      <c r="H50" s="254" t="s">
        <v>239</v>
      </c>
      <c r="I50" s="15" t="s">
        <v>240</v>
      </c>
      <c r="J50" s="16"/>
      <c r="K50" s="30"/>
      <c r="L50" s="39">
        <v>5</v>
      </c>
    </row>
    <row r="51" ht="15" spans="1:12">
      <c r="A51" s="251"/>
      <c r="B51" s="17"/>
      <c r="C51" s="13"/>
      <c r="D51" s="13"/>
      <c r="E51" s="21"/>
      <c r="F51" s="20"/>
      <c r="G51" s="13">
        <v>5</v>
      </c>
      <c r="H51" s="254" t="s">
        <v>239</v>
      </c>
      <c r="I51" s="15" t="s">
        <v>241</v>
      </c>
      <c r="J51" s="16"/>
      <c r="K51" s="30"/>
      <c r="L51" s="39"/>
    </row>
    <row r="52" ht="15" spans="1:12">
      <c r="A52" s="251"/>
      <c r="B52" s="17"/>
      <c r="C52" s="13"/>
      <c r="D52" s="13"/>
      <c r="E52" s="21"/>
      <c r="F52" s="20"/>
      <c r="G52" s="13">
        <v>6</v>
      </c>
      <c r="H52" s="254" t="s">
        <v>242</v>
      </c>
      <c r="I52" s="15" t="s">
        <v>63</v>
      </c>
      <c r="J52" s="16"/>
      <c r="K52" s="30"/>
      <c r="L52" s="39">
        <v>5</v>
      </c>
    </row>
    <row r="53" ht="15" spans="1:12">
      <c r="A53" s="251"/>
      <c r="B53" s="17"/>
      <c r="C53" s="13"/>
      <c r="D53" s="13"/>
      <c r="E53" s="33" t="s">
        <v>168</v>
      </c>
      <c r="F53" s="33"/>
      <c r="G53" s="33"/>
      <c r="H53" s="33"/>
      <c r="I53" s="33"/>
      <c r="J53" s="34"/>
      <c r="K53" s="35"/>
      <c r="L53" s="36">
        <f>SUM(L47:L52)</f>
        <v>20</v>
      </c>
    </row>
    <row r="54" ht="15.6" spans="1:12">
      <c r="A54" s="251"/>
      <c r="B54" s="17"/>
      <c r="C54" s="13"/>
      <c r="D54" s="13"/>
      <c r="E54" s="30" t="s">
        <v>169</v>
      </c>
      <c r="F54" s="30"/>
      <c r="G54" s="30"/>
      <c r="H54" s="37"/>
      <c r="I54" s="13"/>
      <c r="J54" s="38"/>
      <c r="K54" s="30"/>
      <c r="L54" s="39"/>
    </row>
    <row r="55" ht="15" spans="1:12">
      <c r="A55" s="265"/>
      <c r="B55" s="17"/>
      <c r="C55" s="13"/>
      <c r="D55" s="13"/>
      <c r="E55" s="30"/>
      <c r="F55" s="30"/>
      <c r="G55" s="30"/>
      <c r="H55" s="14"/>
      <c r="I55" s="30"/>
      <c r="J55" s="38"/>
      <c r="K55" s="30"/>
      <c r="L55" s="39"/>
    </row>
    <row r="56" ht="15" spans="1:12">
      <c r="A56" s="266" t="s">
        <v>243</v>
      </c>
      <c r="B56" s="17"/>
      <c r="C56" s="13"/>
      <c r="D56" s="13"/>
      <c r="E56" s="21"/>
      <c r="F56" s="20"/>
      <c r="G56" s="13">
        <v>1</v>
      </c>
      <c r="H56" s="254" t="s">
        <v>244</v>
      </c>
      <c r="I56" s="15" t="s">
        <v>225</v>
      </c>
      <c r="J56" s="16">
        <v>1</v>
      </c>
      <c r="K56" s="30"/>
      <c r="L56" s="39">
        <v>3</v>
      </c>
    </row>
    <row r="57" ht="15" spans="1:12">
      <c r="A57" s="251"/>
      <c r="B57" s="17"/>
      <c r="C57" s="13"/>
      <c r="D57" s="13"/>
      <c r="E57" s="21"/>
      <c r="F57" s="20"/>
      <c r="G57" s="13">
        <v>2</v>
      </c>
      <c r="H57" s="254"/>
      <c r="I57" s="15"/>
      <c r="J57" s="16"/>
      <c r="K57" s="30"/>
      <c r="L57" s="39"/>
    </row>
    <row r="58" ht="15" spans="1:12">
      <c r="A58" s="251"/>
      <c r="B58" s="17"/>
      <c r="C58" s="13"/>
      <c r="D58" s="13"/>
      <c r="E58" s="33" t="s">
        <v>168</v>
      </c>
      <c r="F58" s="33"/>
      <c r="G58" s="33"/>
      <c r="H58" s="33"/>
      <c r="I58" s="33"/>
      <c r="J58" s="34"/>
      <c r="K58" s="35"/>
      <c r="L58" s="36">
        <f>SUM(L56:L57)</f>
        <v>3</v>
      </c>
    </row>
    <row r="59" ht="15.6" spans="1:12">
      <c r="A59" s="251"/>
      <c r="B59" s="17"/>
      <c r="C59" s="13"/>
      <c r="D59" s="13"/>
      <c r="E59" s="30" t="s">
        <v>169</v>
      </c>
      <c r="F59" s="30"/>
      <c r="G59" s="30"/>
      <c r="H59" s="37"/>
      <c r="I59" s="13"/>
      <c r="J59" s="38"/>
      <c r="K59" s="30"/>
      <c r="L59" s="39"/>
    </row>
    <row r="60" ht="15" spans="1:12">
      <c r="A60" s="265"/>
      <c r="B60" s="17"/>
      <c r="C60" s="13"/>
      <c r="D60" s="13"/>
      <c r="E60" s="30"/>
      <c r="F60" s="30"/>
      <c r="G60" s="30"/>
      <c r="H60" s="14"/>
      <c r="I60" s="30"/>
      <c r="J60" s="38"/>
      <c r="K60" s="30"/>
      <c r="L60" s="39"/>
    </row>
  </sheetData>
  <mergeCells count="76">
    <mergeCell ref="E5:H5"/>
    <mergeCell ref="E11:H11"/>
    <mergeCell ref="E22:H22"/>
    <mergeCell ref="E28:H28"/>
    <mergeCell ref="E35:H35"/>
    <mergeCell ref="E44:H44"/>
    <mergeCell ref="E53:H53"/>
    <mergeCell ref="E58:H58"/>
    <mergeCell ref="A3:A7"/>
    <mergeCell ref="A8:A13"/>
    <mergeCell ref="A14:A24"/>
    <mergeCell ref="A25:A30"/>
    <mergeCell ref="A31:A37"/>
    <mergeCell ref="A38:A46"/>
    <mergeCell ref="A47:A55"/>
    <mergeCell ref="A56:A60"/>
    <mergeCell ref="B3:B7"/>
    <mergeCell ref="B8:B13"/>
    <mergeCell ref="B14:B24"/>
    <mergeCell ref="B25:B30"/>
    <mergeCell ref="B31:B37"/>
    <mergeCell ref="B38:B46"/>
    <mergeCell ref="B47:B55"/>
    <mergeCell ref="B56:B60"/>
    <mergeCell ref="C3:C7"/>
    <mergeCell ref="C8:C13"/>
    <mergeCell ref="C14:C24"/>
    <mergeCell ref="C25:C30"/>
    <mergeCell ref="C31:C37"/>
    <mergeCell ref="C38:C46"/>
    <mergeCell ref="C47:C55"/>
    <mergeCell ref="C56:C60"/>
    <mergeCell ref="D3:D7"/>
    <mergeCell ref="D8:D13"/>
    <mergeCell ref="D14:D24"/>
    <mergeCell ref="D25:D30"/>
    <mergeCell ref="D31:D37"/>
    <mergeCell ref="D38:D46"/>
    <mergeCell ref="D47:D55"/>
    <mergeCell ref="D56:D60"/>
    <mergeCell ref="E3:E4"/>
    <mergeCell ref="E6:E7"/>
    <mergeCell ref="E8:E10"/>
    <mergeCell ref="E12:E13"/>
    <mergeCell ref="E14:E16"/>
    <mergeCell ref="E23:E24"/>
    <mergeCell ref="E25:E27"/>
    <mergeCell ref="E29:E30"/>
    <mergeCell ref="E31:E34"/>
    <mergeCell ref="E36:E37"/>
    <mergeCell ref="E38:E43"/>
    <mergeCell ref="E45:E46"/>
    <mergeCell ref="E47:E52"/>
    <mergeCell ref="E54:E55"/>
    <mergeCell ref="E56:E57"/>
    <mergeCell ref="E59:E60"/>
    <mergeCell ref="F3:F4"/>
    <mergeCell ref="F6:F7"/>
    <mergeCell ref="F8:F9"/>
    <mergeCell ref="F12:F13"/>
    <mergeCell ref="F14:F16"/>
    <mergeCell ref="F23:F24"/>
    <mergeCell ref="F25:F27"/>
    <mergeCell ref="F29:F30"/>
    <mergeCell ref="F31:F34"/>
    <mergeCell ref="F36:F37"/>
    <mergeCell ref="F38:F43"/>
    <mergeCell ref="F45:F46"/>
    <mergeCell ref="F47:F52"/>
    <mergeCell ref="F54:F55"/>
    <mergeCell ref="F56:F57"/>
    <mergeCell ref="F59:F60"/>
    <mergeCell ref="G17:G19"/>
    <mergeCell ref="G20:G21"/>
    <mergeCell ref="H17:H19"/>
    <mergeCell ref="H20:H2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37"/>
  <sheetViews>
    <sheetView workbookViewId="0">
      <pane ySplit="1" topLeftCell="A2" activePane="bottomLeft" state="frozen"/>
      <selection/>
      <selection pane="bottomLeft" activeCell="F19" sqref="F19:F32"/>
    </sheetView>
  </sheetViews>
  <sheetFormatPr defaultColWidth="8.71296296296296" defaultRowHeight="13.2"/>
  <cols>
    <col min="1" max="1" width="22.4259259259259" style="223" customWidth="1"/>
    <col min="2" max="2" width="11.7222222222222" style="223" customWidth="1"/>
    <col min="3" max="7" width="9.14814814814815" style="223"/>
    <col min="8" max="8" width="59.7222222222222" style="223" customWidth="1"/>
    <col min="9" max="11" width="9.14814814814815" style="223"/>
    <col min="12" max="12" width="19.5740740740741" style="224" customWidth="1"/>
    <col min="13" max="16384" width="9.14814814814815" style="223"/>
  </cols>
  <sheetData>
    <row r="1" ht="69.6" spans="1:26">
      <c r="A1" s="225" t="s">
        <v>142</v>
      </c>
      <c r="B1" s="226" t="s">
        <v>6</v>
      </c>
      <c r="C1" s="225" t="s">
        <v>143</v>
      </c>
      <c r="D1" s="225" t="s">
        <v>144</v>
      </c>
      <c r="E1" s="226" t="s">
        <v>145</v>
      </c>
      <c r="F1" s="225" t="s">
        <v>146</v>
      </c>
      <c r="G1" s="225" t="s">
        <v>1</v>
      </c>
      <c r="H1" s="227" t="s">
        <v>147</v>
      </c>
      <c r="I1" s="225" t="s">
        <v>148</v>
      </c>
      <c r="J1" s="228" t="s">
        <v>149</v>
      </c>
      <c r="K1" s="225" t="s">
        <v>150</v>
      </c>
      <c r="L1" s="229" t="s">
        <v>151</v>
      </c>
      <c r="M1" s="230"/>
      <c r="N1" s="230"/>
      <c r="O1" s="230"/>
      <c r="P1" s="230"/>
      <c r="Q1" s="230"/>
      <c r="R1" s="230"/>
      <c r="S1" s="230"/>
      <c r="T1" s="230"/>
      <c r="U1" s="230"/>
      <c r="V1" s="230"/>
      <c r="W1" s="230"/>
      <c r="X1" s="230"/>
      <c r="Y1" s="230"/>
      <c r="Z1" s="230"/>
    </row>
    <row r="2" ht="15.6" spans="1:26">
      <c r="A2" s="225" t="s">
        <v>245</v>
      </c>
      <c r="B2" s="231" t="s">
        <v>60</v>
      </c>
      <c r="C2" s="232">
        <v>1</v>
      </c>
      <c r="D2" s="233"/>
      <c r="E2" s="234" t="s">
        <v>154</v>
      </c>
      <c r="F2" s="233" t="s">
        <v>189</v>
      </c>
      <c r="G2" s="233">
        <v>1</v>
      </c>
      <c r="H2" s="235" t="s">
        <v>246</v>
      </c>
      <c r="I2" s="15" t="s">
        <v>247</v>
      </c>
      <c r="J2" s="232">
        <v>0.99</v>
      </c>
      <c r="K2" s="234"/>
      <c r="L2" s="231">
        <v>3</v>
      </c>
    </row>
    <row r="3" ht="15.6" spans="1:26">
      <c r="A3" s="225"/>
      <c r="B3" s="231"/>
      <c r="C3" s="232"/>
      <c r="D3" s="233"/>
      <c r="E3" s="234"/>
      <c r="F3" s="233"/>
      <c r="G3" s="233">
        <v>2</v>
      </c>
      <c r="H3" s="236" t="s">
        <v>248</v>
      </c>
      <c r="I3" s="15" t="s">
        <v>249</v>
      </c>
      <c r="J3" s="232">
        <v>1</v>
      </c>
      <c r="K3" s="234"/>
      <c r="L3" s="231">
        <v>3</v>
      </c>
    </row>
    <row r="4" ht="30" spans="1:26">
      <c r="A4" s="225"/>
      <c r="B4" s="231"/>
      <c r="C4" s="232"/>
      <c r="D4" s="233"/>
      <c r="E4" s="234"/>
      <c r="F4" s="233"/>
      <c r="G4" s="233">
        <v>3</v>
      </c>
      <c r="H4" s="235" t="s">
        <v>250</v>
      </c>
      <c r="I4" s="15" t="s">
        <v>251</v>
      </c>
      <c r="J4" s="232">
        <v>1</v>
      </c>
      <c r="K4" s="234"/>
      <c r="L4" s="231">
        <v>3.5</v>
      </c>
    </row>
    <row r="5" ht="15.6" spans="1:26">
      <c r="A5" s="225"/>
      <c r="B5" s="231"/>
      <c r="C5" s="232"/>
      <c r="D5" s="233"/>
      <c r="E5" s="234"/>
      <c r="F5" s="233"/>
      <c r="G5" s="233">
        <v>4</v>
      </c>
      <c r="H5" s="235" t="s">
        <v>252</v>
      </c>
      <c r="I5" s="15" t="s">
        <v>253</v>
      </c>
      <c r="J5" s="232">
        <v>0.85</v>
      </c>
      <c r="K5" s="234"/>
      <c r="L5" s="231">
        <v>1</v>
      </c>
    </row>
    <row r="6" ht="15.6" spans="1:26">
      <c r="A6" s="225"/>
      <c r="B6" s="231"/>
      <c r="C6" s="232"/>
      <c r="D6" s="233"/>
      <c r="E6" s="234"/>
      <c r="F6" s="233"/>
      <c r="G6" s="233">
        <v>5</v>
      </c>
      <c r="H6" s="235" t="s">
        <v>254</v>
      </c>
      <c r="I6" s="15" t="s">
        <v>255</v>
      </c>
      <c r="J6" s="232"/>
      <c r="K6" s="234"/>
      <c r="L6" s="231">
        <v>2</v>
      </c>
    </row>
    <row r="7" ht="15.6" spans="1:26">
      <c r="A7" s="225"/>
      <c r="B7" s="231"/>
      <c r="C7" s="232"/>
      <c r="D7" s="233"/>
      <c r="E7" s="234"/>
      <c r="F7" s="233"/>
      <c r="G7" s="233">
        <v>6</v>
      </c>
      <c r="H7" s="235" t="s">
        <v>256</v>
      </c>
      <c r="I7" s="15" t="s">
        <v>257</v>
      </c>
      <c r="J7" s="232">
        <v>1</v>
      </c>
      <c r="K7" s="234"/>
      <c r="L7" s="231">
        <v>1.5</v>
      </c>
    </row>
    <row r="8" ht="15.6" spans="1:26">
      <c r="A8" s="225"/>
      <c r="B8" s="231"/>
      <c r="C8" s="232"/>
      <c r="D8" s="233"/>
      <c r="E8" s="234"/>
      <c r="F8" s="233"/>
      <c r="G8" s="233">
        <v>7</v>
      </c>
      <c r="H8" s="235" t="s">
        <v>258</v>
      </c>
      <c r="I8" s="15" t="s">
        <v>259</v>
      </c>
      <c r="J8" s="232">
        <v>1</v>
      </c>
      <c r="K8" s="234"/>
      <c r="L8" s="231">
        <v>2.5</v>
      </c>
    </row>
    <row r="9" ht="27" customHeight="1" spans="1:26">
      <c r="A9" s="225"/>
      <c r="B9" s="231"/>
      <c r="C9" s="232"/>
      <c r="D9" s="233"/>
      <c r="E9" s="33" t="s">
        <v>168</v>
      </c>
      <c r="F9" s="33"/>
      <c r="G9" s="33"/>
      <c r="H9" s="33"/>
      <c r="I9" s="33"/>
      <c r="J9" s="34"/>
      <c r="K9" s="35"/>
      <c r="L9" s="36">
        <f>SUM(L2:L8)</f>
        <v>16.5</v>
      </c>
    </row>
    <row r="10" ht="15.6" spans="1:26">
      <c r="A10" s="225"/>
      <c r="B10" s="231"/>
      <c r="C10" s="232"/>
      <c r="D10" s="233"/>
      <c r="E10" s="234" t="s">
        <v>169</v>
      </c>
      <c r="F10" s="234" t="s">
        <v>189</v>
      </c>
      <c r="G10" s="234">
        <v>1</v>
      </c>
      <c r="H10" s="237" t="s">
        <v>260</v>
      </c>
      <c r="I10" s="233" t="s">
        <v>247</v>
      </c>
      <c r="J10" s="238"/>
      <c r="K10" s="234"/>
      <c r="L10" s="239"/>
    </row>
    <row r="11" ht="30" spans="1:26">
      <c r="A11" s="240"/>
      <c r="B11" s="241"/>
      <c r="C11" s="242"/>
      <c r="D11" s="243"/>
      <c r="E11" s="244"/>
      <c r="F11" s="244"/>
      <c r="G11" s="234">
        <v>2</v>
      </c>
      <c r="H11" s="235" t="s">
        <v>250</v>
      </c>
      <c r="I11" s="233" t="s">
        <v>251</v>
      </c>
      <c r="J11" s="238"/>
      <c r="K11" s="234"/>
      <c r="L11" s="239"/>
    </row>
    <row r="12" ht="15" spans="1:26">
      <c r="A12" s="240"/>
      <c r="B12" s="241"/>
      <c r="C12" s="242"/>
      <c r="D12" s="243"/>
      <c r="E12" s="244"/>
      <c r="F12" s="244"/>
      <c r="G12" s="234">
        <v>3</v>
      </c>
      <c r="H12" s="236" t="s">
        <v>261</v>
      </c>
      <c r="I12" s="15" t="s">
        <v>249</v>
      </c>
      <c r="J12" s="232"/>
      <c r="K12" s="234"/>
      <c r="L12" s="239"/>
    </row>
    <row r="13" ht="15" spans="1:26">
      <c r="A13" s="240" t="s">
        <v>262</v>
      </c>
      <c r="B13" s="241" t="s">
        <v>63</v>
      </c>
      <c r="C13" s="242">
        <v>0.85</v>
      </c>
      <c r="D13" s="243"/>
      <c r="E13" s="244" t="s">
        <v>154</v>
      </c>
      <c r="F13" s="243" t="s">
        <v>77</v>
      </c>
      <c r="G13" s="233">
        <v>1</v>
      </c>
      <c r="H13" s="236" t="s">
        <v>263</v>
      </c>
      <c r="I13" s="15" t="s">
        <v>218</v>
      </c>
      <c r="J13" s="232">
        <v>0.95</v>
      </c>
      <c r="K13" s="234"/>
      <c r="L13" s="239">
        <v>2.5</v>
      </c>
    </row>
    <row r="14" ht="15" spans="1:26">
      <c r="A14" s="245"/>
      <c r="B14" s="246"/>
      <c r="C14" s="247"/>
      <c r="D14" s="248"/>
      <c r="E14" s="249"/>
      <c r="F14" s="248"/>
      <c r="G14" s="233">
        <v>2</v>
      </c>
      <c r="H14" s="235" t="s">
        <v>264</v>
      </c>
      <c r="I14" s="15" t="s">
        <v>257</v>
      </c>
      <c r="J14" s="232">
        <v>1</v>
      </c>
      <c r="K14" s="234"/>
      <c r="L14" s="239">
        <v>2</v>
      </c>
    </row>
    <row r="15" ht="15" spans="1:26">
      <c r="A15" s="245"/>
      <c r="B15" s="246"/>
      <c r="C15" s="247"/>
      <c r="D15" s="248"/>
      <c r="E15" s="249"/>
      <c r="F15" s="248"/>
      <c r="G15" s="233"/>
      <c r="H15" s="235"/>
      <c r="I15" s="15" t="s">
        <v>259</v>
      </c>
      <c r="J15" s="232"/>
      <c r="K15" s="234"/>
      <c r="L15" s="239">
        <v>2.5</v>
      </c>
    </row>
    <row r="16" ht="15" spans="1:26">
      <c r="A16" s="245"/>
      <c r="B16" s="246"/>
      <c r="C16" s="247"/>
      <c r="D16" s="248"/>
      <c r="E16" s="33" t="s">
        <v>168</v>
      </c>
      <c r="F16" s="33"/>
      <c r="G16" s="33"/>
      <c r="H16" s="33"/>
      <c r="I16" s="33"/>
      <c r="J16" s="34"/>
      <c r="K16" s="35"/>
      <c r="L16" s="36">
        <f>SUM(L13:L15)</f>
        <v>7</v>
      </c>
    </row>
    <row r="17" ht="15" spans="1:12">
      <c r="A17" s="245"/>
      <c r="B17" s="246"/>
      <c r="C17" s="247"/>
      <c r="D17" s="248"/>
      <c r="E17" s="244" t="s">
        <v>169</v>
      </c>
      <c r="F17" s="243" t="s">
        <v>77</v>
      </c>
      <c r="G17" s="233">
        <v>1</v>
      </c>
      <c r="H17" s="236" t="s">
        <v>265</v>
      </c>
      <c r="I17" s="15" t="s">
        <v>218</v>
      </c>
      <c r="J17" s="250"/>
      <c r="K17" s="234"/>
      <c r="L17" s="239"/>
    </row>
    <row r="18" ht="15" spans="1:12">
      <c r="A18" s="245"/>
      <c r="B18" s="246"/>
      <c r="C18" s="247"/>
      <c r="D18" s="248"/>
      <c r="E18" s="244"/>
      <c r="F18" s="243"/>
      <c r="G18" s="233">
        <v>2</v>
      </c>
      <c r="H18" s="235" t="s">
        <v>266</v>
      </c>
      <c r="I18" s="15" t="s">
        <v>259</v>
      </c>
      <c r="J18" s="232"/>
      <c r="K18" s="234"/>
      <c r="L18" s="239"/>
    </row>
    <row r="19" ht="27" customHeight="1" spans="1:12">
      <c r="A19" s="225" t="s">
        <v>267</v>
      </c>
      <c r="B19" s="231" t="s">
        <v>66</v>
      </c>
      <c r="C19" s="233"/>
      <c r="D19" s="233"/>
      <c r="E19" s="234" t="s">
        <v>154</v>
      </c>
      <c r="F19" s="233" t="s">
        <v>68</v>
      </c>
      <c r="G19" s="233">
        <v>1</v>
      </c>
      <c r="H19" s="235" t="s">
        <v>268</v>
      </c>
      <c r="I19" s="15" t="s">
        <v>269</v>
      </c>
      <c r="J19" s="232">
        <v>1</v>
      </c>
      <c r="K19" s="234"/>
      <c r="L19" s="239">
        <v>1</v>
      </c>
    </row>
    <row r="20" ht="15" spans="1:12">
      <c r="A20" s="225"/>
      <c r="B20" s="231"/>
      <c r="C20" s="233"/>
      <c r="D20" s="233"/>
      <c r="E20" s="234"/>
      <c r="F20" s="233"/>
      <c r="G20" s="233"/>
      <c r="H20" s="235"/>
      <c r="I20" s="15" t="s">
        <v>41</v>
      </c>
      <c r="J20" s="232"/>
      <c r="K20" s="234"/>
      <c r="L20" s="239">
        <v>1</v>
      </c>
    </row>
    <row r="21" ht="15" spans="1:12">
      <c r="A21" s="225"/>
      <c r="B21" s="231"/>
      <c r="C21" s="233"/>
      <c r="D21" s="233"/>
      <c r="E21" s="234"/>
      <c r="F21" s="233"/>
      <c r="G21" s="233"/>
      <c r="H21" s="235"/>
      <c r="I21" s="15" t="s">
        <v>178</v>
      </c>
      <c r="J21" s="232"/>
      <c r="K21" s="234"/>
      <c r="L21" s="239">
        <v>1.7</v>
      </c>
    </row>
    <row r="22" ht="15" spans="1:12">
      <c r="A22" s="225"/>
      <c r="B22" s="231"/>
      <c r="C22" s="233"/>
      <c r="D22" s="233"/>
      <c r="E22" s="234"/>
      <c r="F22" s="233"/>
      <c r="G22" s="233"/>
      <c r="H22" s="235"/>
      <c r="I22" s="15" t="s">
        <v>251</v>
      </c>
      <c r="J22" s="232"/>
      <c r="K22" s="234"/>
      <c r="L22" s="239">
        <v>0.5</v>
      </c>
    </row>
    <row r="23" ht="15" spans="1:12">
      <c r="A23" s="225"/>
      <c r="B23" s="231"/>
      <c r="C23" s="233"/>
      <c r="D23" s="233"/>
      <c r="E23" s="234"/>
      <c r="F23" s="233"/>
      <c r="G23" s="233"/>
      <c r="H23" s="235"/>
      <c r="I23" s="15" t="s">
        <v>60</v>
      </c>
      <c r="J23" s="232"/>
      <c r="K23" s="234"/>
      <c r="L23" s="239">
        <v>3</v>
      </c>
    </row>
    <row r="24" ht="15" spans="1:12">
      <c r="A24" s="225"/>
      <c r="B24" s="231"/>
      <c r="C24" s="233"/>
      <c r="D24" s="233"/>
      <c r="E24" s="234"/>
      <c r="F24" s="233"/>
      <c r="G24" s="233"/>
      <c r="H24" s="235"/>
      <c r="I24" s="15" t="s">
        <v>270</v>
      </c>
      <c r="J24" s="232">
        <v>1</v>
      </c>
      <c r="K24" s="234"/>
      <c r="L24" s="239">
        <v>4.5</v>
      </c>
    </row>
    <row r="25" ht="15" spans="1:12">
      <c r="A25" s="225"/>
      <c r="B25" s="231"/>
      <c r="C25" s="233"/>
      <c r="D25" s="233"/>
      <c r="E25" s="234"/>
      <c r="F25" s="233"/>
      <c r="G25" s="233">
        <v>2</v>
      </c>
      <c r="H25" s="235" t="s">
        <v>271</v>
      </c>
      <c r="I25" s="15" t="s">
        <v>60</v>
      </c>
      <c r="J25" s="232">
        <v>1</v>
      </c>
      <c r="K25" s="234"/>
      <c r="L25" s="239">
        <v>0.5</v>
      </c>
    </row>
    <row r="26" ht="15" spans="1:12">
      <c r="A26" s="225"/>
      <c r="B26" s="231"/>
      <c r="C26" s="233"/>
      <c r="D26" s="233"/>
      <c r="E26" s="234"/>
      <c r="F26" s="233"/>
      <c r="G26" s="233"/>
      <c r="H26" s="235"/>
      <c r="I26" s="15" t="s">
        <v>251</v>
      </c>
      <c r="J26" s="232"/>
      <c r="K26" s="234"/>
      <c r="L26" s="239">
        <v>0.5</v>
      </c>
    </row>
    <row r="27" ht="15" spans="1:12">
      <c r="A27" s="225"/>
      <c r="B27" s="231"/>
      <c r="C27" s="233"/>
      <c r="D27" s="233"/>
      <c r="E27" s="234"/>
      <c r="F27" s="233"/>
      <c r="G27" s="233">
        <v>3</v>
      </c>
      <c r="H27" s="235" t="s">
        <v>272</v>
      </c>
      <c r="I27" s="15" t="s">
        <v>253</v>
      </c>
      <c r="J27" s="232">
        <v>1</v>
      </c>
      <c r="K27" s="234"/>
      <c r="L27" s="239">
        <v>4</v>
      </c>
    </row>
    <row r="28" ht="15" spans="1:12">
      <c r="A28" s="225"/>
      <c r="B28" s="231"/>
      <c r="C28" s="233"/>
      <c r="D28" s="233"/>
      <c r="E28" s="234"/>
      <c r="F28" s="233"/>
      <c r="G28" s="233"/>
      <c r="H28" s="235"/>
      <c r="I28" s="15" t="s">
        <v>257</v>
      </c>
      <c r="J28" s="232"/>
      <c r="K28" s="234"/>
      <c r="L28" s="239">
        <v>3</v>
      </c>
    </row>
    <row r="29" ht="15" spans="1:12">
      <c r="A29" s="225"/>
      <c r="B29" s="231"/>
      <c r="C29" s="233"/>
      <c r="D29" s="233"/>
      <c r="E29" s="234"/>
      <c r="F29" s="233"/>
      <c r="G29" s="233"/>
      <c r="H29" s="235"/>
      <c r="I29" s="15" t="s">
        <v>269</v>
      </c>
      <c r="J29" s="232"/>
      <c r="K29" s="234"/>
      <c r="L29" s="239">
        <v>2</v>
      </c>
    </row>
    <row r="30" ht="15" spans="1:12">
      <c r="A30" s="225"/>
      <c r="B30" s="231"/>
      <c r="C30" s="233"/>
      <c r="D30" s="233"/>
      <c r="E30" s="234"/>
      <c r="F30" s="233"/>
      <c r="G30" s="233"/>
      <c r="H30" s="235"/>
      <c r="I30" s="15" t="s">
        <v>273</v>
      </c>
      <c r="J30" s="232"/>
      <c r="K30" s="234"/>
      <c r="L30" s="239">
        <v>1</v>
      </c>
    </row>
    <row r="31" ht="15" spans="1:12">
      <c r="A31" s="225"/>
      <c r="B31" s="231"/>
      <c r="C31" s="233"/>
      <c r="D31" s="233"/>
      <c r="E31" s="234"/>
      <c r="F31" s="233"/>
      <c r="G31" s="233"/>
      <c r="H31" s="235"/>
      <c r="I31" s="15" t="s">
        <v>60</v>
      </c>
      <c r="J31" s="232"/>
      <c r="K31" s="234"/>
      <c r="L31" s="239">
        <v>0.5</v>
      </c>
    </row>
    <row r="32" ht="15" spans="1:12">
      <c r="A32" s="225"/>
      <c r="B32" s="231"/>
      <c r="C32" s="233"/>
      <c r="D32" s="233"/>
      <c r="E32" s="234"/>
      <c r="F32" s="233"/>
      <c r="G32" s="233"/>
      <c r="H32" s="235"/>
      <c r="I32" s="15" t="s">
        <v>251</v>
      </c>
      <c r="J32" s="232"/>
      <c r="K32" s="234"/>
      <c r="L32" s="239">
        <v>0.5</v>
      </c>
    </row>
    <row r="33" ht="15" spans="1:12">
      <c r="A33" s="225"/>
      <c r="B33" s="231"/>
      <c r="C33" s="233"/>
      <c r="D33" s="233"/>
      <c r="E33" s="33" t="s">
        <v>168</v>
      </c>
      <c r="F33" s="33"/>
      <c r="G33" s="33"/>
      <c r="H33" s="33"/>
      <c r="I33" s="33"/>
      <c r="J33" s="34"/>
      <c r="K33" s="35"/>
      <c r="L33" s="36">
        <f>SUM(L19:L32)</f>
        <v>23.7</v>
      </c>
    </row>
    <row r="34" ht="15" spans="1:12">
      <c r="A34" s="225"/>
      <c r="B34" s="231"/>
      <c r="C34" s="233"/>
      <c r="D34" s="233"/>
      <c r="E34" s="234" t="s">
        <v>169</v>
      </c>
      <c r="F34" s="234" t="s">
        <v>68</v>
      </c>
      <c r="G34" s="233">
        <v>1</v>
      </c>
      <c r="H34" s="236" t="s">
        <v>274</v>
      </c>
      <c r="I34" s="15" t="s">
        <v>60</v>
      </c>
      <c r="J34" s="238"/>
      <c r="K34" s="234"/>
      <c r="L34" s="239"/>
    </row>
    <row r="35" ht="15" spans="1:12">
      <c r="A35" s="225"/>
      <c r="B35" s="231"/>
      <c r="C35" s="233"/>
      <c r="D35" s="233"/>
      <c r="E35" s="234"/>
      <c r="F35" s="234"/>
      <c r="G35" s="233">
        <v>2</v>
      </c>
      <c r="H35" s="235" t="s">
        <v>275</v>
      </c>
      <c r="I35" s="15" t="s">
        <v>60</v>
      </c>
      <c r="J35" s="238"/>
      <c r="K35" s="234"/>
      <c r="L35" s="239"/>
    </row>
    <row r="36" ht="15" spans="1:12">
      <c r="A36" s="225"/>
      <c r="B36" s="231"/>
      <c r="C36" s="233"/>
      <c r="D36" s="233"/>
      <c r="E36" s="234"/>
      <c r="F36" s="234"/>
      <c r="G36" s="233">
        <v>3</v>
      </c>
      <c r="H36" s="235" t="s">
        <v>276</v>
      </c>
      <c r="I36" s="15" t="s">
        <v>251</v>
      </c>
      <c r="J36" s="238"/>
      <c r="K36" s="234"/>
      <c r="L36" s="239"/>
    </row>
    <row r="37" ht="15" spans="1:12">
      <c r="A37" s="225"/>
      <c r="B37" s="231"/>
      <c r="C37" s="233"/>
      <c r="D37" s="233"/>
      <c r="E37" s="234"/>
      <c r="F37" s="234"/>
      <c r="G37" s="233">
        <v>4</v>
      </c>
      <c r="H37" s="235" t="s">
        <v>277</v>
      </c>
      <c r="I37" s="15" t="s">
        <v>60</v>
      </c>
      <c r="J37" s="238"/>
      <c r="K37" s="234"/>
      <c r="L37" s="239"/>
    </row>
  </sheetData>
  <mergeCells count="40">
    <mergeCell ref="E9:H9"/>
    <mergeCell ref="E16:H16"/>
    <mergeCell ref="E33:H33"/>
    <mergeCell ref="A2:A12"/>
    <mergeCell ref="A13:A18"/>
    <mergeCell ref="A19:A37"/>
    <mergeCell ref="B2:B12"/>
    <mergeCell ref="B13:B18"/>
    <mergeCell ref="B19:B37"/>
    <mergeCell ref="C2:C12"/>
    <mergeCell ref="C13:C18"/>
    <mergeCell ref="C19:C37"/>
    <mergeCell ref="D2:D12"/>
    <mergeCell ref="D13:D18"/>
    <mergeCell ref="D19:D37"/>
    <mergeCell ref="E2:E8"/>
    <mergeCell ref="E10:E12"/>
    <mergeCell ref="E13:E15"/>
    <mergeCell ref="E17:E18"/>
    <mergeCell ref="E19:E32"/>
    <mergeCell ref="E34:E37"/>
    <mergeCell ref="F2:F8"/>
    <mergeCell ref="F10:F12"/>
    <mergeCell ref="F13:F15"/>
    <mergeCell ref="F17:F18"/>
    <mergeCell ref="F19:F32"/>
    <mergeCell ref="F34:F37"/>
    <mergeCell ref="G14:G15"/>
    <mergeCell ref="G19:G24"/>
    <mergeCell ref="G25:G26"/>
    <mergeCell ref="G27:G32"/>
    <mergeCell ref="H14:H15"/>
    <mergeCell ref="H19:H24"/>
    <mergeCell ref="H25:H26"/>
    <mergeCell ref="H27:H32"/>
    <mergeCell ref="J5:J6"/>
    <mergeCell ref="J14:J15"/>
    <mergeCell ref="J19:J23"/>
    <mergeCell ref="J25:J26"/>
    <mergeCell ref="J27:J32"/>
  </mergeCell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7"/>
  <sheetViews>
    <sheetView workbookViewId="0">
      <pane ySplit="1" topLeftCell="A2" activePane="bottomLeft" state="frozen"/>
      <selection/>
      <selection pane="bottomLeft" activeCell="H15" sqref="H15"/>
    </sheetView>
  </sheetViews>
  <sheetFormatPr defaultColWidth="9.13888888888889" defaultRowHeight="13.2"/>
  <cols>
    <col min="1" max="1" width="22.4259259259259" style="1" customWidth="1"/>
    <col min="2" max="2" width="11.712962962963" style="1" customWidth="1"/>
    <col min="3" max="3" width="12.5" style="1"/>
    <col min="4"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142</v>
      </c>
      <c r="B1" s="4" t="s">
        <v>6</v>
      </c>
      <c r="C1" s="3" t="s">
        <v>143</v>
      </c>
      <c r="D1" s="3" t="s">
        <v>144</v>
      </c>
      <c r="E1" s="4" t="s">
        <v>145</v>
      </c>
      <c r="F1" s="3" t="s">
        <v>146</v>
      </c>
      <c r="G1" s="3" t="s">
        <v>1</v>
      </c>
      <c r="H1" s="5" t="s">
        <v>147</v>
      </c>
      <c r="I1" s="3" t="s">
        <v>148</v>
      </c>
      <c r="J1" s="6" t="s">
        <v>149</v>
      </c>
      <c r="K1" s="3" t="s">
        <v>150</v>
      </c>
      <c r="L1" s="7" t="s">
        <v>151</v>
      </c>
      <c r="M1" s="8"/>
      <c r="N1" s="8"/>
      <c r="O1" s="8"/>
      <c r="P1" s="8"/>
      <c r="Q1" s="8"/>
      <c r="R1" s="8"/>
      <c r="S1" s="8"/>
      <c r="T1" s="8"/>
      <c r="U1" s="8"/>
      <c r="V1" s="8"/>
      <c r="W1" s="8"/>
      <c r="X1" s="8"/>
      <c r="Y1" s="8"/>
      <c r="Z1" s="8"/>
    </row>
    <row r="2" ht="15" spans="1:26">
      <c r="A2" s="172" t="s">
        <v>278</v>
      </c>
      <c r="B2" s="173" t="s">
        <v>71</v>
      </c>
      <c r="C2" s="174" t="s">
        <v>279</v>
      </c>
      <c r="D2" s="175"/>
      <c r="E2" s="176" t="s">
        <v>154</v>
      </c>
      <c r="F2" s="175" t="s">
        <v>77</v>
      </c>
      <c r="G2" s="27">
        <v>1</v>
      </c>
      <c r="H2" s="100"/>
      <c r="I2" s="177"/>
      <c r="J2" s="101"/>
      <c r="K2" s="178"/>
      <c r="L2" s="179"/>
    </row>
    <row r="3" ht="15" spans="1:26">
      <c r="A3" s="180"/>
      <c r="B3" s="181"/>
      <c r="C3" s="182"/>
      <c r="D3" s="178"/>
      <c r="E3" s="183"/>
      <c r="F3" s="178"/>
      <c r="G3" s="13">
        <v>2</v>
      </c>
      <c r="H3" s="103"/>
      <c r="I3" s="177"/>
      <c r="J3" s="101"/>
      <c r="K3" s="178"/>
      <c r="L3" s="179"/>
    </row>
    <row r="4" ht="15" spans="1:26">
      <c r="A4" s="180"/>
      <c r="B4" s="181"/>
      <c r="C4" s="182"/>
      <c r="D4" s="178"/>
      <c r="E4" s="184"/>
      <c r="F4" s="185"/>
      <c r="G4" s="11">
        <v>3</v>
      </c>
      <c r="H4" s="186"/>
      <c r="I4" s="177"/>
      <c r="J4" s="101"/>
      <c r="K4" s="177"/>
      <c r="L4" s="179"/>
    </row>
    <row r="5" ht="15" spans="1:26">
      <c r="A5" s="180"/>
      <c r="B5" s="181"/>
      <c r="C5" s="182"/>
      <c r="D5" s="178"/>
      <c r="E5" s="187" t="s">
        <v>168</v>
      </c>
      <c r="F5" s="188"/>
      <c r="G5" s="188"/>
      <c r="H5" s="189"/>
      <c r="I5" s="190"/>
      <c r="J5" s="191"/>
      <c r="K5" s="192"/>
      <c r="L5" s="193">
        <f>SUM(L2:L4)</f>
        <v>0</v>
      </c>
    </row>
    <row r="6" ht="15.6" spans="1:26">
      <c r="A6" s="180"/>
      <c r="B6" s="181"/>
      <c r="C6" s="182"/>
      <c r="D6" s="178"/>
      <c r="E6" s="176" t="s">
        <v>169</v>
      </c>
      <c r="F6" s="194" t="s">
        <v>77</v>
      </c>
      <c r="G6" s="27">
        <v>1</v>
      </c>
      <c r="H6" s="195"/>
      <c r="I6" s="178"/>
      <c r="J6" s="196"/>
      <c r="K6" s="183"/>
      <c r="L6" s="179"/>
    </row>
    <row r="7" ht="15.6" spans="1:26">
      <c r="A7" s="180"/>
      <c r="B7" s="181"/>
      <c r="C7" s="182"/>
      <c r="D7" s="178"/>
      <c r="E7" s="183"/>
      <c r="F7" s="197"/>
      <c r="G7" s="13">
        <v>2</v>
      </c>
      <c r="H7" s="198"/>
      <c r="I7" s="183"/>
      <c r="J7" s="196"/>
      <c r="K7" s="183"/>
      <c r="L7" s="179"/>
    </row>
    <row r="8" ht="105" spans="1:26">
      <c r="A8" s="172" t="s">
        <v>280</v>
      </c>
      <c r="B8" s="173" t="s">
        <v>71</v>
      </c>
      <c r="C8" s="174" t="s">
        <v>281</v>
      </c>
      <c r="D8" s="175"/>
      <c r="E8" s="176" t="s">
        <v>154</v>
      </c>
      <c r="F8" s="175" t="s">
        <v>77</v>
      </c>
      <c r="G8" s="13">
        <v>1</v>
      </c>
      <c r="H8" s="199" t="s">
        <v>282</v>
      </c>
      <c r="I8" s="200" t="s">
        <v>83</v>
      </c>
      <c r="J8" s="101">
        <v>1</v>
      </c>
      <c r="K8" s="178"/>
      <c r="L8" s="179">
        <v>2</v>
      </c>
    </row>
    <row r="9" ht="15" spans="1:26">
      <c r="A9" s="172"/>
      <c r="B9" s="173"/>
      <c r="C9" s="174"/>
      <c r="D9" s="175"/>
      <c r="E9" s="176"/>
      <c r="F9" s="175"/>
      <c r="G9" s="13">
        <v>2</v>
      </c>
      <c r="H9" s="201" t="s">
        <v>283</v>
      </c>
      <c r="I9" s="200" t="s">
        <v>284</v>
      </c>
      <c r="J9" s="101">
        <v>0.7</v>
      </c>
      <c r="K9" s="178"/>
      <c r="L9" s="179">
        <v>1</v>
      </c>
    </row>
    <row r="10" ht="18" customHeight="1" spans="1:26">
      <c r="A10" s="172"/>
      <c r="B10" s="173"/>
      <c r="C10" s="174"/>
      <c r="D10" s="175"/>
      <c r="E10" s="176"/>
      <c r="F10" s="175"/>
      <c r="G10" s="13">
        <v>3</v>
      </c>
      <c r="H10" s="202"/>
      <c r="I10" s="200" t="s">
        <v>71</v>
      </c>
      <c r="J10" s="101">
        <v>0.7</v>
      </c>
      <c r="K10" s="178"/>
      <c r="L10" s="179">
        <v>1</v>
      </c>
    </row>
    <row r="11" ht="15" spans="1:26">
      <c r="A11" s="172"/>
      <c r="B11" s="173"/>
      <c r="C11" s="174"/>
      <c r="D11" s="175"/>
      <c r="E11" s="176"/>
      <c r="F11" s="175"/>
      <c r="G11" s="13">
        <v>4</v>
      </c>
      <c r="H11" s="202"/>
      <c r="I11" s="200" t="s">
        <v>285</v>
      </c>
      <c r="J11" s="101">
        <v>0.7</v>
      </c>
      <c r="K11" s="178"/>
      <c r="L11" s="179">
        <v>4</v>
      </c>
    </row>
    <row r="12" ht="15" spans="1:26">
      <c r="A12" s="172"/>
      <c r="B12" s="173"/>
      <c r="C12" s="174"/>
      <c r="D12" s="175"/>
      <c r="E12" s="176"/>
      <c r="F12" s="175"/>
      <c r="G12" s="13">
        <v>5</v>
      </c>
      <c r="H12" s="203"/>
      <c r="I12" s="200" t="s">
        <v>181</v>
      </c>
      <c r="J12" s="101">
        <v>0.7</v>
      </c>
      <c r="K12" s="178"/>
      <c r="L12" s="179">
        <v>2</v>
      </c>
    </row>
    <row r="13" ht="15" spans="1:26">
      <c r="A13" s="172"/>
      <c r="B13" s="173"/>
      <c r="C13" s="174"/>
      <c r="D13" s="175"/>
      <c r="E13" s="204" t="s">
        <v>168</v>
      </c>
      <c r="F13" s="204"/>
      <c r="G13" s="204"/>
      <c r="H13" s="204"/>
      <c r="I13" s="204"/>
      <c r="J13" s="191"/>
      <c r="K13" s="192"/>
      <c r="L13" s="193">
        <f>SUM(L8:L12)</f>
        <v>10</v>
      </c>
    </row>
    <row r="14" ht="15" spans="1:26">
      <c r="A14" s="172"/>
      <c r="B14" s="173"/>
      <c r="C14" s="174"/>
      <c r="D14" s="175"/>
      <c r="E14" s="183" t="s">
        <v>169</v>
      </c>
      <c r="F14" s="183" t="s">
        <v>77</v>
      </c>
      <c r="G14" s="13">
        <v>1</v>
      </c>
      <c r="H14" s="205"/>
      <c r="I14" s="200"/>
      <c r="J14" s="206"/>
      <c r="K14" s="183"/>
      <c r="L14" s="179"/>
    </row>
    <row r="15" ht="15" spans="1:26">
      <c r="A15" s="172"/>
      <c r="B15" s="173"/>
      <c r="C15" s="174"/>
      <c r="D15" s="175"/>
      <c r="E15" s="183"/>
      <c r="F15" s="183"/>
      <c r="G15" s="13">
        <v>2</v>
      </c>
      <c r="H15" s="205"/>
      <c r="I15" s="200"/>
      <c r="J15" s="206"/>
      <c r="K15" s="183"/>
      <c r="L15" s="179"/>
    </row>
    <row r="16" ht="32" customHeight="1" spans="1:26">
      <c r="A16" s="180" t="s">
        <v>286</v>
      </c>
      <c r="B16" s="181" t="s">
        <v>71</v>
      </c>
      <c r="C16" s="182" t="s">
        <v>287</v>
      </c>
      <c r="D16" s="178"/>
      <c r="E16" s="184" t="s">
        <v>154</v>
      </c>
      <c r="F16" s="185" t="s">
        <v>77</v>
      </c>
      <c r="G16" s="13">
        <v>1</v>
      </c>
      <c r="H16" s="207" t="s">
        <v>288</v>
      </c>
      <c r="I16" s="200" t="s">
        <v>71</v>
      </c>
      <c r="J16" s="101">
        <v>0.7</v>
      </c>
      <c r="K16" s="178"/>
      <c r="L16" s="179">
        <v>3.5</v>
      </c>
    </row>
    <row r="17" ht="15" spans="1:12">
      <c r="A17" s="180"/>
      <c r="B17" s="181"/>
      <c r="C17" s="182"/>
      <c r="D17" s="178"/>
      <c r="E17" s="184"/>
      <c r="F17" s="185"/>
      <c r="G17" s="13">
        <v>2</v>
      </c>
      <c r="H17" s="208"/>
      <c r="I17" s="200"/>
      <c r="J17" s="101"/>
      <c r="K17" s="178"/>
      <c r="L17" s="179"/>
    </row>
    <row r="18" ht="27" customHeight="1" spans="1:12">
      <c r="A18" s="180"/>
      <c r="B18" s="181"/>
      <c r="C18" s="182"/>
      <c r="D18" s="178"/>
      <c r="E18" s="184"/>
      <c r="F18" s="185"/>
      <c r="G18" s="13">
        <v>3</v>
      </c>
      <c r="H18" s="209"/>
      <c r="I18" s="200"/>
      <c r="J18" s="101"/>
      <c r="K18" s="178"/>
      <c r="L18" s="179"/>
    </row>
    <row r="19" ht="15" spans="1:12">
      <c r="A19" s="180"/>
      <c r="B19" s="181"/>
      <c r="C19" s="182"/>
      <c r="D19" s="178"/>
      <c r="E19" s="204" t="s">
        <v>168</v>
      </c>
      <c r="F19" s="204"/>
      <c r="G19" s="204"/>
      <c r="H19" s="204"/>
      <c r="I19" s="204"/>
      <c r="J19" s="191"/>
      <c r="K19" s="192"/>
      <c r="L19" s="193">
        <f>SUM(L16:L18)</f>
        <v>3.5</v>
      </c>
    </row>
    <row r="20" ht="15" spans="1:12">
      <c r="A20" s="180"/>
      <c r="B20" s="181"/>
      <c r="C20" s="182"/>
      <c r="D20" s="178"/>
      <c r="E20" s="183" t="s">
        <v>169</v>
      </c>
      <c r="F20" s="183" t="s">
        <v>77</v>
      </c>
      <c r="G20" s="13">
        <v>1</v>
      </c>
      <c r="H20" s="205"/>
      <c r="I20" s="200"/>
      <c r="J20" s="206"/>
      <c r="K20" s="183"/>
      <c r="L20" s="179"/>
    </row>
    <row r="21" ht="15" spans="1:12">
      <c r="A21" s="180"/>
      <c r="B21" s="181"/>
      <c r="C21" s="182"/>
      <c r="D21" s="178"/>
      <c r="E21" s="183"/>
      <c r="F21" s="183"/>
      <c r="G21" s="13">
        <v>2</v>
      </c>
      <c r="H21" s="210"/>
      <c r="I21" s="200"/>
      <c r="J21" s="206"/>
      <c r="K21" s="183"/>
      <c r="L21" s="179"/>
    </row>
    <row r="22" ht="15" spans="1:12">
      <c r="A22" s="211" t="s">
        <v>289</v>
      </c>
      <c r="B22" s="212" t="s">
        <v>83</v>
      </c>
      <c r="C22" s="213" t="s">
        <v>279</v>
      </c>
      <c r="D22" s="214"/>
      <c r="E22" s="215" t="s">
        <v>154</v>
      </c>
      <c r="F22" s="214" t="s">
        <v>77</v>
      </c>
      <c r="G22" s="13">
        <v>1</v>
      </c>
      <c r="H22" s="201"/>
      <c r="I22" s="200"/>
      <c r="J22" s="101"/>
      <c r="K22" s="216"/>
      <c r="L22" s="90"/>
    </row>
    <row r="23" ht="15" spans="1:12">
      <c r="A23" s="211"/>
      <c r="B23" s="212"/>
      <c r="C23" s="213"/>
      <c r="D23" s="214"/>
      <c r="E23" s="215"/>
      <c r="F23" s="214"/>
      <c r="G23" s="13">
        <v>2</v>
      </c>
      <c r="H23" s="202"/>
      <c r="I23" s="200"/>
      <c r="J23" s="101"/>
      <c r="K23" s="216"/>
      <c r="L23" s="90"/>
    </row>
    <row r="24" ht="15" spans="1:12">
      <c r="A24" s="211"/>
      <c r="B24" s="212"/>
      <c r="C24" s="213"/>
      <c r="D24" s="214"/>
      <c r="E24" s="215"/>
      <c r="F24" s="214"/>
      <c r="G24" s="13">
        <v>3</v>
      </c>
      <c r="H24" s="217"/>
      <c r="I24" s="200"/>
      <c r="J24" s="88"/>
      <c r="K24" s="216"/>
      <c r="L24" s="90"/>
    </row>
    <row r="25" ht="15" spans="1:12">
      <c r="A25" s="211"/>
      <c r="B25" s="212"/>
      <c r="C25" s="213"/>
      <c r="D25" s="214"/>
      <c r="E25" s="218" t="s">
        <v>168</v>
      </c>
      <c r="F25" s="188"/>
      <c r="G25" s="188"/>
      <c r="H25" s="219"/>
      <c r="I25" s="34"/>
      <c r="J25" s="34"/>
      <c r="K25" s="220"/>
      <c r="L25" s="36">
        <f>SUM(L22:L24)</f>
        <v>0</v>
      </c>
    </row>
    <row r="26" ht="15" spans="1:12">
      <c r="A26" s="211"/>
      <c r="B26" s="212"/>
      <c r="C26" s="213"/>
      <c r="D26" s="214"/>
      <c r="E26" s="215" t="s">
        <v>169</v>
      </c>
      <c r="F26" s="215" t="s">
        <v>77</v>
      </c>
      <c r="G26" s="13">
        <v>1</v>
      </c>
      <c r="H26" s="221"/>
      <c r="I26" s="200"/>
      <c r="J26" s="88"/>
      <c r="K26" s="215"/>
      <c r="L26" s="90"/>
    </row>
    <row r="27" ht="15" spans="1:12">
      <c r="A27" s="211"/>
      <c r="B27" s="212"/>
      <c r="C27" s="213"/>
      <c r="D27" s="214"/>
      <c r="E27" s="215"/>
      <c r="F27" s="215"/>
      <c r="G27" s="13">
        <v>2</v>
      </c>
      <c r="H27" s="222"/>
      <c r="I27" s="200"/>
      <c r="J27" s="88"/>
      <c r="K27" s="215"/>
      <c r="L27" s="90"/>
    </row>
  </sheetData>
  <mergeCells count="39">
    <mergeCell ref="E5:H5"/>
    <mergeCell ref="E13:H13"/>
    <mergeCell ref="E19:H19"/>
    <mergeCell ref="E25:H25"/>
    <mergeCell ref="A2:A7"/>
    <mergeCell ref="A8:A15"/>
    <mergeCell ref="A16:A21"/>
    <mergeCell ref="A22:A27"/>
    <mergeCell ref="B2:B7"/>
    <mergeCell ref="B8:B15"/>
    <mergeCell ref="B16:B21"/>
    <mergeCell ref="B22:B27"/>
    <mergeCell ref="C2:C7"/>
    <mergeCell ref="C8:C15"/>
    <mergeCell ref="C16:C21"/>
    <mergeCell ref="C22:C27"/>
    <mergeCell ref="D2:D7"/>
    <mergeCell ref="D8:D15"/>
    <mergeCell ref="D16:D21"/>
    <mergeCell ref="D22:D27"/>
    <mergeCell ref="E2:E4"/>
    <mergeCell ref="E6:E7"/>
    <mergeCell ref="E8:E12"/>
    <mergeCell ref="E14:E15"/>
    <mergeCell ref="E16:E18"/>
    <mergeCell ref="E20:E21"/>
    <mergeCell ref="E22:E24"/>
    <mergeCell ref="E26:E27"/>
    <mergeCell ref="F2:F4"/>
    <mergeCell ref="F6:F7"/>
    <mergeCell ref="F8:F12"/>
    <mergeCell ref="F14:F15"/>
    <mergeCell ref="F16:F18"/>
    <mergeCell ref="F20:F21"/>
    <mergeCell ref="F22:F24"/>
    <mergeCell ref="F26:F27"/>
    <mergeCell ref="H2:H3"/>
    <mergeCell ref="H9:H12"/>
    <mergeCell ref="H22:H24"/>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4"/>
  <sheetViews>
    <sheetView workbookViewId="0">
      <pane ySplit="1" topLeftCell="A2" activePane="bottomLeft" state="frozen"/>
      <selection/>
      <selection pane="bottomLeft" activeCell="B33" sqref="B33"/>
    </sheetView>
  </sheetViews>
  <sheetFormatPr defaultColWidth="9.16666666666667" defaultRowHeight="13.2"/>
  <cols>
    <col min="1" max="1" width="22.4166666666667" style="136" customWidth="1"/>
    <col min="2" max="2" width="11.75" style="136" customWidth="1"/>
    <col min="3" max="7" width="9.16666666666667" style="136"/>
    <col min="8" max="8" width="59.75" style="136" customWidth="1"/>
    <col min="9" max="11" width="9.16666666666667" style="136"/>
    <col min="12" max="12" width="19.5833333333333" style="137" customWidth="1"/>
    <col min="13" max="16384" width="9.16666666666667" style="136"/>
  </cols>
  <sheetData>
    <row r="1" ht="69.6" spans="1:26">
      <c r="A1" s="138" t="s">
        <v>142</v>
      </c>
      <c r="B1" s="139" t="s">
        <v>6</v>
      </c>
      <c r="C1" s="138" t="s">
        <v>143</v>
      </c>
      <c r="D1" s="138" t="s">
        <v>144</v>
      </c>
      <c r="E1" s="139" t="s">
        <v>145</v>
      </c>
      <c r="F1" s="138" t="s">
        <v>146</v>
      </c>
      <c r="G1" s="138" t="s">
        <v>1</v>
      </c>
      <c r="H1" s="140" t="s">
        <v>147</v>
      </c>
      <c r="I1" s="138" t="s">
        <v>148</v>
      </c>
      <c r="J1" s="141" t="s">
        <v>149</v>
      </c>
      <c r="K1" s="138" t="s">
        <v>150</v>
      </c>
      <c r="L1" s="142" t="s">
        <v>151</v>
      </c>
      <c r="M1" s="143"/>
      <c r="N1" s="143"/>
      <c r="O1" s="143"/>
      <c r="P1" s="143"/>
      <c r="Q1" s="143"/>
      <c r="R1" s="143"/>
      <c r="S1" s="143"/>
      <c r="T1" s="143"/>
      <c r="U1" s="143"/>
      <c r="V1" s="143"/>
      <c r="W1" s="143"/>
      <c r="X1" s="143"/>
      <c r="Y1" s="143"/>
      <c r="Z1" s="143"/>
    </row>
    <row r="2" ht="30" customHeight="1" spans="1:26">
      <c r="A2" s="144" t="s">
        <v>91</v>
      </c>
      <c r="B2" s="145" t="s">
        <v>89</v>
      </c>
      <c r="C2" s="146"/>
      <c r="D2" s="147"/>
      <c r="E2" s="148" t="s">
        <v>154</v>
      </c>
      <c r="F2" s="147" t="s">
        <v>189</v>
      </c>
      <c r="G2" s="149">
        <v>1</v>
      </c>
      <c r="H2" s="150" t="s">
        <v>290</v>
      </c>
      <c r="I2" s="151" t="s">
        <v>89</v>
      </c>
      <c r="J2" s="152">
        <v>0.7</v>
      </c>
      <c r="K2" s="153"/>
      <c r="L2" s="154">
        <v>3</v>
      </c>
    </row>
    <row r="3" ht="30" customHeight="1" spans="1:26">
      <c r="A3" s="155"/>
      <c r="B3" s="156"/>
      <c r="C3" s="157"/>
      <c r="D3" s="158"/>
      <c r="E3" s="159"/>
      <c r="F3" s="158"/>
      <c r="G3" s="149">
        <v>2</v>
      </c>
      <c r="H3" s="150" t="s">
        <v>291</v>
      </c>
      <c r="I3" s="151" t="s">
        <v>292</v>
      </c>
      <c r="J3" s="152">
        <v>1</v>
      </c>
      <c r="K3" s="153"/>
      <c r="L3" s="154">
        <v>3</v>
      </c>
    </row>
    <row r="4" ht="30" customHeight="1" spans="1:26">
      <c r="A4" s="155"/>
      <c r="B4" s="156"/>
      <c r="C4" s="157"/>
      <c r="D4" s="158"/>
      <c r="E4" s="159"/>
      <c r="F4" s="160"/>
      <c r="G4" s="149">
        <v>3</v>
      </c>
      <c r="H4" s="150" t="s">
        <v>293</v>
      </c>
      <c r="I4" s="151" t="s">
        <v>285</v>
      </c>
      <c r="J4" s="152">
        <v>1</v>
      </c>
      <c r="K4" s="153"/>
      <c r="L4" s="154">
        <v>0.5</v>
      </c>
    </row>
    <row r="5" ht="27" customHeight="1" spans="1:26">
      <c r="A5" s="155"/>
      <c r="B5" s="156"/>
      <c r="C5" s="157"/>
      <c r="D5" s="158"/>
      <c r="E5" s="161" t="s">
        <v>168</v>
      </c>
      <c r="F5" s="161"/>
      <c r="G5" s="161"/>
      <c r="H5" s="161"/>
      <c r="I5" s="161"/>
      <c r="J5" s="162"/>
      <c r="K5" s="163"/>
      <c r="L5" s="164">
        <f>SUM(L2:L4)</f>
        <v>6.5</v>
      </c>
    </row>
    <row r="6" ht="25.5" customHeight="1" spans="1:26">
      <c r="A6" s="155"/>
      <c r="B6" s="156"/>
      <c r="C6" s="157"/>
      <c r="D6" s="158"/>
      <c r="E6" s="148" t="s">
        <v>169</v>
      </c>
      <c r="F6" s="153" t="s">
        <v>77</v>
      </c>
      <c r="G6" s="153">
        <v>1</v>
      </c>
      <c r="H6" s="150" t="s">
        <v>294</v>
      </c>
      <c r="I6" s="149" t="s">
        <v>292</v>
      </c>
      <c r="J6" s="165">
        <v>1</v>
      </c>
      <c r="K6" s="153"/>
      <c r="L6" s="166">
        <v>2</v>
      </c>
    </row>
    <row r="7" ht="25.5" customHeight="1" spans="1:26">
      <c r="A7" s="155"/>
      <c r="B7" s="156"/>
      <c r="C7" s="157"/>
      <c r="D7" s="158"/>
      <c r="E7" s="159"/>
      <c r="F7" s="153" t="s">
        <v>77</v>
      </c>
      <c r="G7" s="153">
        <v>2</v>
      </c>
      <c r="H7" s="150" t="s">
        <v>295</v>
      </c>
      <c r="I7" s="149" t="s">
        <v>89</v>
      </c>
      <c r="J7" s="165">
        <v>1</v>
      </c>
      <c r="K7" s="153"/>
      <c r="L7" s="166">
        <v>2</v>
      </c>
    </row>
    <row r="8" ht="25.5" customHeight="1" spans="1:26">
      <c r="A8" s="167"/>
      <c r="B8" s="168"/>
      <c r="C8" s="169"/>
      <c r="D8" s="160"/>
      <c r="E8" s="170"/>
      <c r="F8" s="153" t="s">
        <v>68</v>
      </c>
      <c r="G8" s="153">
        <v>3</v>
      </c>
      <c r="H8" s="150" t="s">
        <v>296</v>
      </c>
      <c r="I8" s="149" t="s">
        <v>89</v>
      </c>
      <c r="J8" s="165">
        <v>1</v>
      </c>
      <c r="K8" s="153"/>
      <c r="L8" s="166">
        <v>2</v>
      </c>
    </row>
    <row r="9" ht="26" customHeight="1" spans="1:26">
      <c r="A9" s="144" t="s">
        <v>297</v>
      </c>
      <c r="B9" s="145" t="s">
        <v>89</v>
      </c>
      <c r="C9" s="146">
        <v>0.95</v>
      </c>
      <c r="D9" s="147"/>
      <c r="E9" s="148" t="s">
        <v>154</v>
      </c>
      <c r="F9" s="147" t="s">
        <v>189</v>
      </c>
      <c r="G9" s="149">
        <v>1</v>
      </c>
      <c r="H9" s="171" t="s">
        <v>298</v>
      </c>
      <c r="I9" s="151" t="s">
        <v>299</v>
      </c>
      <c r="J9" s="165">
        <v>1</v>
      </c>
      <c r="K9" s="153"/>
      <c r="L9" s="166">
        <v>5</v>
      </c>
    </row>
    <row r="10" ht="26" customHeight="1" spans="1:26">
      <c r="A10" s="155"/>
      <c r="B10" s="156"/>
      <c r="C10" s="158"/>
      <c r="D10" s="158"/>
      <c r="E10" s="159"/>
      <c r="F10" s="158"/>
      <c r="G10" s="149">
        <v>2</v>
      </c>
      <c r="H10" s="171" t="s">
        <v>300</v>
      </c>
      <c r="I10" s="151" t="s">
        <v>89</v>
      </c>
      <c r="J10" s="165">
        <v>1</v>
      </c>
      <c r="K10" s="153"/>
      <c r="L10" s="166">
        <v>2</v>
      </c>
    </row>
    <row r="11" ht="26" customHeight="1" spans="1:26">
      <c r="A11" s="155"/>
      <c r="B11" s="156"/>
      <c r="C11" s="158"/>
      <c r="D11" s="158"/>
      <c r="E11" s="170"/>
      <c r="F11" s="160"/>
      <c r="G11" s="149">
        <v>3</v>
      </c>
      <c r="H11" s="171" t="s">
        <v>301</v>
      </c>
      <c r="I11" s="151" t="s">
        <v>181</v>
      </c>
      <c r="J11" s="165">
        <v>1</v>
      </c>
      <c r="K11" s="153"/>
      <c r="L11" s="166">
        <v>1.5</v>
      </c>
    </row>
    <row r="12" ht="14.5" customHeight="1" spans="1:26">
      <c r="A12" s="155"/>
      <c r="B12" s="156"/>
      <c r="C12" s="158"/>
      <c r="D12" s="158"/>
      <c r="E12" s="161" t="s">
        <v>168</v>
      </c>
      <c r="F12" s="161"/>
      <c r="G12" s="161"/>
      <c r="H12" s="161"/>
      <c r="I12" s="161"/>
      <c r="J12" s="162"/>
      <c r="K12" s="163"/>
      <c r="L12" s="164">
        <f>SUM(L9:L10)</f>
        <v>7</v>
      </c>
    </row>
    <row r="13" ht="22.5" customHeight="1" spans="1:26">
      <c r="A13" s="155"/>
      <c r="B13" s="156"/>
      <c r="C13" s="158"/>
      <c r="D13" s="158"/>
      <c r="E13" s="148" t="s">
        <v>169</v>
      </c>
      <c r="F13" s="149" t="s">
        <v>189</v>
      </c>
      <c r="G13" s="149">
        <v>1</v>
      </c>
      <c r="H13" s="171" t="s">
        <v>298</v>
      </c>
      <c r="I13" s="151" t="s">
        <v>299</v>
      </c>
      <c r="J13" s="165"/>
      <c r="K13" s="153"/>
      <c r="L13" s="166">
        <v>5</v>
      </c>
    </row>
    <row r="14" ht="22.5" customHeight="1" spans="1:26">
      <c r="A14" s="167"/>
      <c r="B14" s="168"/>
      <c r="C14" s="160"/>
      <c r="D14" s="160"/>
      <c r="E14" s="170"/>
      <c r="F14" s="149"/>
      <c r="G14" s="149">
        <v>2</v>
      </c>
      <c r="H14" s="171" t="s">
        <v>302</v>
      </c>
      <c r="I14" s="151" t="s">
        <v>89</v>
      </c>
      <c r="J14" s="165"/>
      <c r="K14" s="153"/>
      <c r="L14" s="166">
        <v>0.5</v>
      </c>
    </row>
  </sheetData>
  <mergeCells count="17">
    <mergeCell ref="E5:H5"/>
    <mergeCell ref="E12:H12"/>
    <mergeCell ref="A2:A8"/>
    <mergeCell ref="A9:A14"/>
    <mergeCell ref="B2:B8"/>
    <mergeCell ref="B9:B14"/>
    <mergeCell ref="C2:C8"/>
    <mergeCell ref="C9:C14"/>
    <mergeCell ref="D2:D8"/>
    <mergeCell ref="D9:D14"/>
    <mergeCell ref="E2:E4"/>
    <mergeCell ref="E6:E8"/>
    <mergeCell ref="E9:E11"/>
    <mergeCell ref="E13:E14"/>
    <mergeCell ref="F2:F4"/>
    <mergeCell ref="F9:F11"/>
    <mergeCell ref="F13:F14"/>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10"/>
  <sheetViews>
    <sheetView workbookViewId="0">
      <pane ySplit="1" topLeftCell="A18" activePane="bottomLeft" state="frozen"/>
      <selection/>
      <selection pane="bottomLeft" activeCell="A34" sqref="A34:L40"/>
    </sheetView>
  </sheetViews>
  <sheetFormatPr defaultColWidth="9.13888888888889" defaultRowHeight="13.2"/>
  <cols>
    <col min="1" max="1" width="22.4259259259259" style="106" customWidth="1"/>
    <col min="2" max="2" width="11.712962962963" style="106" customWidth="1"/>
    <col min="3" max="5" width="9.13888888888889" style="106"/>
    <col min="6" max="6" width="23.287037037037" style="106" customWidth="1"/>
    <col min="7" max="7" width="9.13888888888889" style="106"/>
    <col min="8" max="8" width="59.712962962963" style="106" customWidth="1"/>
    <col min="9" max="11" width="9.13888888888889" style="106"/>
    <col min="12" max="12" width="19.5740740740741" style="107" customWidth="1"/>
    <col min="13" max="16384" width="9.13888888888889" style="106"/>
  </cols>
  <sheetData>
    <row r="1" ht="62.4" spans="1:26">
      <c r="A1" s="108" t="s">
        <v>142</v>
      </c>
      <c r="B1" s="109" t="s">
        <v>6</v>
      </c>
      <c r="C1" s="108" t="s">
        <v>143</v>
      </c>
      <c r="D1" s="108" t="s">
        <v>144</v>
      </c>
      <c r="E1" s="109" t="s">
        <v>145</v>
      </c>
      <c r="F1" s="108" t="s">
        <v>146</v>
      </c>
      <c r="G1" s="108" t="s">
        <v>1</v>
      </c>
      <c r="H1" s="110" t="s">
        <v>147</v>
      </c>
      <c r="I1" s="108" t="s">
        <v>148</v>
      </c>
      <c r="J1" s="111" t="s">
        <v>149</v>
      </c>
      <c r="K1" s="108" t="s">
        <v>150</v>
      </c>
      <c r="L1" s="112" t="s">
        <v>151</v>
      </c>
      <c r="M1" s="113"/>
      <c r="N1" s="113"/>
      <c r="O1" s="113"/>
      <c r="P1" s="113"/>
      <c r="Q1" s="113"/>
      <c r="R1" s="113"/>
      <c r="S1" s="113"/>
      <c r="T1" s="113"/>
      <c r="U1" s="113"/>
      <c r="V1" s="113"/>
      <c r="W1" s="113"/>
      <c r="X1" s="113"/>
      <c r="Y1" s="113"/>
      <c r="Z1" s="113"/>
    </row>
    <row r="2" spans="1:26">
      <c r="A2" s="114" t="s">
        <v>108</v>
      </c>
      <c r="B2" s="115" t="s">
        <v>109</v>
      </c>
      <c r="C2" s="116" t="s">
        <v>23</v>
      </c>
      <c r="D2" s="116"/>
      <c r="E2" s="117" t="s">
        <v>154</v>
      </c>
      <c r="F2" s="116" t="s">
        <v>77</v>
      </c>
      <c r="G2" s="117">
        <v>1</v>
      </c>
      <c r="H2" s="118"/>
      <c r="I2" s="119"/>
      <c r="J2" s="120"/>
      <c r="K2" s="116"/>
      <c r="L2" s="121"/>
      <c r="M2" s="113"/>
      <c r="N2" s="113"/>
      <c r="O2" s="113"/>
      <c r="P2" s="113"/>
      <c r="Q2" s="113"/>
      <c r="R2" s="113"/>
      <c r="S2" s="113"/>
      <c r="T2" s="113"/>
      <c r="U2" s="113"/>
      <c r="V2" s="113"/>
      <c r="W2" s="113"/>
      <c r="X2" s="113"/>
      <c r="Y2" s="113"/>
      <c r="Z2" s="113"/>
    </row>
    <row r="3" spans="1:26">
      <c r="A3" s="114"/>
      <c r="B3" s="115"/>
      <c r="C3" s="116"/>
      <c r="D3" s="116"/>
      <c r="E3" s="117"/>
      <c r="F3" s="116"/>
      <c r="G3" s="117">
        <v>2</v>
      </c>
      <c r="H3" s="118"/>
      <c r="I3" s="119"/>
      <c r="J3" s="120"/>
      <c r="K3" s="116"/>
      <c r="L3" s="121"/>
      <c r="M3" s="113"/>
      <c r="N3" s="113"/>
      <c r="O3" s="113"/>
      <c r="P3" s="113"/>
      <c r="Q3" s="113"/>
      <c r="R3" s="113"/>
      <c r="S3" s="113"/>
      <c r="T3" s="113"/>
      <c r="U3" s="113"/>
      <c r="V3" s="113"/>
      <c r="W3" s="113"/>
      <c r="X3" s="113"/>
      <c r="Y3" s="113"/>
      <c r="Z3" s="113"/>
    </row>
    <row r="4" spans="1:26">
      <c r="A4" s="114"/>
      <c r="B4" s="115"/>
      <c r="C4" s="116"/>
      <c r="D4" s="116"/>
      <c r="E4" s="117"/>
      <c r="F4" s="116" t="s">
        <v>182</v>
      </c>
      <c r="G4" s="117">
        <v>1</v>
      </c>
      <c r="H4" s="118" t="s">
        <v>303</v>
      </c>
      <c r="I4" s="119" t="s">
        <v>109</v>
      </c>
      <c r="J4" s="120"/>
      <c r="K4" s="116"/>
      <c r="L4" s="121">
        <v>0.5</v>
      </c>
      <c r="M4" s="113"/>
      <c r="N4" s="113"/>
      <c r="O4" s="113"/>
      <c r="P4" s="113"/>
      <c r="Q4" s="113"/>
      <c r="R4" s="113"/>
      <c r="S4" s="113"/>
      <c r="T4" s="113"/>
      <c r="U4" s="113"/>
      <c r="V4" s="113"/>
      <c r="W4" s="113"/>
      <c r="X4" s="113"/>
      <c r="Y4" s="113"/>
      <c r="Z4" s="113"/>
    </row>
    <row r="5" spans="1:26">
      <c r="A5" s="114"/>
      <c r="B5" s="115"/>
      <c r="C5" s="116"/>
      <c r="D5" s="116"/>
      <c r="E5" s="117"/>
      <c r="F5" s="116"/>
      <c r="G5" s="117">
        <v>2</v>
      </c>
      <c r="H5" s="118" t="s">
        <v>304</v>
      </c>
      <c r="I5" s="119" t="s">
        <v>112</v>
      </c>
      <c r="J5" s="120"/>
      <c r="K5" s="116"/>
      <c r="L5" s="121">
        <v>1</v>
      </c>
      <c r="M5" s="113"/>
      <c r="N5" s="113"/>
      <c r="O5" s="113"/>
      <c r="P5" s="113"/>
      <c r="Q5" s="113"/>
      <c r="R5" s="113"/>
      <c r="S5" s="113"/>
      <c r="T5" s="113"/>
      <c r="U5" s="113"/>
      <c r="V5" s="113"/>
      <c r="W5" s="113"/>
      <c r="X5" s="113"/>
      <c r="Y5" s="113"/>
      <c r="Z5" s="113"/>
    </row>
    <row r="6" spans="1:26">
      <c r="A6" s="114"/>
      <c r="B6" s="115"/>
      <c r="C6" s="116"/>
      <c r="D6" s="116"/>
      <c r="E6" s="122" t="s">
        <v>168</v>
      </c>
      <c r="F6" s="122"/>
      <c r="G6" s="122"/>
      <c r="H6" s="122"/>
      <c r="I6" s="122"/>
      <c r="J6" s="123"/>
      <c r="K6" s="124"/>
      <c r="L6" s="125">
        <f>SUM(L4:L5)</f>
        <v>1.5</v>
      </c>
      <c r="M6" s="113"/>
      <c r="N6" s="113"/>
      <c r="O6" s="113"/>
      <c r="P6" s="113"/>
      <c r="Q6" s="113"/>
      <c r="R6" s="113"/>
      <c r="S6" s="113"/>
      <c r="T6" s="113"/>
      <c r="U6" s="113"/>
      <c r="V6" s="113"/>
      <c r="W6" s="113"/>
      <c r="X6" s="113"/>
      <c r="Y6" s="113"/>
      <c r="Z6" s="113"/>
    </row>
    <row r="7" spans="1:26">
      <c r="A7" s="114"/>
      <c r="B7" s="115"/>
      <c r="C7" s="116"/>
      <c r="D7" s="116"/>
      <c r="E7" s="117" t="s">
        <v>169</v>
      </c>
      <c r="F7" s="117" t="s">
        <v>77</v>
      </c>
      <c r="G7" s="117">
        <v>1</v>
      </c>
      <c r="H7" s="118"/>
      <c r="I7" s="119"/>
      <c r="J7" s="126"/>
      <c r="K7" s="117"/>
      <c r="L7" s="121"/>
      <c r="M7" s="113"/>
      <c r="N7" s="113"/>
      <c r="O7" s="113"/>
      <c r="P7" s="113"/>
      <c r="Q7" s="113"/>
      <c r="R7" s="113"/>
      <c r="S7" s="113"/>
      <c r="T7" s="113"/>
      <c r="U7" s="113"/>
      <c r="V7" s="113"/>
      <c r="W7" s="113"/>
      <c r="X7" s="113"/>
      <c r="Y7" s="113"/>
      <c r="Z7" s="113"/>
    </row>
    <row r="8" ht="36" spans="1:26">
      <c r="A8" s="114" t="s">
        <v>305</v>
      </c>
      <c r="B8" s="115" t="s">
        <v>112</v>
      </c>
      <c r="C8" s="116">
        <v>30</v>
      </c>
      <c r="D8" s="116"/>
      <c r="E8" s="117" t="s">
        <v>154</v>
      </c>
      <c r="F8" s="116" t="s">
        <v>77</v>
      </c>
      <c r="G8" s="117">
        <v>1</v>
      </c>
      <c r="H8" s="127" t="s">
        <v>306</v>
      </c>
      <c r="I8" s="119" t="s">
        <v>307</v>
      </c>
      <c r="J8" s="120">
        <v>1</v>
      </c>
      <c r="K8" s="116"/>
      <c r="L8" s="121">
        <v>5</v>
      </c>
      <c r="M8" s="113"/>
      <c r="N8" s="113"/>
      <c r="O8" s="113"/>
      <c r="P8" s="113"/>
      <c r="Q8" s="113"/>
      <c r="R8" s="113"/>
      <c r="S8" s="113"/>
      <c r="T8" s="113"/>
      <c r="U8" s="113"/>
      <c r="V8" s="113"/>
      <c r="W8" s="113"/>
      <c r="X8" s="113"/>
      <c r="Y8" s="113"/>
      <c r="Z8" s="113"/>
    </row>
    <row r="9" ht="108" spans="1:26">
      <c r="A9" s="114"/>
      <c r="B9" s="115"/>
      <c r="C9" s="116"/>
      <c r="D9" s="116"/>
      <c r="E9" s="117"/>
      <c r="F9" s="116"/>
      <c r="G9" s="117">
        <v>2</v>
      </c>
      <c r="H9" s="128" t="s">
        <v>308</v>
      </c>
      <c r="I9" s="119" t="s">
        <v>309</v>
      </c>
      <c r="J9" s="120">
        <v>1</v>
      </c>
      <c r="K9" s="116"/>
      <c r="L9" s="121">
        <v>5</v>
      </c>
      <c r="M9" s="113"/>
      <c r="N9" s="113"/>
      <c r="O9" s="113"/>
      <c r="P9" s="113"/>
      <c r="Q9" s="113"/>
      <c r="R9" s="113"/>
      <c r="S9" s="113"/>
      <c r="T9" s="113"/>
      <c r="U9" s="113"/>
      <c r="V9" s="113"/>
      <c r="W9" s="113"/>
      <c r="X9" s="113"/>
      <c r="Y9" s="113"/>
      <c r="Z9" s="113"/>
    </row>
    <row r="10" ht="72" spans="1:26">
      <c r="A10" s="114"/>
      <c r="B10" s="115"/>
      <c r="C10" s="116"/>
      <c r="D10" s="116"/>
      <c r="E10" s="117"/>
      <c r="F10" s="116"/>
      <c r="G10" s="117">
        <v>3</v>
      </c>
      <c r="H10" s="127" t="s">
        <v>310</v>
      </c>
      <c r="I10" s="119" t="s">
        <v>311</v>
      </c>
      <c r="J10" s="120">
        <v>1</v>
      </c>
      <c r="K10" s="120"/>
      <c r="L10" s="121">
        <v>5</v>
      </c>
      <c r="M10" s="113"/>
      <c r="N10" s="113"/>
      <c r="O10" s="113"/>
      <c r="P10" s="113"/>
      <c r="Q10" s="113"/>
      <c r="R10" s="113"/>
      <c r="S10" s="113"/>
      <c r="T10" s="113"/>
      <c r="U10" s="113"/>
      <c r="V10" s="113"/>
      <c r="W10" s="113"/>
      <c r="X10" s="113"/>
      <c r="Y10" s="113"/>
      <c r="Z10" s="113"/>
    </row>
    <row r="11" ht="24" spans="1:26">
      <c r="A11" s="114"/>
      <c r="B11" s="115"/>
      <c r="C11" s="116"/>
      <c r="D11" s="116"/>
      <c r="E11" s="117"/>
      <c r="F11" s="116"/>
      <c r="G11" s="117">
        <v>4</v>
      </c>
      <c r="H11" s="127" t="s">
        <v>312</v>
      </c>
      <c r="I11" s="119" t="s">
        <v>313</v>
      </c>
      <c r="J11" s="120">
        <v>1</v>
      </c>
      <c r="K11" s="116"/>
      <c r="L11" s="121">
        <v>1</v>
      </c>
      <c r="M11" s="113"/>
      <c r="N11" s="113"/>
      <c r="O11" s="113"/>
      <c r="P11" s="113"/>
      <c r="Q11" s="113"/>
      <c r="R11" s="113"/>
      <c r="S11" s="113"/>
      <c r="T11" s="113"/>
      <c r="U11" s="113"/>
      <c r="V11" s="113"/>
      <c r="W11" s="113"/>
      <c r="X11" s="113"/>
      <c r="Y11" s="113"/>
      <c r="Z11" s="113"/>
    </row>
    <row r="12" spans="1:26">
      <c r="A12" s="114"/>
      <c r="B12" s="115"/>
      <c r="C12" s="116"/>
      <c r="D12" s="116"/>
      <c r="E12" s="117"/>
      <c r="F12" s="116"/>
      <c r="G12" s="117">
        <v>5</v>
      </c>
      <c r="H12" s="127" t="s">
        <v>314</v>
      </c>
      <c r="I12" s="119" t="s">
        <v>313</v>
      </c>
      <c r="J12" s="120">
        <v>0.6</v>
      </c>
      <c r="K12" s="129"/>
      <c r="L12" s="117">
        <v>2.5</v>
      </c>
      <c r="M12" s="113"/>
      <c r="N12" s="113"/>
      <c r="O12" s="113"/>
      <c r="P12" s="113"/>
      <c r="Q12" s="113"/>
      <c r="R12" s="113"/>
      <c r="S12" s="113"/>
      <c r="T12" s="113"/>
      <c r="U12" s="113"/>
      <c r="V12" s="113"/>
      <c r="W12" s="113"/>
      <c r="X12" s="113"/>
      <c r="Y12" s="113"/>
      <c r="Z12" s="113"/>
    </row>
    <row r="13" ht="92.4" spans="1:26">
      <c r="A13" s="114"/>
      <c r="B13" s="115"/>
      <c r="C13" s="116"/>
      <c r="D13" s="116"/>
      <c r="E13" s="117"/>
      <c r="F13" s="116"/>
      <c r="G13" s="117">
        <v>6</v>
      </c>
      <c r="H13" s="130" t="s">
        <v>315</v>
      </c>
      <c r="I13" s="119" t="s">
        <v>316</v>
      </c>
      <c r="J13" s="120">
        <v>1</v>
      </c>
      <c r="K13" s="116"/>
      <c r="L13" s="121">
        <v>5</v>
      </c>
      <c r="M13" s="113"/>
      <c r="N13" s="113"/>
      <c r="O13" s="113"/>
      <c r="P13" s="113"/>
      <c r="Q13" s="113"/>
      <c r="R13" s="113"/>
      <c r="S13" s="113"/>
      <c r="T13" s="113"/>
      <c r="U13" s="113"/>
      <c r="V13" s="113"/>
      <c r="W13" s="113"/>
      <c r="X13" s="113"/>
      <c r="Y13" s="113"/>
      <c r="Z13" s="113"/>
    </row>
    <row r="14" spans="1:26">
      <c r="A14" s="114"/>
      <c r="B14" s="115"/>
      <c r="C14" s="116"/>
      <c r="D14" s="116"/>
      <c r="E14" s="117"/>
      <c r="F14" s="116"/>
      <c r="G14" s="117">
        <v>7</v>
      </c>
      <c r="H14" s="118"/>
      <c r="I14" s="119"/>
      <c r="J14" s="120"/>
      <c r="K14" s="116"/>
      <c r="L14" s="121"/>
      <c r="M14" s="113"/>
      <c r="N14" s="113"/>
      <c r="O14" s="113"/>
      <c r="P14" s="113"/>
      <c r="Q14" s="113"/>
      <c r="R14" s="113"/>
      <c r="S14" s="113"/>
      <c r="T14" s="113"/>
      <c r="U14" s="113"/>
      <c r="V14" s="113"/>
      <c r="W14" s="113"/>
      <c r="X14" s="113"/>
      <c r="Y14" s="113"/>
      <c r="Z14" s="113"/>
    </row>
    <row r="15" spans="1:26">
      <c r="A15" s="114"/>
      <c r="B15" s="115"/>
      <c r="C15" s="116"/>
      <c r="D15" s="116"/>
      <c r="E15" s="117"/>
      <c r="F15" s="117" t="s">
        <v>182</v>
      </c>
      <c r="G15" s="117">
        <v>1</v>
      </c>
      <c r="H15" s="130" t="s">
        <v>317</v>
      </c>
      <c r="I15" s="117" t="s">
        <v>112</v>
      </c>
      <c r="J15" s="131">
        <v>1</v>
      </c>
      <c r="K15" s="129"/>
      <c r="L15" s="121">
        <v>2.5</v>
      </c>
      <c r="M15" s="113"/>
      <c r="N15" s="113"/>
      <c r="O15" s="113"/>
      <c r="P15" s="113"/>
      <c r="Q15" s="113"/>
      <c r="R15" s="113"/>
      <c r="S15" s="113"/>
      <c r="T15" s="113"/>
      <c r="U15" s="113"/>
      <c r="V15" s="113"/>
      <c r="W15" s="113"/>
      <c r="X15" s="113"/>
      <c r="Y15" s="113"/>
      <c r="Z15" s="113"/>
    </row>
    <row r="16" spans="1:26">
      <c r="A16" s="114"/>
      <c r="B16" s="115"/>
      <c r="C16" s="116"/>
      <c r="D16" s="116"/>
      <c r="E16" s="117"/>
      <c r="F16" s="117"/>
      <c r="G16" s="117">
        <v>2</v>
      </c>
      <c r="H16" s="132"/>
      <c r="I16" s="117"/>
      <c r="J16" s="133"/>
      <c r="K16" s="129"/>
      <c r="L16" s="121"/>
      <c r="M16" s="113"/>
      <c r="N16" s="113"/>
      <c r="O16" s="113"/>
      <c r="P16" s="113"/>
      <c r="Q16" s="113"/>
      <c r="R16" s="113"/>
      <c r="S16" s="113"/>
      <c r="T16" s="113"/>
      <c r="U16" s="113"/>
      <c r="V16" s="113"/>
      <c r="W16" s="113"/>
      <c r="X16" s="113"/>
      <c r="Y16" s="113"/>
      <c r="Z16" s="113"/>
    </row>
    <row r="17" spans="1:26">
      <c r="A17" s="114"/>
      <c r="B17" s="115"/>
      <c r="C17" s="116"/>
      <c r="D17" s="116"/>
      <c r="E17" s="122" t="s">
        <v>168</v>
      </c>
      <c r="F17" s="122"/>
      <c r="G17" s="122"/>
      <c r="H17" s="122"/>
      <c r="I17" s="122"/>
      <c r="J17" s="123"/>
      <c r="K17" s="124"/>
      <c r="L17" s="125">
        <f>SUM(L8:L16)</f>
        <v>26</v>
      </c>
      <c r="M17" s="113"/>
      <c r="N17" s="113"/>
      <c r="O17" s="113"/>
      <c r="P17" s="113"/>
      <c r="Q17" s="113"/>
      <c r="R17" s="113"/>
      <c r="S17" s="113"/>
      <c r="T17" s="113"/>
      <c r="U17" s="113"/>
      <c r="V17" s="113"/>
      <c r="W17" s="113"/>
      <c r="X17" s="113"/>
      <c r="Y17" s="113"/>
      <c r="Z17" s="113"/>
    </row>
    <row r="18" spans="1:26">
      <c r="A18" s="114"/>
      <c r="B18" s="115"/>
      <c r="C18" s="116"/>
      <c r="D18" s="116"/>
      <c r="E18" s="117" t="s">
        <v>169</v>
      </c>
      <c r="F18" s="117" t="s">
        <v>77</v>
      </c>
      <c r="G18" s="117">
        <v>1</v>
      </c>
      <c r="H18" s="118"/>
      <c r="I18" s="119"/>
      <c r="J18" s="126"/>
      <c r="K18" s="117"/>
      <c r="L18" s="121"/>
      <c r="M18" s="113"/>
      <c r="N18" s="113"/>
      <c r="O18" s="113"/>
      <c r="P18" s="113"/>
      <c r="Q18" s="113"/>
      <c r="R18" s="113"/>
      <c r="S18" s="113"/>
      <c r="T18" s="113"/>
      <c r="U18" s="113"/>
      <c r="V18" s="113"/>
      <c r="W18" s="113"/>
      <c r="X18" s="113"/>
      <c r="Y18" s="113"/>
      <c r="Z18" s="113"/>
    </row>
    <row r="19" spans="1:26">
      <c r="A19" s="114" t="s">
        <v>318</v>
      </c>
      <c r="B19" s="115" t="s">
        <v>109</v>
      </c>
      <c r="C19" s="116">
        <v>12</v>
      </c>
      <c r="D19" s="116"/>
      <c r="E19" s="117" t="s">
        <v>154</v>
      </c>
      <c r="F19" s="116" t="s">
        <v>77</v>
      </c>
      <c r="G19" s="117">
        <v>1</v>
      </c>
      <c r="H19" s="127" t="s">
        <v>319</v>
      </c>
      <c r="I19" s="119" t="s">
        <v>109</v>
      </c>
      <c r="J19" s="120"/>
      <c r="K19" s="116"/>
      <c r="L19" s="121">
        <v>2.5</v>
      </c>
      <c r="M19" s="113"/>
      <c r="N19" s="113"/>
      <c r="O19" s="113"/>
      <c r="P19" s="113"/>
      <c r="Q19" s="113"/>
      <c r="R19" s="113"/>
      <c r="S19" s="113"/>
      <c r="T19" s="113"/>
      <c r="U19" s="113"/>
      <c r="V19" s="113"/>
      <c r="W19" s="113"/>
      <c r="X19" s="113"/>
      <c r="Y19" s="113"/>
      <c r="Z19" s="113"/>
    </row>
    <row r="20" spans="1:26">
      <c r="A20" s="114"/>
      <c r="B20" s="115"/>
      <c r="C20" s="116"/>
      <c r="D20" s="116"/>
      <c r="E20" s="117"/>
      <c r="F20" s="116"/>
      <c r="G20" s="117">
        <v>2</v>
      </c>
      <c r="H20" s="128" t="s">
        <v>320</v>
      </c>
      <c r="I20" s="119" t="s">
        <v>109</v>
      </c>
      <c r="J20" s="120"/>
      <c r="K20" s="116"/>
      <c r="L20" s="121">
        <v>0.5</v>
      </c>
      <c r="M20" s="113"/>
      <c r="N20" s="113"/>
      <c r="O20" s="113"/>
      <c r="P20" s="113"/>
      <c r="Q20" s="113"/>
      <c r="R20" s="113"/>
      <c r="S20" s="113"/>
      <c r="T20" s="113"/>
      <c r="U20" s="113"/>
      <c r="V20" s="113"/>
      <c r="W20" s="113"/>
      <c r="X20" s="113"/>
      <c r="Y20" s="113"/>
      <c r="Z20" s="113"/>
    </row>
    <row r="21" spans="1:26">
      <c r="A21" s="114"/>
      <c r="B21" s="115"/>
      <c r="C21" s="116"/>
      <c r="D21" s="116"/>
      <c r="E21" s="117"/>
      <c r="F21" s="116"/>
      <c r="G21" s="117">
        <v>3</v>
      </c>
      <c r="H21" s="127" t="s">
        <v>321</v>
      </c>
      <c r="I21" s="119" t="s">
        <v>109</v>
      </c>
      <c r="J21" s="120"/>
      <c r="K21" s="120"/>
      <c r="L21" s="121">
        <v>1.5</v>
      </c>
      <c r="M21" s="113"/>
      <c r="N21" s="113"/>
      <c r="O21" s="113"/>
      <c r="P21" s="113"/>
      <c r="Q21" s="113"/>
      <c r="R21" s="113"/>
      <c r="S21" s="113"/>
      <c r="T21" s="113"/>
      <c r="U21" s="113"/>
      <c r="V21" s="113"/>
      <c r="W21" s="113"/>
      <c r="X21" s="113"/>
      <c r="Y21" s="113"/>
      <c r="Z21" s="113"/>
    </row>
    <row r="22" spans="1:26">
      <c r="A22" s="114"/>
      <c r="B22" s="115"/>
      <c r="C22" s="116"/>
      <c r="D22" s="116"/>
      <c r="E22" s="117"/>
      <c r="F22" s="116"/>
      <c r="G22" s="117">
        <v>4</v>
      </c>
      <c r="H22" s="118"/>
      <c r="I22" s="119"/>
      <c r="J22" s="120"/>
      <c r="K22" s="120"/>
      <c r="L22" s="121"/>
      <c r="M22" s="113"/>
      <c r="N22" s="113"/>
      <c r="O22" s="113"/>
      <c r="P22" s="113"/>
      <c r="Q22" s="113"/>
      <c r="R22" s="113"/>
      <c r="S22" s="113"/>
      <c r="T22" s="113"/>
      <c r="U22" s="113"/>
      <c r="V22" s="113"/>
      <c r="W22" s="113"/>
      <c r="X22" s="113"/>
      <c r="Y22" s="113"/>
      <c r="Z22" s="113"/>
    </row>
    <row r="23" spans="1:26">
      <c r="A23" s="114"/>
      <c r="B23" s="115"/>
      <c r="C23" s="116"/>
      <c r="D23" s="116"/>
      <c r="E23" s="117"/>
      <c r="F23" s="116"/>
      <c r="G23" s="117">
        <v>5</v>
      </c>
      <c r="H23" s="118"/>
      <c r="I23" s="119"/>
      <c r="J23" s="120"/>
      <c r="K23" s="116"/>
      <c r="L23" s="121"/>
      <c r="M23" s="113"/>
      <c r="N23" s="113"/>
      <c r="O23" s="113"/>
      <c r="P23" s="113"/>
      <c r="Q23" s="113"/>
      <c r="R23" s="113"/>
      <c r="S23" s="113"/>
      <c r="T23" s="113"/>
      <c r="U23" s="113"/>
      <c r="V23" s="113"/>
      <c r="W23" s="113"/>
      <c r="X23" s="113"/>
      <c r="Y23" s="113"/>
      <c r="Z23" s="113"/>
    </row>
    <row r="24" spans="1:26">
      <c r="A24" s="114"/>
      <c r="B24" s="115"/>
      <c r="C24" s="116"/>
      <c r="D24" s="116"/>
      <c r="E24" s="117"/>
      <c r="F24" s="116"/>
      <c r="G24" s="117">
        <v>6</v>
      </c>
      <c r="H24" s="118"/>
      <c r="I24" s="119"/>
      <c r="J24" s="120"/>
      <c r="K24" s="116"/>
      <c r="L24" s="121"/>
      <c r="M24" s="113"/>
      <c r="N24" s="113"/>
      <c r="O24" s="113"/>
      <c r="P24" s="113"/>
      <c r="Q24" s="113"/>
      <c r="R24" s="113"/>
      <c r="S24" s="113"/>
      <c r="T24" s="113"/>
      <c r="U24" s="113"/>
      <c r="V24" s="113"/>
      <c r="W24" s="113"/>
      <c r="X24" s="113"/>
      <c r="Y24" s="113"/>
      <c r="Z24" s="113"/>
    </row>
    <row r="25" spans="1:26">
      <c r="A25" s="114"/>
      <c r="B25" s="115"/>
      <c r="C25" s="116"/>
      <c r="D25" s="116"/>
      <c r="E25" s="122" t="s">
        <v>168</v>
      </c>
      <c r="F25" s="122"/>
      <c r="G25" s="122"/>
      <c r="H25" s="122"/>
      <c r="I25" s="122"/>
      <c r="J25" s="123"/>
      <c r="K25" s="124"/>
      <c r="L25" s="125">
        <v>4.5</v>
      </c>
      <c r="M25" s="113"/>
      <c r="N25" s="113"/>
      <c r="O25" s="113"/>
      <c r="P25" s="113"/>
      <c r="Q25" s="113"/>
      <c r="R25" s="113"/>
      <c r="S25" s="113"/>
      <c r="T25" s="113"/>
      <c r="U25" s="113"/>
      <c r="V25" s="113"/>
      <c r="W25" s="113"/>
      <c r="X25" s="113"/>
      <c r="Y25" s="113"/>
      <c r="Z25" s="113"/>
    </row>
    <row r="26" spans="1:26">
      <c r="A26" s="114"/>
      <c r="B26" s="115"/>
      <c r="C26" s="116"/>
      <c r="D26" s="116"/>
      <c r="E26" s="117" t="s">
        <v>169</v>
      </c>
      <c r="F26" s="117" t="s">
        <v>77</v>
      </c>
      <c r="G26" s="117">
        <v>1</v>
      </c>
      <c r="H26" s="118"/>
      <c r="I26" s="119"/>
      <c r="J26" s="126"/>
      <c r="K26" s="117"/>
      <c r="L26" s="121"/>
      <c r="M26" s="113"/>
      <c r="N26" s="113"/>
      <c r="O26" s="113"/>
      <c r="P26" s="113"/>
      <c r="Q26" s="113"/>
      <c r="R26" s="113"/>
      <c r="S26" s="113"/>
      <c r="T26" s="113"/>
      <c r="U26" s="113"/>
      <c r="V26" s="113"/>
      <c r="W26" s="113"/>
      <c r="X26" s="113"/>
      <c r="Y26" s="113"/>
      <c r="Z26" s="113"/>
    </row>
    <row r="27" ht="48" spans="1:26">
      <c r="A27" s="114" t="s">
        <v>322</v>
      </c>
      <c r="B27" s="115" t="s">
        <v>22</v>
      </c>
      <c r="C27" s="116" t="s">
        <v>23</v>
      </c>
      <c r="D27" s="116"/>
      <c r="E27" s="117" t="s">
        <v>154</v>
      </c>
      <c r="F27" s="116" t="s">
        <v>77</v>
      </c>
      <c r="G27" s="117">
        <v>1</v>
      </c>
      <c r="H27" s="127" t="s">
        <v>323</v>
      </c>
      <c r="I27" s="119" t="s">
        <v>106</v>
      </c>
      <c r="J27" s="120">
        <v>1</v>
      </c>
      <c r="K27" s="116"/>
      <c r="L27" s="121">
        <v>5</v>
      </c>
      <c r="M27" s="113"/>
      <c r="N27" s="113"/>
      <c r="O27" s="113"/>
      <c r="P27" s="113"/>
      <c r="Q27" s="113"/>
      <c r="R27" s="113"/>
      <c r="S27" s="113"/>
      <c r="T27" s="113"/>
      <c r="U27" s="113"/>
      <c r="V27" s="113"/>
      <c r="W27" s="113"/>
      <c r="X27" s="113"/>
      <c r="Y27" s="113"/>
      <c r="Z27" s="113"/>
    </row>
    <row r="28" ht="60" spans="1:26">
      <c r="A28" s="114"/>
      <c r="B28" s="115"/>
      <c r="C28" s="116"/>
      <c r="D28" s="116"/>
      <c r="E28" s="117"/>
      <c r="F28" s="116"/>
      <c r="G28" s="117">
        <v>2</v>
      </c>
      <c r="H28" s="128" t="s">
        <v>324</v>
      </c>
      <c r="I28" s="119" t="s">
        <v>325</v>
      </c>
      <c r="J28" s="120">
        <v>1</v>
      </c>
      <c r="K28" s="116"/>
      <c r="L28" s="121">
        <v>5</v>
      </c>
      <c r="M28" s="113"/>
      <c r="N28" s="113"/>
      <c r="O28" s="113"/>
      <c r="P28" s="113"/>
      <c r="Q28" s="113"/>
      <c r="R28" s="113"/>
      <c r="S28" s="113"/>
      <c r="T28" s="113"/>
      <c r="U28" s="113"/>
      <c r="V28" s="113"/>
      <c r="W28" s="113"/>
      <c r="X28" s="113"/>
      <c r="Y28" s="113"/>
      <c r="Z28" s="113"/>
    </row>
    <row r="29" spans="1:26">
      <c r="A29" s="114"/>
      <c r="B29" s="115"/>
      <c r="C29" s="116"/>
      <c r="D29" s="116"/>
      <c r="E29" s="117"/>
      <c r="F29" s="116"/>
      <c r="G29" s="117">
        <v>3</v>
      </c>
      <c r="H29" s="118"/>
      <c r="I29" s="119"/>
      <c r="J29" s="120"/>
      <c r="K29" s="120"/>
      <c r="L29" s="121"/>
      <c r="M29" s="113"/>
      <c r="N29" s="113"/>
      <c r="O29" s="113"/>
      <c r="P29" s="113"/>
      <c r="Q29" s="113"/>
      <c r="R29" s="113"/>
      <c r="S29" s="113"/>
      <c r="T29" s="113"/>
      <c r="U29" s="113"/>
      <c r="V29" s="113"/>
      <c r="W29" s="113"/>
      <c r="X29" s="113"/>
      <c r="Y29" s="113"/>
      <c r="Z29" s="113"/>
    </row>
    <row r="30" ht="24" spans="1:26">
      <c r="A30" s="114"/>
      <c r="B30" s="115"/>
      <c r="C30" s="116"/>
      <c r="D30" s="116"/>
      <c r="E30" s="117"/>
      <c r="F30" s="117" t="s">
        <v>182</v>
      </c>
      <c r="G30" s="117">
        <v>4</v>
      </c>
      <c r="H30" s="127" t="s">
        <v>326</v>
      </c>
      <c r="I30" s="119" t="s">
        <v>112</v>
      </c>
      <c r="J30" s="120">
        <v>1</v>
      </c>
      <c r="K30" s="120"/>
      <c r="L30" s="121">
        <v>1.5</v>
      </c>
      <c r="M30" s="113"/>
      <c r="N30" s="113"/>
      <c r="O30" s="113"/>
      <c r="P30" s="113"/>
      <c r="Q30" s="113"/>
      <c r="R30" s="113"/>
      <c r="S30" s="113"/>
      <c r="T30" s="113"/>
      <c r="U30" s="113"/>
      <c r="V30" s="113"/>
      <c r="W30" s="113"/>
      <c r="X30" s="113"/>
      <c r="Y30" s="113"/>
      <c r="Z30" s="113"/>
    </row>
    <row r="31" spans="1:26">
      <c r="A31" s="114"/>
      <c r="B31" s="115"/>
      <c r="C31" s="116"/>
      <c r="D31" s="116"/>
      <c r="E31" s="117"/>
      <c r="F31" s="129"/>
      <c r="G31" s="117">
        <v>5</v>
      </c>
      <c r="H31" s="118"/>
      <c r="I31" s="119"/>
      <c r="J31" s="120"/>
      <c r="K31" s="116"/>
      <c r="L31" s="121"/>
      <c r="M31" s="113"/>
      <c r="N31" s="113"/>
      <c r="O31" s="113"/>
      <c r="P31" s="113"/>
      <c r="Q31" s="113"/>
      <c r="R31" s="113"/>
      <c r="S31" s="113"/>
      <c r="T31" s="113"/>
      <c r="U31" s="113"/>
      <c r="V31" s="113"/>
      <c r="W31" s="113"/>
      <c r="X31" s="113"/>
      <c r="Y31" s="113"/>
      <c r="Z31" s="113"/>
    </row>
    <row r="32" spans="1:26">
      <c r="A32" s="114"/>
      <c r="B32" s="115"/>
      <c r="C32" s="116"/>
      <c r="D32" s="116"/>
      <c r="E32" s="122" t="s">
        <v>168</v>
      </c>
      <c r="F32" s="122"/>
      <c r="G32" s="122"/>
      <c r="H32" s="122"/>
      <c r="I32" s="122"/>
      <c r="J32" s="123"/>
      <c r="K32" s="124"/>
      <c r="L32" s="125">
        <f>SUM(L27:L31)</f>
        <v>11.5</v>
      </c>
      <c r="M32" s="113"/>
      <c r="N32" s="113"/>
      <c r="O32" s="113"/>
      <c r="P32" s="113"/>
      <c r="Q32" s="113"/>
      <c r="R32" s="113"/>
      <c r="S32" s="113"/>
      <c r="T32" s="113"/>
      <c r="U32" s="113"/>
      <c r="V32" s="113"/>
      <c r="W32" s="113"/>
      <c r="X32" s="113"/>
      <c r="Y32" s="113"/>
      <c r="Z32" s="113"/>
    </row>
    <row r="33" spans="1:26">
      <c r="A33" s="114"/>
      <c r="B33" s="115"/>
      <c r="C33" s="116"/>
      <c r="D33" s="116"/>
      <c r="E33" s="117" t="s">
        <v>169</v>
      </c>
      <c r="F33" s="117" t="s">
        <v>77</v>
      </c>
      <c r="G33" s="117">
        <v>1</v>
      </c>
      <c r="H33" s="118"/>
      <c r="I33" s="119"/>
      <c r="J33" s="126"/>
      <c r="K33" s="117"/>
      <c r="L33" s="121"/>
      <c r="M33" s="113"/>
      <c r="N33" s="113"/>
      <c r="O33" s="113"/>
      <c r="P33" s="113"/>
      <c r="Q33" s="113"/>
      <c r="R33" s="113"/>
      <c r="S33" s="113"/>
      <c r="T33" s="113"/>
      <c r="U33" s="113"/>
      <c r="V33" s="113"/>
      <c r="W33" s="113"/>
      <c r="X33" s="113"/>
      <c r="Y33" s="113"/>
      <c r="Z33" s="113"/>
    </row>
    <row r="34" ht="24" spans="1:26">
      <c r="A34" s="114" t="s">
        <v>280</v>
      </c>
      <c r="B34" s="115" t="s">
        <v>71</v>
      </c>
      <c r="C34" s="116" t="s">
        <v>23</v>
      </c>
      <c r="D34" s="116"/>
      <c r="E34" s="117" t="s">
        <v>154</v>
      </c>
      <c r="F34" s="116" t="s">
        <v>182</v>
      </c>
      <c r="G34" s="117">
        <v>1</v>
      </c>
      <c r="H34" s="127" t="s">
        <v>327</v>
      </c>
      <c r="I34" s="119" t="s">
        <v>34</v>
      </c>
      <c r="J34" s="120">
        <v>1</v>
      </c>
      <c r="K34" s="116"/>
      <c r="L34" s="121">
        <v>1</v>
      </c>
      <c r="M34" s="113"/>
      <c r="N34" s="113"/>
      <c r="O34" s="113"/>
      <c r="P34" s="113"/>
      <c r="Q34" s="113"/>
      <c r="R34" s="113"/>
      <c r="S34" s="113"/>
      <c r="T34" s="113"/>
      <c r="U34" s="113"/>
      <c r="V34" s="113"/>
      <c r="W34" s="113"/>
      <c r="X34" s="113"/>
      <c r="Y34" s="113"/>
      <c r="Z34" s="113"/>
    </row>
    <row r="35" ht="48" spans="1:26">
      <c r="A35" s="114"/>
      <c r="B35" s="115"/>
      <c r="C35" s="116"/>
      <c r="D35" s="116"/>
      <c r="E35" s="117"/>
      <c r="F35" s="116"/>
      <c r="G35" s="117">
        <v>2</v>
      </c>
      <c r="H35" s="128" t="s">
        <v>328</v>
      </c>
      <c r="I35" s="119" t="s">
        <v>34</v>
      </c>
      <c r="J35" s="120">
        <v>1</v>
      </c>
      <c r="K35" s="116"/>
      <c r="L35" s="121">
        <v>1</v>
      </c>
      <c r="M35" s="113"/>
      <c r="N35" s="113"/>
      <c r="O35" s="113"/>
      <c r="P35" s="113"/>
      <c r="Q35" s="113"/>
      <c r="R35" s="113"/>
      <c r="S35" s="113"/>
      <c r="T35" s="113"/>
      <c r="U35" s="113"/>
      <c r="V35" s="113"/>
      <c r="W35" s="113"/>
      <c r="X35" s="113"/>
      <c r="Y35" s="113"/>
      <c r="Z35" s="113"/>
    </row>
    <row r="36" spans="1:26">
      <c r="A36" s="114"/>
      <c r="B36" s="115"/>
      <c r="C36" s="116"/>
      <c r="D36" s="116"/>
      <c r="E36" s="117"/>
      <c r="F36" s="116"/>
      <c r="G36" s="117">
        <v>3</v>
      </c>
      <c r="H36" s="128" t="s">
        <v>329</v>
      </c>
      <c r="I36" s="119" t="s">
        <v>34</v>
      </c>
      <c r="J36" s="120">
        <v>1</v>
      </c>
      <c r="K36" s="116"/>
      <c r="L36" s="121">
        <v>0.62</v>
      </c>
      <c r="M36" s="113"/>
      <c r="N36" s="113"/>
      <c r="O36" s="113"/>
      <c r="P36" s="113"/>
      <c r="Q36" s="113"/>
      <c r="R36" s="113"/>
      <c r="S36" s="113"/>
      <c r="T36" s="113"/>
      <c r="U36" s="113"/>
      <c r="V36" s="113"/>
      <c r="W36" s="113"/>
      <c r="X36" s="113"/>
      <c r="Y36" s="113"/>
      <c r="Z36" s="113"/>
    </row>
    <row r="37" ht="48" spans="1:26">
      <c r="A37" s="114"/>
      <c r="B37" s="115"/>
      <c r="C37" s="116"/>
      <c r="D37" s="116"/>
      <c r="E37" s="117"/>
      <c r="F37" s="116"/>
      <c r="G37" s="117">
        <v>4</v>
      </c>
      <c r="H37" s="128" t="s">
        <v>330</v>
      </c>
      <c r="I37" s="119" t="s">
        <v>34</v>
      </c>
      <c r="J37" s="120">
        <v>1</v>
      </c>
      <c r="K37" s="116"/>
      <c r="L37" s="121">
        <v>0.5</v>
      </c>
      <c r="M37" s="113"/>
      <c r="N37" s="113"/>
      <c r="O37" s="113"/>
      <c r="P37" s="113"/>
      <c r="Q37" s="113"/>
      <c r="R37" s="113"/>
      <c r="S37" s="113"/>
      <c r="T37" s="113"/>
      <c r="U37" s="113"/>
      <c r="V37" s="113"/>
      <c r="W37" s="113"/>
      <c r="X37" s="113"/>
      <c r="Y37" s="113"/>
      <c r="Z37" s="113"/>
    </row>
    <row r="38" ht="24" spans="1:26">
      <c r="A38" s="114"/>
      <c r="B38" s="115"/>
      <c r="C38" s="116"/>
      <c r="D38" s="116"/>
      <c r="E38" s="117"/>
      <c r="F38" s="116"/>
      <c r="G38" s="117">
        <v>5</v>
      </c>
      <c r="H38" s="127" t="s">
        <v>331</v>
      </c>
      <c r="I38" s="119" t="s">
        <v>34</v>
      </c>
      <c r="J38" s="120">
        <v>0.6</v>
      </c>
      <c r="K38" s="120"/>
      <c r="L38" s="121">
        <v>0.62</v>
      </c>
      <c r="M38" s="113"/>
      <c r="N38" s="113"/>
      <c r="O38" s="113"/>
      <c r="P38" s="113"/>
      <c r="Q38" s="113"/>
      <c r="R38" s="113"/>
      <c r="S38" s="113"/>
      <c r="T38" s="113"/>
      <c r="U38" s="113"/>
      <c r="V38" s="113"/>
      <c r="W38" s="113"/>
      <c r="X38" s="113"/>
      <c r="Y38" s="113"/>
      <c r="Z38" s="113"/>
    </row>
    <row r="39" spans="1:26">
      <c r="A39" s="114"/>
      <c r="B39" s="115"/>
      <c r="C39" s="116"/>
      <c r="D39" s="116"/>
      <c r="E39" s="122" t="s">
        <v>168</v>
      </c>
      <c r="F39" s="122"/>
      <c r="G39" s="122"/>
      <c r="H39" s="122"/>
      <c r="I39" s="122"/>
      <c r="J39" s="123"/>
      <c r="K39" s="124"/>
      <c r="L39" s="125">
        <v>3.74</v>
      </c>
      <c r="M39" s="113"/>
      <c r="N39" s="113"/>
      <c r="O39" s="113"/>
      <c r="P39" s="113"/>
      <c r="Q39" s="113"/>
      <c r="R39" s="113"/>
      <c r="S39" s="113"/>
      <c r="T39" s="113"/>
      <c r="U39" s="113"/>
      <c r="V39" s="113"/>
      <c r="W39" s="113"/>
      <c r="X39" s="113"/>
      <c r="Y39" s="113"/>
      <c r="Z39" s="113"/>
    </row>
    <row r="40" spans="1:26">
      <c r="A40" s="114"/>
      <c r="B40" s="115"/>
      <c r="C40" s="116"/>
      <c r="D40" s="116"/>
      <c r="E40" s="117" t="s">
        <v>169</v>
      </c>
      <c r="F40" s="117" t="s">
        <v>77</v>
      </c>
      <c r="G40" s="117">
        <v>1</v>
      </c>
      <c r="H40" s="118"/>
      <c r="I40" s="119"/>
      <c r="J40" s="126"/>
      <c r="K40" s="117"/>
      <c r="L40" s="121"/>
      <c r="M40" s="113"/>
      <c r="N40" s="113"/>
      <c r="O40" s="113"/>
      <c r="P40" s="113"/>
      <c r="Q40" s="113"/>
      <c r="R40" s="113"/>
      <c r="S40" s="113"/>
      <c r="T40" s="113"/>
      <c r="U40" s="113"/>
      <c r="V40" s="113"/>
      <c r="W40" s="113"/>
      <c r="X40" s="113"/>
      <c r="Y40" s="113"/>
      <c r="Z40" s="113"/>
    </row>
    <row r="41" spans="1:26">
      <c r="A41" s="113"/>
      <c r="B41" s="134"/>
      <c r="C41" s="113"/>
      <c r="D41" s="113"/>
      <c r="E41" s="113"/>
      <c r="F41" s="113"/>
      <c r="G41" s="113"/>
      <c r="H41" s="135"/>
      <c r="I41" s="113"/>
      <c r="J41" s="113"/>
      <c r="K41" s="113"/>
      <c r="L41" s="113"/>
      <c r="M41" s="113"/>
      <c r="N41" s="113"/>
      <c r="O41" s="113"/>
      <c r="P41" s="113"/>
      <c r="Q41" s="113"/>
      <c r="R41" s="113"/>
      <c r="S41" s="113"/>
      <c r="T41" s="113"/>
      <c r="U41" s="113"/>
      <c r="V41" s="113"/>
      <c r="W41" s="113"/>
      <c r="X41" s="113"/>
      <c r="Y41" s="113"/>
      <c r="Z41" s="113"/>
    </row>
    <row r="42" spans="1:26">
      <c r="A42" s="113"/>
      <c r="B42" s="134"/>
      <c r="C42" s="113"/>
      <c r="D42" s="113"/>
      <c r="E42" s="113"/>
      <c r="F42" s="113"/>
      <c r="G42" s="113"/>
      <c r="H42" s="135"/>
      <c r="I42" s="113"/>
      <c r="J42" s="113"/>
      <c r="K42" s="113"/>
      <c r="L42" s="113"/>
      <c r="M42" s="113"/>
      <c r="N42" s="113"/>
      <c r="O42" s="113"/>
      <c r="P42" s="113"/>
      <c r="Q42" s="113"/>
      <c r="R42" s="113"/>
      <c r="S42" s="113"/>
      <c r="T42" s="113"/>
      <c r="U42" s="113"/>
      <c r="V42" s="113"/>
      <c r="W42" s="113"/>
      <c r="X42" s="113"/>
      <c r="Y42" s="113"/>
      <c r="Z42" s="113"/>
    </row>
    <row r="43" spans="1:26">
      <c r="A43" s="113"/>
      <c r="B43" s="134"/>
      <c r="C43" s="113"/>
      <c r="D43" s="113"/>
      <c r="E43" s="113"/>
      <c r="F43" s="113"/>
      <c r="G43" s="113"/>
      <c r="H43" s="135"/>
      <c r="I43" s="113"/>
      <c r="J43" s="113"/>
      <c r="K43" s="113"/>
      <c r="L43" s="113"/>
      <c r="M43" s="113"/>
      <c r="N43" s="113"/>
      <c r="O43" s="113"/>
      <c r="P43" s="113"/>
      <c r="Q43" s="113"/>
      <c r="R43" s="113"/>
      <c r="S43" s="113"/>
      <c r="T43" s="113"/>
      <c r="U43" s="113"/>
      <c r="V43" s="113"/>
      <c r="W43" s="113"/>
      <c r="X43" s="113"/>
      <c r="Y43" s="113"/>
      <c r="Z43" s="113"/>
    </row>
    <row r="44" spans="1:26">
      <c r="A44" s="113"/>
      <c r="B44" s="134"/>
      <c r="C44" s="113"/>
      <c r="D44" s="113"/>
      <c r="E44" s="113"/>
      <c r="F44" s="113"/>
      <c r="G44" s="113"/>
      <c r="H44" s="135"/>
      <c r="I44" s="113"/>
      <c r="J44" s="113"/>
      <c r="K44" s="113"/>
      <c r="L44" s="113"/>
      <c r="M44" s="113"/>
      <c r="N44" s="113"/>
      <c r="O44" s="113"/>
      <c r="P44" s="113"/>
      <c r="Q44" s="113"/>
      <c r="R44" s="113"/>
      <c r="S44" s="113"/>
      <c r="T44" s="113"/>
      <c r="U44" s="113"/>
      <c r="V44" s="113"/>
      <c r="W44" s="113"/>
      <c r="X44" s="113"/>
      <c r="Y44" s="113"/>
      <c r="Z44" s="113"/>
    </row>
    <row r="45" spans="1:26">
      <c r="A45" s="113"/>
      <c r="B45" s="134"/>
      <c r="C45" s="113"/>
      <c r="D45" s="113"/>
      <c r="E45" s="113"/>
      <c r="F45" s="113"/>
      <c r="G45" s="113"/>
      <c r="H45" s="135"/>
      <c r="I45" s="113"/>
      <c r="J45" s="113"/>
      <c r="K45" s="113"/>
      <c r="L45" s="113"/>
      <c r="M45" s="113"/>
      <c r="N45" s="113"/>
      <c r="O45" s="113"/>
      <c r="P45" s="113"/>
      <c r="Q45" s="113"/>
      <c r="R45" s="113"/>
      <c r="S45" s="113"/>
      <c r="T45" s="113"/>
      <c r="U45" s="113"/>
      <c r="V45" s="113"/>
      <c r="W45" s="113"/>
      <c r="X45" s="113"/>
      <c r="Y45" s="113"/>
      <c r="Z45" s="113"/>
    </row>
    <row r="46" spans="1:26">
      <c r="A46" s="113"/>
      <c r="B46" s="134"/>
      <c r="C46" s="113"/>
      <c r="D46" s="113"/>
      <c r="E46" s="113"/>
      <c r="F46" s="113"/>
      <c r="G46" s="113"/>
      <c r="H46" s="135"/>
      <c r="I46" s="113"/>
      <c r="J46" s="113"/>
      <c r="K46" s="113"/>
      <c r="L46" s="113"/>
      <c r="M46" s="113"/>
      <c r="N46" s="113"/>
      <c r="O46" s="113"/>
      <c r="P46" s="113"/>
      <c r="Q46" s="113"/>
      <c r="R46" s="113"/>
      <c r="S46" s="113"/>
      <c r="T46" s="113"/>
      <c r="U46" s="113"/>
      <c r="V46" s="113"/>
      <c r="W46" s="113"/>
      <c r="X46" s="113"/>
      <c r="Y46" s="113"/>
      <c r="Z46" s="113"/>
    </row>
    <row r="47" spans="1:26">
      <c r="A47" s="113"/>
      <c r="B47" s="134"/>
      <c r="C47" s="113"/>
      <c r="D47" s="113"/>
      <c r="E47" s="113"/>
      <c r="F47" s="113"/>
      <c r="G47" s="113"/>
      <c r="H47" s="135"/>
      <c r="I47" s="113"/>
      <c r="J47" s="113"/>
      <c r="K47" s="113"/>
      <c r="L47" s="113"/>
      <c r="M47" s="113"/>
      <c r="N47" s="113"/>
      <c r="O47" s="113"/>
      <c r="P47" s="113"/>
      <c r="Q47" s="113"/>
      <c r="R47" s="113"/>
      <c r="S47" s="113"/>
      <c r="T47" s="113"/>
      <c r="U47" s="113"/>
      <c r="V47" s="113"/>
      <c r="W47" s="113"/>
      <c r="X47" s="113"/>
      <c r="Y47" s="113"/>
      <c r="Z47" s="113"/>
    </row>
    <row r="48" spans="1:26">
      <c r="A48" s="113"/>
      <c r="B48" s="134"/>
      <c r="C48" s="113"/>
      <c r="D48" s="113"/>
      <c r="E48" s="113"/>
      <c r="F48" s="113"/>
      <c r="G48" s="113"/>
      <c r="H48" s="135"/>
      <c r="I48" s="113"/>
      <c r="J48" s="113"/>
      <c r="K48" s="113"/>
      <c r="L48" s="113"/>
      <c r="M48" s="113"/>
      <c r="N48" s="113"/>
      <c r="O48" s="113"/>
      <c r="P48" s="113"/>
      <c r="Q48" s="113"/>
      <c r="R48" s="113"/>
      <c r="S48" s="113"/>
      <c r="T48" s="113"/>
      <c r="U48" s="113"/>
      <c r="V48" s="113"/>
      <c r="W48" s="113"/>
      <c r="X48" s="113"/>
      <c r="Y48" s="113"/>
      <c r="Z48" s="113"/>
    </row>
    <row r="49" spans="1:26">
      <c r="A49" s="113"/>
      <c r="B49" s="134"/>
      <c r="C49" s="113"/>
      <c r="D49" s="113"/>
      <c r="E49" s="113"/>
      <c r="F49" s="113"/>
      <c r="G49" s="113"/>
      <c r="H49" s="135"/>
      <c r="I49" s="113"/>
      <c r="J49" s="113"/>
      <c r="K49" s="113"/>
      <c r="L49" s="113"/>
      <c r="M49" s="113"/>
      <c r="N49" s="113"/>
      <c r="O49" s="113"/>
      <c r="P49" s="113"/>
      <c r="Q49" s="113"/>
      <c r="R49" s="113"/>
      <c r="S49" s="113"/>
      <c r="T49" s="113"/>
      <c r="U49" s="113"/>
      <c r="V49" s="113"/>
      <c r="W49" s="113"/>
      <c r="X49" s="113"/>
      <c r="Y49" s="113"/>
      <c r="Z49" s="113"/>
    </row>
    <row r="50" spans="1:26">
      <c r="A50" s="113"/>
      <c r="B50" s="134"/>
      <c r="C50" s="113"/>
      <c r="D50" s="113"/>
      <c r="E50" s="113"/>
      <c r="F50" s="113"/>
      <c r="G50" s="113"/>
      <c r="H50" s="135"/>
      <c r="I50" s="113"/>
      <c r="J50" s="113"/>
      <c r="K50" s="113"/>
      <c r="L50" s="113"/>
      <c r="M50" s="113"/>
      <c r="N50" s="113"/>
      <c r="O50" s="113"/>
      <c r="P50" s="113"/>
      <c r="Q50" s="113"/>
      <c r="R50" s="113"/>
      <c r="S50" s="113"/>
      <c r="T50" s="113"/>
      <c r="U50" s="113"/>
      <c r="V50" s="113"/>
      <c r="W50" s="113"/>
      <c r="X50" s="113"/>
      <c r="Y50" s="113"/>
      <c r="Z50" s="113"/>
    </row>
    <row r="51" spans="1:26">
      <c r="A51" s="113"/>
      <c r="B51" s="134"/>
      <c r="C51" s="113"/>
      <c r="D51" s="113"/>
      <c r="E51" s="113"/>
      <c r="F51" s="113"/>
      <c r="G51" s="113"/>
      <c r="H51" s="135"/>
      <c r="I51" s="113"/>
      <c r="J51" s="113"/>
      <c r="K51" s="113"/>
      <c r="L51" s="113"/>
      <c r="M51" s="113"/>
      <c r="N51" s="113"/>
      <c r="O51" s="113"/>
      <c r="P51" s="113"/>
      <c r="Q51" s="113"/>
      <c r="R51" s="113"/>
      <c r="S51" s="113"/>
      <c r="T51" s="113"/>
      <c r="U51" s="113"/>
      <c r="V51" s="113"/>
      <c r="W51" s="113"/>
      <c r="X51" s="113"/>
      <c r="Y51" s="113"/>
      <c r="Z51" s="113"/>
    </row>
    <row r="52" spans="1:26">
      <c r="A52" s="113"/>
      <c r="B52" s="134"/>
      <c r="C52" s="113"/>
      <c r="D52" s="113"/>
      <c r="E52" s="113"/>
      <c r="F52" s="113"/>
      <c r="G52" s="113"/>
      <c r="H52" s="135"/>
      <c r="I52" s="113"/>
      <c r="J52" s="113"/>
      <c r="K52" s="113"/>
      <c r="L52" s="113"/>
      <c r="M52" s="113"/>
      <c r="N52" s="113"/>
      <c r="O52" s="113"/>
      <c r="P52" s="113"/>
      <c r="Q52" s="113"/>
      <c r="R52" s="113"/>
      <c r="S52" s="113"/>
      <c r="T52" s="113"/>
      <c r="U52" s="113"/>
      <c r="V52" s="113"/>
      <c r="W52" s="113"/>
      <c r="X52" s="113"/>
      <c r="Y52" s="113"/>
      <c r="Z52" s="113"/>
    </row>
    <row r="53" spans="1:26">
      <c r="A53" s="113"/>
      <c r="B53" s="134"/>
      <c r="C53" s="113"/>
      <c r="D53" s="113"/>
      <c r="E53" s="113"/>
      <c r="F53" s="113"/>
      <c r="G53" s="113"/>
      <c r="H53" s="135"/>
      <c r="I53" s="113"/>
      <c r="J53" s="113"/>
      <c r="K53" s="113"/>
      <c r="L53" s="113"/>
      <c r="M53" s="113"/>
      <c r="N53" s="113"/>
      <c r="O53" s="113"/>
      <c r="P53" s="113"/>
      <c r="Q53" s="113"/>
      <c r="R53" s="113"/>
      <c r="S53" s="113"/>
      <c r="T53" s="113"/>
      <c r="U53" s="113"/>
      <c r="V53" s="113"/>
      <c r="W53" s="113"/>
      <c r="X53" s="113"/>
      <c r="Y53" s="113"/>
      <c r="Z53" s="113"/>
    </row>
    <row r="54" spans="1:26">
      <c r="A54" s="113"/>
      <c r="B54" s="134"/>
      <c r="C54" s="113"/>
      <c r="D54" s="113"/>
      <c r="E54" s="113"/>
      <c r="F54" s="113"/>
      <c r="G54" s="113"/>
      <c r="H54" s="135"/>
      <c r="I54" s="113"/>
      <c r="J54" s="113"/>
      <c r="K54" s="113"/>
      <c r="L54" s="113"/>
      <c r="M54" s="113"/>
      <c r="N54" s="113"/>
      <c r="O54" s="113"/>
      <c r="P54" s="113"/>
      <c r="Q54" s="113"/>
      <c r="R54" s="113"/>
      <c r="S54" s="113"/>
      <c r="T54" s="113"/>
      <c r="U54" s="113"/>
      <c r="V54" s="113"/>
      <c r="W54" s="113"/>
      <c r="X54" s="113"/>
      <c r="Y54" s="113"/>
      <c r="Z54" s="113"/>
    </row>
    <row r="55" spans="1:26">
      <c r="A55" s="113"/>
      <c r="B55" s="134"/>
      <c r="C55" s="113"/>
      <c r="D55" s="113"/>
      <c r="E55" s="113"/>
      <c r="F55" s="113"/>
      <c r="G55" s="113"/>
      <c r="H55" s="135"/>
      <c r="I55" s="113"/>
      <c r="J55" s="113"/>
      <c r="K55" s="113"/>
      <c r="L55" s="113"/>
      <c r="M55" s="113"/>
      <c r="N55" s="113"/>
      <c r="O55" s="113"/>
      <c r="P55" s="113"/>
      <c r="Q55" s="113"/>
      <c r="R55" s="113"/>
      <c r="S55" s="113"/>
      <c r="T55" s="113"/>
      <c r="U55" s="113"/>
      <c r="V55" s="113"/>
      <c r="W55" s="113"/>
      <c r="X55" s="113"/>
      <c r="Y55" s="113"/>
      <c r="Z55" s="113"/>
    </row>
    <row r="56" spans="1:26">
      <c r="A56" s="113"/>
      <c r="B56" s="134"/>
      <c r="C56" s="113"/>
      <c r="D56" s="113"/>
      <c r="E56" s="113"/>
      <c r="F56" s="113"/>
      <c r="G56" s="113"/>
      <c r="H56" s="135"/>
      <c r="I56" s="113"/>
      <c r="J56" s="113"/>
      <c r="K56" s="113"/>
      <c r="L56" s="113"/>
      <c r="M56" s="113"/>
      <c r="N56" s="113"/>
      <c r="O56" s="113"/>
      <c r="P56" s="113"/>
      <c r="Q56" s="113"/>
      <c r="R56" s="113"/>
      <c r="S56" s="113"/>
      <c r="T56" s="113"/>
      <c r="U56" s="113"/>
      <c r="V56" s="113"/>
      <c r="W56" s="113"/>
      <c r="X56" s="113"/>
      <c r="Y56" s="113"/>
      <c r="Z56" s="113"/>
    </row>
    <row r="57" spans="1:26">
      <c r="A57" s="113"/>
      <c r="B57" s="134"/>
      <c r="C57" s="113"/>
      <c r="D57" s="113"/>
      <c r="E57" s="113"/>
      <c r="F57" s="113"/>
      <c r="G57" s="113"/>
      <c r="H57" s="135"/>
      <c r="I57" s="113"/>
      <c r="J57" s="113"/>
      <c r="K57" s="113"/>
      <c r="L57" s="113"/>
      <c r="M57" s="113"/>
      <c r="N57" s="113"/>
      <c r="O57" s="113"/>
      <c r="P57" s="113"/>
      <c r="Q57" s="113"/>
      <c r="R57" s="113"/>
      <c r="S57" s="113"/>
      <c r="T57" s="113"/>
      <c r="U57" s="113"/>
      <c r="V57" s="113"/>
      <c r="W57" s="113"/>
      <c r="X57" s="113"/>
      <c r="Y57" s="113"/>
      <c r="Z57" s="113"/>
    </row>
    <row r="58" spans="1:26">
      <c r="A58" s="113"/>
      <c r="B58" s="134"/>
      <c r="C58" s="113"/>
      <c r="D58" s="113"/>
      <c r="E58" s="113"/>
      <c r="F58" s="113"/>
      <c r="G58" s="113"/>
      <c r="H58" s="135"/>
      <c r="I58" s="113"/>
      <c r="J58" s="113"/>
      <c r="K58" s="113"/>
      <c r="L58" s="113"/>
      <c r="M58" s="113"/>
      <c r="N58" s="113"/>
      <c r="O58" s="113"/>
      <c r="P58" s="113"/>
      <c r="Q58" s="113"/>
      <c r="R58" s="113"/>
      <c r="S58" s="113"/>
      <c r="T58" s="113"/>
      <c r="U58" s="113"/>
      <c r="V58" s="113"/>
      <c r="W58" s="113"/>
      <c r="X58" s="113"/>
      <c r="Y58" s="113"/>
      <c r="Z58" s="113"/>
    </row>
    <row r="59" spans="1:26">
      <c r="A59" s="113"/>
      <c r="B59" s="134"/>
      <c r="C59" s="113"/>
      <c r="D59" s="113"/>
      <c r="E59" s="113"/>
      <c r="F59" s="113"/>
      <c r="G59" s="113"/>
      <c r="H59" s="135"/>
      <c r="I59" s="113"/>
      <c r="J59" s="113"/>
      <c r="K59" s="113"/>
      <c r="L59" s="113"/>
      <c r="M59" s="113"/>
      <c r="N59" s="113"/>
      <c r="O59" s="113"/>
      <c r="P59" s="113"/>
      <c r="Q59" s="113"/>
      <c r="R59" s="113"/>
      <c r="S59" s="113"/>
      <c r="T59" s="113"/>
      <c r="U59" s="113"/>
      <c r="V59" s="113"/>
      <c r="W59" s="113"/>
      <c r="X59" s="113"/>
      <c r="Y59" s="113"/>
      <c r="Z59" s="113"/>
    </row>
    <row r="60" spans="1:26">
      <c r="A60" s="113"/>
      <c r="B60" s="134"/>
      <c r="C60" s="113"/>
      <c r="D60" s="113"/>
      <c r="E60" s="113"/>
      <c r="F60" s="113"/>
      <c r="G60" s="113"/>
      <c r="H60" s="135"/>
      <c r="I60" s="113"/>
      <c r="J60" s="113"/>
      <c r="K60" s="113"/>
      <c r="L60" s="113"/>
      <c r="M60" s="113"/>
      <c r="N60" s="113"/>
      <c r="O60" s="113"/>
      <c r="P60" s="113"/>
      <c r="Q60" s="113"/>
      <c r="R60" s="113"/>
      <c r="S60" s="113"/>
      <c r="T60" s="113"/>
      <c r="U60" s="113"/>
      <c r="V60" s="113"/>
      <c r="W60" s="113"/>
      <c r="X60" s="113"/>
      <c r="Y60" s="113"/>
      <c r="Z60" s="113"/>
    </row>
    <row r="61" spans="1:26">
      <c r="A61" s="113"/>
      <c r="B61" s="134"/>
      <c r="C61" s="113"/>
      <c r="D61" s="113"/>
      <c r="E61" s="113"/>
      <c r="F61" s="113"/>
      <c r="G61" s="113"/>
      <c r="H61" s="135"/>
      <c r="I61" s="113"/>
      <c r="J61" s="113"/>
      <c r="K61" s="113"/>
      <c r="L61" s="113"/>
      <c r="M61" s="113"/>
      <c r="N61" s="113"/>
      <c r="O61" s="113"/>
      <c r="P61" s="113"/>
      <c r="Q61" s="113"/>
      <c r="R61" s="113"/>
      <c r="S61" s="113"/>
      <c r="T61" s="113"/>
      <c r="U61" s="113"/>
      <c r="V61" s="113"/>
      <c r="W61" s="113"/>
      <c r="X61" s="113"/>
      <c r="Y61" s="113"/>
      <c r="Z61" s="113"/>
    </row>
    <row r="62" spans="1:26">
      <c r="A62" s="113"/>
      <c r="B62" s="134"/>
      <c r="C62" s="113"/>
      <c r="D62" s="113"/>
      <c r="E62" s="113"/>
      <c r="F62" s="113"/>
      <c r="G62" s="113"/>
      <c r="H62" s="135"/>
      <c r="I62" s="113"/>
      <c r="J62" s="113"/>
      <c r="K62" s="113"/>
      <c r="L62" s="113"/>
      <c r="M62" s="113"/>
      <c r="N62" s="113"/>
      <c r="O62" s="113"/>
      <c r="P62" s="113"/>
      <c r="Q62" s="113"/>
      <c r="R62" s="113"/>
      <c r="S62" s="113"/>
      <c r="T62" s="113"/>
      <c r="U62" s="113"/>
      <c r="V62" s="113"/>
      <c r="W62" s="113"/>
      <c r="X62" s="113"/>
      <c r="Y62" s="113"/>
      <c r="Z62" s="113"/>
    </row>
    <row r="63" spans="1:26">
      <c r="A63" s="113"/>
      <c r="B63" s="134"/>
      <c r="C63" s="113"/>
      <c r="D63" s="113"/>
      <c r="E63" s="113"/>
      <c r="F63" s="113"/>
      <c r="G63" s="113"/>
      <c r="H63" s="135"/>
      <c r="I63" s="113"/>
      <c r="J63" s="113"/>
      <c r="K63" s="113"/>
      <c r="L63" s="113"/>
      <c r="M63" s="113"/>
      <c r="N63" s="113"/>
      <c r="O63" s="113"/>
      <c r="P63" s="113"/>
      <c r="Q63" s="113"/>
      <c r="R63" s="113"/>
      <c r="S63" s="113"/>
      <c r="T63" s="113"/>
      <c r="U63" s="113"/>
      <c r="V63" s="113"/>
      <c r="W63" s="113"/>
      <c r="X63" s="113"/>
      <c r="Y63" s="113"/>
      <c r="Z63" s="113"/>
    </row>
    <row r="64" spans="1:26">
      <c r="A64" s="113"/>
      <c r="B64" s="134"/>
      <c r="C64" s="113"/>
      <c r="D64" s="113"/>
      <c r="E64" s="113"/>
      <c r="F64" s="113"/>
      <c r="G64" s="113"/>
      <c r="H64" s="135"/>
      <c r="I64" s="113"/>
      <c r="J64" s="113"/>
      <c r="K64" s="113"/>
      <c r="L64" s="113"/>
      <c r="M64" s="113"/>
      <c r="N64" s="113"/>
      <c r="O64" s="113"/>
      <c r="P64" s="113"/>
      <c r="Q64" s="113"/>
      <c r="R64" s="113"/>
      <c r="S64" s="113"/>
      <c r="T64" s="113"/>
      <c r="U64" s="113"/>
      <c r="V64" s="113"/>
      <c r="W64" s="113"/>
      <c r="X64" s="113"/>
      <c r="Y64" s="113"/>
      <c r="Z64" s="113"/>
    </row>
    <row r="65" spans="1:26">
      <c r="A65" s="113"/>
      <c r="B65" s="134"/>
      <c r="C65" s="113"/>
      <c r="D65" s="113"/>
      <c r="E65" s="113"/>
      <c r="F65" s="113"/>
      <c r="G65" s="113"/>
      <c r="H65" s="135"/>
      <c r="I65" s="113"/>
      <c r="J65" s="113"/>
      <c r="K65" s="113"/>
      <c r="L65" s="113"/>
      <c r="M65" s="113"/>
      <c r="N65" s="113"/>
      <c r="O65" s="113"/>
      <c r="P65" s="113"/>
      <c r="Q65" s="113"/>
      <c r="R65" s="113"/>
      <c r="S65" s="113"/>
      <c r="T65" s="113"/>
      <c r="U65" s="113"/>
      <c r="V65" s="113"/>
      <c r="W65" s="113"/>
      <c r="X65" s="113"/>
      <c r="Y65" s="113"/>
      <c r="Z65" s="113"/>
    </row>
    <row r="66" spans="1:26">
      <c r="A66" s="113"/>
      <c r="B66" s="134"/>
      <c r="C66" s="113"/>
      <c r="D66" s="113"/>
      <c r="E66" s="113"/>
      <c r="F66" s="113"/>
      <c r="G66" s="113"/>
      <c r="H66" s="135"/>
      <c r="I66" s="113"/>
      <c r="J66" s="113"/>
      <c r="K66" s="113"/>
      <c r="L66" s="113"/>
      <c r="M66" s="113"/>
      <c r="N66" s="113"/>
      <c r="O66" s="113"/>
      <c r="P66" s="113"/>
      <c r="Q66" s="113"/>
      <c r="R66" s="113"/>
      <c r="S66" s="113"/>
      <c r="T66" s="113"/>
      <c r="U66" s="113"/>
      <c r="V66" s="113"/>
      <c r="W66" s="113"/>
      <c r="X66" s="113"/>
      <c r="Y66" s="113"/>
      <c r="Z66" s="113"/>
    </row>
    <row r="67" spans="1:26">
      <c r="A67" s="113"/>
      <c r="B67" s="134"/>
      <c r="C67" s="113"/>
      <c r="D67" s="113"/>
      <c r="E67" s="113"/>
      <c r="F67" s="113"/>
      <c r="G67" s="113"/>
      <c r="H67" s="135"/>
      <c r="I67" s="113"/>
      <c r="J67" s="113"/>
      <c r="K67" s="113"/>
      <c r="L67" s="113"/>
      <c r="M67" s="113"/>
      <c r="N67" s="113"/>
      <c r="O67" s="113"/>
      <c r="P67" s="113"/>
      <c r="Q67" s="113"/>
      <c r="R67" s="113"/>
      <c r="S67" s="113"/>
      <c r="T67" s="113"/>
      <c r="U67" s="113"/>
      <c r="V67" s="113"/>
      <c r="W67" s="113"/>
      <c r="X67" s="113"/>
      <c r="Y67" s="113"/>
      <c r="Z67" s="113"/>
    </row>
    <row r="68" spans="1:26">
      <c r="A68" s="113"/>
      <c r="B68" s="134"/>
      <c r="C68" s="113"/>
      <c r="D68" s="113"/>
      <c r="E68" s="113"/>
      <c r="F68" s="113"/>
      <c r="G68" s="113"/>
      <c r="H68" s="135"/>
      <c r="I68" s="113"/>
      <c r="J68" s="113"/>
      <c r="K68" s="113"/>
      <c r="L68" s="113"/>
      <c r="M68" s="113"/>
      <c r="N68" s="113"/>
      <c r="O68" s="113"/>
      <c r="P68" s="113"/>
      <c r="Q68" s="113"/>
      <c r="R68" s="113"/>
      <c r="S68" s="113"/>
      <c r="T68" s="113"/>
      <c r="U68" s="113"/>
      <c r="V68" s="113"/>
      <c r="W68" s="113"/>
      <c r="X68" s="113"/>
      <c r="Y68" s="113"/>
      <c r="Z68" s="113"/>
    </row>
    <row r="69" spans="1:26">
      <c r="A69" s="113"/>
      <c r="B69" s="134"/>
      <c r="C69" s="113"/>
      <c r="D69" s="113"/>
      <c r="E69" s="113"/>
      <c r="F69" s="113"/>
      <c r="G69" s="113"/>
      <c r="H69" s="135"/>
      <c r="I69" s="113"/>
      <c r="J69" s="113"/>
      <c r="K69" s="113"/>
      <c r="L69" s="113"/>
      <c r="M69" s="113"/>
      <c r="N69" s="113"/>
      <c r="O69" s="113"/>
      <c r="P69" s="113"/>
      <c r="Q69" s="113"/>
      <c r="R69" s="113"/>
      <c r="S69" s="113"/>
      <c r="T69" s="113"/>
      <c r="U69" s="113"/>
      <c r="V69" s="113"/>
      <c r="W69" s="113"/>
      <c r="X69" s="113"/>
      <c r="Y69" s="113"/>
      <c r="Z69" s="113"/>
    </row>
    <row r="70" spans="1:26">
      <c r="A70" s="113"/>
      <c r="B70" s="134"/>
      <c r="C70" s="113"/>
      <c r="D70" s="113"/>
      <c r="E70" s="113"/>
      <c r="F70" s="113"/>
      <c r="G70" s="113"/>
      <c r="H70" s="135"/>
      <c r="I70" s="113"/>
      <c r="J70" s="113"/>
      <c r="K70" s="113"/>
      <c r="L70" s="113"/>
      <c r="M70" s="113"/>
      <c r="N70" s="113"/>
      <c r="O70" s="113"/>
      <c r="P70" s="113"/>
      <c r="Q70" s="113"/>
      <c r="R70" s="113"/>
      <c r="S70" s="113"/>
      <c r="T70" s="113"/>
      <c r="U70" s="113"/>
      <c r="V70" s="113"/>
      <c r="W70" s="113"/>
      <c r="X70" s="113"/>
      <c r="Y70" s="113"/>
      <c r="Z70" s="113"/>
    </row>
    <row r="71" spans="1:26">
      <c r="A71" s="113"/>
      <c r="B71" s="134"/>
      <c r="C71" s="113"/>
      <c r="D71" s="113"/>
      <c r="E71" s="113"/>
      <c r="F71" s="113"/>
      <c r="G71" s="113"/>
      <c r="H71" s="135"/>
      <c r="I71" s="113"/>
      <c r="J71" s="113"/>
      <c r="K71" s="113"/>
      <c r="L71" s="113"/>
      <c r="M71" s="113"/>
      <c r="N71" s="113"/>
      <c r="O71" s="113"/>
      <c r="P71" s="113"/>
      <c r="Q71" s="113"/>
      <c r="R71" s="113"/>
      <c r="S71" s="113"/>
      <c r="T71" s="113"/>
      <c r="U71" s="113"/>
      <c r="V71" s="113"/>
      <c r="W71" s="113"/>
      <c r="X71" s="113"/>
      <c r="Y71" s="113"/>
      <c r="Z71" s="113"/>
    </row>
    <row r="72" spans="1:26">
      <c r="A72" s="113"/>
      <c r="B72" s="134"/>
      <c r="C72" s="113"/>
      <c r="D72" s="113"/>
      <c r="E72" s="113"/>
      <c r="F72" s="113"/>
      <c r="G72" s="113"/>
      <c r="H72" s="135"/>
      <c r="I72" s="113"/>
      <c r="J72" s="113"/>
      <c r="K72" s="113"/>
      <c r="L72" s="113"/>
      <c r="M72" s="113"/>
      <c r="N72" s="113"/>
      <c r="O72" s="113"/>
      <c r="P72" s="113"/>
      <c r="Q72" s="113"/>
      <c r="R72" s="113"/>
      <c r="S72" s="113"/>
      <c r="T72" s="113"/>
      <c r="U72" s="113"/>
      <c r="V72" s="113"/>
      <c r="W72" s="113"/>
      <c r="X72" s="113"/>
      <c r="Y72" s="113"/>
      <c r="Z72" s="113"/>
    </row>
    <row r="73" spans="1:26">
      <c r="A73" s="113"/>
      <c r="B73" s="134"/>
      <c r="C73" s="113"/>
      <c r="D73" s="113"/>
      <c r="E73" s="113"/>
      <c r="F73" s="113"/>
      <c r="G73" s="113"/>
      <c r="H73" s="135"/>
      <c r="I73" s="113"/>
      <c r="J73" s="113"/>
      <c r="K73" s="113"/>
      <c r="L73" s="113"/>
      <c r="M73" s="113"/>
      <c r="N73" s="113"/>
      <c r="O73" s="113"/>
      <c r="P73" s="113"/>
      <c r="Q73" s="113"/>
      <c r="R73" s="113"/>
      <c r="S73" s="113"/>
      <c r="T73" s="113"/>
      <c r="U73" s="113"/>
      <c r="V73" s="113"/>
      <c r="W73" s="113"/>
      <c r="X73" s="113"/>
      <c r="Y73" s="113"/>
      <c r="Z73" s="113"/>
    </row>
    <row r="74" spans="1:26">
      <c r="A74" s="113"/>
      <c r="B74" s="134"/>
      <c r="C74" s="113"/>
      <c r="D74" s="113"/>
      <c r="E74" s="113"/>
      <c r="F74" s="113"/>
      <c r="G74" s="113"/>
      <c r="H74" s="135"/>
      <c r="I74" s="113"/>
      <c r="J74" s="113"/>
      <c r="K74" s="113"/>
      <c r="L74" s="113"/>
      <c r="M74" s="113"/>
      <c r="N74" s="113"/>
      <c r="O74" s="113"/>
      <c r="P74" s="113"/>
      <c r="Q74" s="113"/>
      <c r="R74" s="113"/>
      <c r="S74" s="113"/>
      <c r="T74" s="113"/>
      <c r="U74" s="113"/>
      <c r="V74" s="113"/>
      <c r="W74" s="113"/>
      <c r="X74" s="113"/>
      <c r="Y74" s="113"/>
      <c r="Z74" s="113"/>
    </row>
    <row r="75" spans="1:26">
      <c r="A75" s="113"/>
      <c r="B75" s="134"/>
      <c r="C75" s="113"/>
      <c r="D75" s="113"/>
      <c r="E75" s="113"/>
      <c r="F75" s="113"/>
      <c r="G75" s="113"/>
      <c r="H75" s="135"/>
      <c r="I75" s="113"/>
      <c r="J75" s="113"/>
      <c r="K75" s="113"/>
      <c r="L75" s="113"/>
      <c r="M75" s="113"/>
      <c r="N75" s="113"/>
      <c r="O75" s="113"/>
      <c r="P75" s="113"/>
      <c r="Q75" s="113"/>
      <c r="R75" s="113"/>
      <c r="S75" s="113"/>
      <c r="T75" s="113"/>
      <c r="U75" s="113"/>
      <c r="V75" s="113"/>
      <c r="W75" s="113"/>
      <c r="X75" s="113"/>
      <c r="Y75" s="113"/>
      <c r="Z75" s="113"/>
    </row>
    <row r="76" spans="1:26">
      <c r="A76" s="113"/>
      <c r="B76" s="134"/>
      <c r="C76" s="113"/>
      <c r="D76" s="113"/>
      <c r="E76" s="113"/>
      <c r="F76" s="113"/>
      <c r="G76" s="113"/>
      <c r="H76" s="135"/>
      <c r="I76" s="113"/>
      <c r="J76" s="113"/>
      <c r="K76" s="113"/>
      <c r="L76" s="113"/>
      <c r="M76" s="113"/>
      <c r="N76" s="113"/>
      <c r="O76" s="113"/>
      <c r="P76" s="113"/>
      <c r="Q76" s="113"/>
      <c r="R76" s="113"/>
      <c r="S76" s="113"/>
      <c r="T76" s="113"/>
      <c r="U76" s="113"/>
      <c r="V76" s="113"/>
      <c r="W76" s="113"/>
      <c r="X76" s="113"/>
      <c r="Y76" s="113"/>
      <c r="Z76" s="113"/>
    </row>
    <row r="77" spans="1:26">
      <c r="A77" s="113"/>
      <c r="B77" s="134"/>
      <c r="C77" s="113"/>
      <c r="D77" s="113"/>
      <c r="E77" s="113"/>
      <c r="F77" s="113"/>
      <c r="G77" s="113"/>
      <c r="H77" s="135"/>
      <c r="I77" s="113"/>
      <c r="J77" s="113"/>
      <c r="K77" s="113"/>
      <c r="L77" s="113"/>
      <c r="M77" s="113"/>
      <c r="N77" s="113"/>
      <c r="O77" s="113"/>
      <c r="P77" s="113"/>
      <c r="Q77" s="113"/>
      <c r="R77" s="113"/>
      <c r="S77" s="113"/>
      <c r="T77" s="113"/>
      <c r="U77" s="113"/>
      <c r="V77" s="113"/>
      <c r="W77" s="113"/>
      <c r="X77" s="113"/>
      <c r="Y77" s="113"/>
      <c r="Z77" s="113"/>
    </row>
    <row r="78" spans="1:26">
      <c r="A78" s="113"/>
      <c r="B78" s="134"/>
      <c r="C78" s="113"/>
      <c r="D78" s="113"/>
      <c r="E78" s="113"/>
      <c r="F78" s="113"/>
      <c r="G78" s="113"/>
      <c r="H78" s="135"/>
      <c r="I78" s="113"/>
      <c r="J78" s="113"/>
      <c r="K78" s="113"/>
      <c r="L78" s="113"/>
      <c r="M78" s="113"/>
      <c r="N78" s="113"/>
      <c r="O78" s="113"/>
      <c r="P78" s="113"/>
      <c r="Q78" s="113"/>
      <c r="R78" s="113"/>
      <c r="S78" s="113"/>
      <c r="T78" s="113"/>
      <c r="U78" s="113"/>
      <c r="V78" s="113"/>
      <c r="W78" s="113"/>
      <c r="X78" s="113"/>
      <c r="Y78" s="113"/>
      <c r="Z78" s="113"/>
    </row>
    <row r="79" spans="1:26">
      <c r="A79" s="113"/>
      <c r="B79" s="134"/>
      <c r="C79" s="113"/>
      <c r="D79" s="113"/>
      <c r="E79" s="113"/>
      <c r="F79" s="113"/>
      <c r="G79" s="113"/>
      <c r="H79" s="135"/>
      <c r="I79" s="113"/>
      <c r="J79" s="113"/>
      <c r="K79" s="113"/>
      <c r="L79" s="113"/>
      <c r="M79" s="113"/>
      <c r="N79" s="113"/>
      <c r="O79" s="113"/>
      <c r="P79" s="113"/>
      <c r="Q79" s="113"/>
      <c r="R79" s="113"/>
      <c r="S79" s="113"/>
      <c r="T79" s="113"/>
      <c r="U79" s="113"/>
      <c r="V79" s="113"/>
      <c r="W79" s="113"/>
      <c r="X79" s="113"/>
      <c r="Y79" s="113"/>
      <c r="Z79" s="113"/>
    </row>
    <row r="80" spans="1:26">
      <c r="A80" s="113"/>
      <c r="B80" s="134"/>
      <c r="C80" s="113"/>
      <c r="D80" s="113"/>
      <c r="E80" s="113"/>
      <c r="F80" s="113"/>
      <c r="G80" s="113"/>
      <c r="H80" s="135"/>
      <c r="I80" s="113"/>
      <c r="J80" s="113"/>
      <c r="K80" s="113"/>
      <c r="L80" s="113"/>
      <c r="M80" s="113"/>
      <c r="N80" s="113"/>
      <c r="O80" s="113"/>
      <c r="P80" s="113"/>
      <c r="Q80" s="113"/>
      <c r="R80" s="113"/>
      <c r="S80" s="113"/>
      <c r="T80" s="113"/>
      <c r="U80" s="113"/>
      <c r="V80" s="113"/>
      <c r="W80" s="113"/>
      <c r="X80" s="113"/>
      <c r="Y80" s="113"/>
      <c r="Z80" s="113"/>
    </row>
    <row r="81" spans="1:26">
      <c r="A81" s="113"/>
      <c r="B81" s="134"/>
      <c r="C81" s="113"/>
      <c r="D81" s="113"/>
      <c r="E81" s="113"/>
      <c r="F81" s="113"/>
      <c r="G81" s="113"/>
      <c r="H81" s="135"/>
      <c r="I81" s="113"/>
      <c r="J81" s="113"/>
      <c r="K81" s="113"/>
      <c r="L81" s="113"/>
      <c r="M81" s="113"/>
      <c r="N81" s="113"/>
      <c r="O81" s="113"/>
      <c r="P81" s="113"/>
      <c r="Q81" s="113"/>
      <c r="R81" s="113"/>
      <c r="S81" s="113"/>
      <c r="T81" s="113"/>
      <c r="U81" s="113"/>
      <c r="V81" s="113"/>
      <c r="W81" s="113"/>
      <c r="X81" s="113"/>
      <c r="Y81" s="113"/>
      <c r="Z81" s="113"/>
    </row>
    <row r="82" spans="1:26">
      <c r="A82" s="113"/>
      <c r="B82" s="134"/>
      <c r="C82" s="113"/>
      <c r="D82" s="113"/>
      <c r="E82" s="113"/>
      <c r="F82" s="113"/>
      <c r="G82" s="113"/>
      <c r="H82" s="135"/>
      <c r="I82" s="113"/>
      <c r="J82" s="113"/>
      <c r="K82" s="113"/>
      <c r="L82" s="113"/>
      <c r="M82" s="113"/>
      <c r="N82" s="113"/>
      <c r="O82" s="113"/>
      <c r="P82" s="113"/>
      <c r="Q82" s="113"/>
      <c r="R82" s="113"/>
      <c r="S82" s="113"/>
      <c r="T82" s="113"/>
      <c r="U82" s="113"/>
      <c r="V82" s="113"/>
      <c r="W82" s="113"/>
      <c r="X82" s="113"/>
      <c r="Y82" s="113"/>
      <c r="Z82" s="113"/>
    </row>
    <row r="83" spans="1:26">
      <c r="A83" s="113"/>
      <c r="B83" s="134"/>
      <c r="C83" s="113"/>
      <c r="D83" s="113"/>
      <c r="E83" s="113"/>
      <c r="F83" s="113"/>
      <c r="G83" s="113"/>
      <c r="H83" s="135"/>
      <c r="I83" s="113"/>
      <c r="J83" s="113"/>
      <c r="K83" s="113"/>
      <c r="L83" s="113"/>
      <c r="M83" s="113"/>
      <c r="N83" s="113"/>
      <c r="O83" s="113"/>
      <c r="P83" s="113"/>
      <c r="Q83" s="113"/>
      <c r="R83" s="113"/>
      <c r="S83" s="113"/>
      <c r="T83" s="113"/>
      <c r="U83" s="113"/>
      <c r="V83" s="113"/>
      <c r="W83" s="113"/>
      <c r="X83" s="113"/>
      <c r="Y83" s="113"/>
      <c r="Z83" s="113"/>
    </row>
    <row r="84" spans="1:26">
      <c r="A84" s="113"/>
      <c r="B84" s="134"/>
      <c r="C84" s="113"/>
      <c r="D84" s="113"/>
      <c r="E84" s="113"/>
      <c r="F84" s="113"/>
      <c r="G84" s="113"/>
      <c r="H84" s="135"/>
      <c r="I84" s="113"/>
      <c r="J84" s="113"/>
      <c r="K84" s="113"/>
      <c r="L84" s="113"/>
      <c r="M84" s="113"/>
      <c r="N84" s="113"/>
      <c r="O84" s="113"/>
      <c r="P84" s="113"/>
      <c r="Q84" s="113"/>
      <c r="R84" s="113"/>
      <c r="S84" s="113"/>
      <c r="T84" s="113"/>
      <c r="U84" s="113"/>
      <c r="V84" s="113"/>
      <c r="W84" s="113"/>
      <c r="X84" s="113"/>
      <c r="Y84" s="113"/>
      <c r="Z84" s="113"/>
    </row>
    <row r="85" spans="1:26">
      <c r="A85" s="113"/>
      <c r="B85" s="134"/>
      <c r="C85" s="113"/>
      <c r="D85" s="113"/>
      <c r="E85" s="113"/>
      <c r="F85" s="113"/>
      <c r="G85" s="113"/>
      <c r="H85" s="135"/>
      <c r="I85" s="113"/>
      <c r="J85" s="113"/>
      <c r="K85" s="113"/>
      <c r="L85" s="113"/>
      <c r="M85" s="113"/>
      <c r="N85" s="113"/>
      <c r="O85" s="113"/>
      <c r="P85" s="113"/>
      <c r="Q85" s="113"/>
      <c r="R85" s="113"/>
      <c r="S85" s="113"/>
      <c r="T85" s="113"/>
      <c r="U85" s="113"/>
      <c r="V85" s="113"/>
      <c r="W85" s="113"/>
      <c r="X85" s="113"/>
      <c r="Y85" s="113"/>
      <c r="Z85" s="113"/>
    </row>
    <row r="86" spans="1:26">
      <c r="A86" s="113"/>
      <c r="B86" s="134"/>
      <c r="C86" s="113"/>
      <c r="D86" s="113"/>
      <c r="E86" s="113"/>
      <c r="F86" s="113"/>
      <c r="G86" s="113"/>
      <c r="H86" s="135"/>
      <c r="I86" s="113"/>
      <c r="J86" s="113"/>
      <c r="K86" s="113"/>
      <c r="L86" s="113"/>
      <c r="M86" s="113"/>
      <c r="N86" s="113"/>
      <c r="O86" s="113"/>
      <c r="P86" s="113"/>
      <c r="Q86" s="113"/>
      <c r="R86" s="113"/>
      <c r="S86" s="113"/>
      <c r="T86" s="113"/>
      <c r="U86" s="113"/>
      <c r="V86" s="113"/>
      <c r="W86" s="113"/>
      <c r="X86" s="113"/>
      <c r="Y86" s="113"/>
      <c r="Z86" s="113"/>
    </row>
    <row r="87" spans="1:26">
      <c r="A87" s="113"/>
      <c r="B87" s="134"/>
      <c r="C87" s="113"/>
      <c r="D87" s="113"/>
      <c r="E87" s="113"/>
      <c r="F87" s="113"/>
      <c r="G87" s="113"/>
      <c r="H87" s="135"/>
      <c r="I87" s="113"/>
      <c r="J87" s="113"/>
      <c r="K87" s="113"/>
      <c r="L87" s="113"/>
      <c r="M87" s="113"/>
      <c r="N87" s="113"/>
      <c r="O87" s="113"/>
      <c r="P87" s="113"/>
      <c r="Q87" s="113"/>
      <c r="R87" s="113"/>
      <c r="S87" s="113"/>
      <c r="T87" s="113"/>
      <c r="U87" s="113"/>
      <c r="V87" s="113"/>
      <c r="W87" s="113"/>
      <c r="X87" s="113"/>
      <c r="Y87" s="113"/>
      <c r="Z87" s="113"/>
    </row>
    <row r="88" spans="1:26">
      <c r="A88" s="113"/>
      <c r="B88" s="134"/>
      <c r="C88" s="113"/>
      <c r="D88" s="113"/>
      <c r="E88" s="113"/>
      <c r="F88" s="113"/>
      <c r="G88" s="113"/>
      <c r="H88" s="135"/>
      <c r="I88" s="113"/>
      <c r="J88" s="113"/>
      <c r="K88" s="113"/>
      <c r="L88" s="113"/>
      <c r="M88" s="113"/>
      <c r="N88" s="113"/>
      <c r="O88" s="113"/>
      <c r="P88" s="113"/>
      <c r="Q88" s="113"/>
      <c r="R88" s="113"/>
      <c r="S88" s="113"/>
      <c r="T88" s="113"/>
      <c r="U88" s="113"/>
      <c r="V88" s="113"/>
      <c r="W88" s="113"/>
      <c r="X88" s="113"/>
      <c r="Y88" s="113"/>
      <c r="Z88" s="113"/>
    </row>
    <row r="89" spans="1:26">
      <c r="A89" s="113"/>
      <c r="B89" s="134"/>
      <c r="C89" s="113"/>
      <c r="D89" s="113"/>
      <c r="E89" s="113"/>
      <c r="F89" s="113"/>
      <c r="G89" s="113"/>
      <c r="H89" s="135"/>
      <c r="I89" s="113"/>
      <c r="J89" s="113"/>
      <c r="K89" s="113"/>
      <c r="L89" s="113"/>
      <c r="M89" s="113"/>
      <c r="N89" s="113"/>
      <c r="O89" s="113"/>
      <c r="P89" s="113"/>
      <c r="Q89" s="113"/>
      <c r="R89" s="113"/>
      <c r="S89" s="113"/>
      <c r="T89" s="113"/>
      <c r="U89" s="113"/>
      <c r="V89" s="113"/>
      <c r="W89" s="113"/>
      <c r="X89" s="113"/>
      <c r="Y89" s="113"/>
      <c r="Z89" s="113"/>
    </row>
    <row r="90" spans="1:26">
      <c r="A90" s="113"/>
      <c r="B90" s="134"/>
      <c r="C90" s="113"/>
      <c r="D90" s="113"/>
      <c r="E90" s="113"/>
      <c r="F90" s="113"/>
      <c r="G90" s="113"/>
      <c r="H90" s="135"/>
      <c r="I90" s="113"/>
      <c r="J90" s="113"/>
      <c r="K90" s="113"/>
      <c r="L90" s="113"/>
      <c r="M90" s="113"/>
      <c r="N90" s="113"/>
      <c r="O90" s="113"/>
      <c r="P90" s="113"/>
      <c r="Q90" s="113"/>
      <c r="R90" s="113"/>
      <c r="S90" s="113"/>
      <c r="T90" s="113"/>
      <c r="U90" s="113"/>
      <c r="V90" s="113"/>
      <c r="W90" s="113"/>
      <c r="X90" s="113"/>
      <c r="Y90" s="113"/>
      <c r="Z90" s="113"/>
    </row>
    <row r="91" spans="1:26">
      <c r="A91" s="113"/>
      <c r="B91" s="134"/>
      <c r="C91" s="113"/>
      <c r="D91" s="113"/>
      <c r="E91" s="113"/>
      <c r="F91" s="113"/>
      <c r="G91" s="113"/>
      <c r="H91" s="135"/>
      <c r="I91" s="113"/>
      <c r="J91" s="113"/>
      <c r="K91" s="113"/>
      <c r="L91" s="113"/>
      <c r="M91" s="113"/>
      <c r="N91" s="113"/>
      <c r="O91" s="113"/>
      <c r="P91" s="113"/>
      <c r="Q91" s="113"/>
      <c r="R91" s="113"/>
      <c r="S91" s="113"/>
      <c r="T91" s="113"/>
      <c r="U91" s="113"/>
      <c r="V91" s="113"/>
      <c r="W91" s="113"/>
      <c r="X91" s="113"/>
      <c r="Y91" s="113"/>
      <c r="Z91" s="113"/>
    </row>
    <row r="92" spans="1:26">
      <c r="A92" s="113"/>
      <c r="B92" s="134"/>
      <c r="C92" s="113"/>
      <c r="D92" s="113"/>
      <c r="E92" s="113"/>
      <c r="F92" s="113"/>
      <c r="G92" s="113"/>
      <c r="H92" s="135"/>
      <c r="I92" s="113"/>
      <c r="J92" s="113"/>
      <c r="K92" s="113"/>
      <c r="L92" s="113"/>
      <c r="M92" s="113"/>
      <c r="N92" s="113"/>
      <c r="O92" s="113"/>
      <c r="P92" s="113"/>
      <c r="Q92" s="113"/>
      <c r="R92" s="113"/>
      <c r="S92" s="113"/>
      <c r="T92" s="113"/>
      <c r="U92" s="113"/>
      <c r="V92" s="113"/>
      <c r="W92" s="113"/>
      <c r="X92" s="113"/>
      <c r="Y92" s="113"/>
      <c r="Z92" s="113"/>
    </row>
    <row r="93" spans="1:26">
      <c r="A93" s="113"/>
      <c r="B93" s="134"/>
      <c r="C93" s="113"/>
      <c r="D93" s="113"/>
      <c r="E93" s="113"/>
      <c r="F93" s="113"/>
      <c r="G93" s="113"/>
      <c r="H93" s="135"/>
      <c r="I93" s="113"/>
      <c r="J93" s="113"/>
      <c r="K93" s="113"/>
      <c r="L93" s="113"/>
      <c r="M93" s="113"/>
      <c r="N93" s="113"/>
      <c r="O93" s="113"/>
      <c r="P93" s="113"/>
      <c r="Q93" s="113"/>
      <c r="R93" s="113"/>
      <c r="S93" s="113"/>
      <c r="T93" s="113"/>
      <c r="U93" s="113"/>
      <c r="V93" s="113"/>
      <c r="W93" s="113"/>
      <c r="X93" s="113"/>
      <c r="Y93" s="113"/>
      <c r="Z93" s="113"/>
    </row>
    <row r="94" spans="1:26">
      <c r="A94" s="113"/>
      <c r="B94" s="134"/>
      <c r="C94" s="113"/>
      <c r="D94" s="113"/>
      <c r="E94" s="113"/>
      <c r="F94" s="113"/>
      <c r="G94" s="113"/>
      <c r="H94" s="135"/>
      <c r="I94" s="113"/>
      <c r="J94" s="113"/>
      <c r="K94" s="113"/>
      <c r="L94" s="113"/>
      <c r="M94" s="113"/>
      <c r="N94" s="113"/>
      <c r="O94" s="113"/>
      <c r="P94" s="113"/>
      <c r="Q94" s="113"/>
      <c r="R94" s="113"/>
      <c r="S94" s="113"/>
      <c r="T94" s="113"/>
      <c r="U94" s="113"/>
      <c r="V94" s="113"/>
      <c r="W94" s="113"/>
      <c r="X94" s="113"/>
      <c r="Y94" s="113"/>
      <c r="Z94" s="113"/>
    </row>
    <row r="95" spans="1:26">
      <c r="A95" s="113"/>
      <c r="B95" s="134"/>
      <c r="C95" s="113"/>
      <c r="D95" s="113"/>
      <c r="E95" s="113"/>
      <c r="F95" s="113"/>
      <c r="G95" s="113"/>
      <c r="H95" s="135"/>
      <c r="I95" s="113"/>
      <c r="J95" s="113"/>
      <c r="K95" s="113"/>
      <c r="L95" s="113"/>
      <c r="M95" s="113"/>
      <c r="N95" s="113"/>
      <c r="O95" s="113"/>
      <c r="P95" s="113"/>
      <c r="Q95" s="113"/>
      <c r="R95" s="113"/>
      <c r="S95" s="113"/>
      <c r="T95" s="113"/>
      <c r="U95" s="113"/>
      <c r="V95" s="113"/>
      <c r="W95" s="113"/>
      <c r="X95" s="113"/>
      <c r="Y95" s="113"/>
      <c r="Z95" s="113"/>
    </row>
    <row r="96" spans="1:26">
      <c r="A96" s="113"/>
      <c r="B96" s="134"/>
      <c r="C96" s="113"/>
      <c r="D96" s="113"/>
      <c r="E96" s="113"/>
      <c r="F96" s="113"/>
      <c r="G96" s="113"/>
      <c r="H96" s="135"/>
      <c r="I96" s="113"/>
      <c r="J96" s="113"/>
      <c r="K96" s="113"/>
      <c r="L96" s="113"/>
      <c r="M96" s="113"/>
      <c r="N96" s="113"/>
      <c r="O96" s="113"/>
      <c r="P96" s="113"/>
      <c r="Q96" s="113"/>
      <c r="R96" s="113"/>
      <c r="S96" s="113"/>
      <c r="T96" s="113"/>
      <c r="U96" s="113"/>
      <c r="V96" s="113"/>
      <c r="W96" s="113"/>
      <c r="X96" s="113"/>
      <c r="Y96" s="113"/>
      <c r="Z96" s="113"/>
    </row>
    <row r="97" spans="1:26">
      <c r="A97" s="113"/>
      <c r="B97" s="134"/>
      <c r="C97" s="113"/>
      <c r="D97" s="113"/>
      <c r="E97" s="113"/>
      <c r="F97" s="113"/>
      <c r="G97" s="113"/>
      <c r="H97" s="135"/>
      <c r="I97" s="113"/>
      <c r="J97" s="113"/>
      <c r="K97" s="113"/>
      <c r="L97" s="113"/>
      <c r="M97" s="113"/>
      <c r="N97" s="113"/>
      <c r="O97" s="113"/>
      <c r="P97" s="113"/>
      <c r="Q97" s="113"/>
      <c r="R97" s="113"/>
      <c r="S97" s="113"/>
      <c r="T97" s="113"/>
      <c r="U97" s="113"/>
      <c r="V97" s="113"/>
      <c r="W97" s="113"/>
      <c r="X97" s="113"/>
      <c r="Y97" s="113"/>
      <c r="Z97" s="113"/>
    </row>
    <row r="98" spans="1:26">
      <c r="A98" s="113"/>
      <c r="B98" s="134"/>
      <c r="C98" s="113"/>
      <c r="D98" s="113"/>
      <c r="E98" s="113"/>
      <c r="F98" s="113"/>
      <c r="G98" s="113"/>
      <c r="H98" s="135"/>
      <c r="I98" s="113"/>
      <c r="J98" s="113"/>
      <c r="K98" s="113"/>
      <c r="L98" s="113"/>
      <c r="M98" s="113"/>
      <c r="N98" s="113"/>
      <c r="O98" s="113"/>
      <c r="P98" s="113"/>
      <c r="Q98" s="113"/>
      <c r="R98" s="113"/>
      <c r="S98" s="113"/>
      <c r="T98" s="113"/>
      <c r="U98" s="113"/>
      <c r="V98" s="113"/>
      <c r="W98" s="113"/>
      <c r="X98" s="113"/>
      <c r="Y98" s="113"/>
      <c r="Z98" s="113"/>
    </row>
    <row r="99" spans="1:26">
      <c r="A99" s="113"/>
      <c r="B99" s="134"/>
      <c r="C99" s="113"/>
      <c r="D99" s="113"/>
      <c r="E99" s="113"/>
      <c r="F99" s="113"/>
      <c r="G99" s="113"/>
      <c r="H99" s="135"/>
      <c r="I99" s="113"/>
      <c r="J99" s="113"/>
      <c r="K99" s="113"/>
      <c r="L99" s="113"/>
      <c r="M99" s="113"/>
      <c r="N99" s="113"/>
      <c r="O99" s="113"/>
      <c r="P99" s="113"/>
      <c r="Q99" s="113"/>
      <c r="R99" s="113"/>
      <c r="S99" s="113"/>
      <c r="T99" s="113"/>
      <c r="U99" s="113"/>
      <c r="V99" s="113"/>
      <c r="W99" s="113"/>
      <c r="X99" s="113"/>
      <c r="Y99" s="113"/>
      <c r="Z99" s="113"/>
    </row>
    <row r="100" spans="1:26">
      <c r="A100" s="113"/>
      <c r="B100" s="134"/>
      <c r="C100" s="113"/>
      <c r="D100" s="113"/>
      <c r="E100" s="113"/>
      <c r="F100" s="113"/>
      <c r="G100" s="113"/>
      <c r="H100" s="135"/>
      <c r="I100" s="113"/>
      <c r="J100" s="113"/>
      <c r="K100" s="113"/>
      <c r="L100" s="113"/>
      <c r="M100" s="113"/>
      <c r="N100" s="113"/>
      <c r="O100" s="113"/>
      <c r="P100" s="113"/>
      <c r="Q100" s="113"/>
      <c r="R100" s="113"/>
      <c r="S100" s="113"/>
      <c r="T100" s="113"/>
      <c r="U100" s="113"/>
      <c r="V100" s="113"/>
      <c r="W100" s="113"/>
      <c r="X100" s="113"/>
      <c r="Y100" s="113"/>
      <c r="Z100" s="113"/>
    </row>
    <row r="101" spans="1:26">
      <c r="A101" s="113"/>
      <c r="B101" s="134"/>
      <c r="C101" s="113"/>
      <c r="D101" s="113"/>
      <c r="E101" s="113"/>
      <c r="F101" s="113"/>
      <c r="G101" s="113"/>
      <c r="H101" s="135"/>
      <c r="I101" s="113"/>
      <c r="J101" s="113"/>
      <c r="K101" s="113"/>
      <c r="L101" s="113"/>
      <c r="M101" s="113"/>
      <c r="N101" s="113"/>
      <c r="O101" s="113"/>
      <c r="P101" s="113"/>
      <c r="Q101" s="113"/>
      <c r="R101" s="113"/>
      <c r="S101" s="113"/>
      <c r="T101" s="113"/>
      <c r="U101" s="113"/>
      <c r="V101" s="113"/>
      <c r="W101" s="113"/>
      <c r="X101" s="113"/>
      <c r="Y101" s="113"/>
      <c r="Z101" s="113"/>
    </row>
    <row r="102" spans="1:26">
      <c r="A102" s="113"/>
      <c r="B102" s="134"/>
      <c r="C102" s="113"/>
      <c r="D102" s="113"/>
      <c r="E102" s="113"/>
      <c r="F102" s="113"/>
      <c r="G102" s="113"/>
      <c r="H102" s="135"/>
      <c r="I102" s="113"/>
      <c r="J102" s="113"/>
      <c r="K102" s="113"/>
      <c r="L102" s="113"/>
      <c r="M102" s="113"/>
      <c r="N102" s="113"/>
      <c r="O102" s="113"/>
      <c r="P102" s="113"/>
      <c r="Q102" s="113"/>
      <c r="R102" s="113"/>
      <c r="S102" s="113"/>
      <c r="T102" s="113"/>
      <c r="U102" s="113"/>
      <c r="V102" s="113"/>
      <c r="W102" s="113"/>
      <c r="X102" s="113"/>
      <c r="Y102" s="113"/>
      <c r="Z102" s="113"/>
    </row>
    <row r="103" spans="1:26">
      <c r="A103" s="113"/>
      <c r="B103" s="134"/>
      <c r="C103" s="113"/>
      <c r="D103" s="113"/>
      <c r="E103" s="113"/>
      <c r="F103" s="113"/>
      <c r="G103" s="113"/>
      <c r="H103" s="135"/>
      <c r="I103" s="113"/>
      <c r="J103" s="113"/>
      <c r="K103" s="113"/>
      <c r="L103" s="113"/>
      <c r="M103" s="113"/>
      <c r="N103" s="113"/>
      <c r="O103" s="113"/>
      <c r="P103" s="113"/>
      <c r="Q103" s="113"/>
      <c r="R103" s="113"/>
      <c r="S103" s="113"/>
      <c r="T103" s="113"/>
      <c r="U103" s="113"/>
      <c r="V103" s="113"/>
      <c r="W103" s="113"/>
      <c r="X103" s="113"/>
      <c r="Y103" s="113"/>
      <c r="Z103" s="113"/>
    </row>
    <row r="104" spans="1:26">
      <c r="A104" s="113"/>
      <c r="B104" s="113"/>
      <c r="C104" s="113"/>
      <c r="D104" s="113"/>
      <c r="E104" s="113"/>
      <c r="F104" s="113"/>
      <c r="G104" s="113"/>
      <c r="H104" s="135"/>
      <c r="I104" s="113"/>
      <c r="J104" s="113"/>
      <c r="K104" s="113"/>
      <c r="L104" s="113"/>
      <c r="M104" s="113"/>
      <c r="N104" s="113"/>
      <c r="O104" s="113"/>
      <c r="P104" s="113"/>
      <c r="Q104" s="113"/>
      <c r="R104" s="113"/>
      <c r="S104" s="113"/>
      <c r="T104" s="113"/>
      <c r="U104" s="113"/>
      <c r="V104" s="113"/>
      <c r="W104" s="113"/>
      <c r="X104" s="113"/>
      <c r="Y104" s="113"/>
      <c r="Z104" s="113"/>
    </row>
    <row r="105" spans="1:26">
      <c r="A105" s="113"/>
      <c r="B105" s="113"/>
      <c r="C105" s="113"/>
      <c r="D105" s="113"/>
      <c r="E105" s="113"/>
      <c r="F105" s="113"/>
      <c r="G105" s="113"/>
      <c r="H105" s="135"/>
      <c r="I105" s="113"/>
      <c r="J105" s="113"/>
      <c r="K105" s="113"/>
      <c r="L105" s="113"/>
      <c r="M105" s="113"/>
      <c r="N105" s="113"/>
      <c r="O105" s="113"/>
      <c r="P105" s="113"/>
      <c r="Q105" s="113"/>
      <c r="R105" s="113"/>
      <c r="S105" s="113"/>
      <c r="T105" s="113"/>
      <c r="U105" s="113"/>
      <c r="V105" s="113"/>
      <c r="W105" s="113"/>
      <c r="X105" s="113"/>
      <c r="Y105" s="113"/>
      <c r="Z105" s="113"/>
    </row>
    <row r="106" spans="1:26">
      <c r="A106" s="113"/>
      <c r="B106" s="113"/>
      <c r="C106" s="113"/>
      <c r="D106" s="113"/>
      <c r="E106" s="113"/>
      <c r="F106" s="113"/>
      <c r="G106" s="113"/>
      <c r="H106" s="135"/>
      <c r="I106" s="113"/>
      <c r="J106" s="113"/>
      <c r="K106" s="113"/>
      <c r="L106" s="113"/>
      <c r="M106" s="113"/>
      <c r="N106" s="113"/>
      <c r="O106" s="113"/>
      <c r="P106" s="113"/>
      <c r="Q106" s="113"/>
      <c r="R106" s="113"/>
      <c r="S106" s="113"/>
      <c r="T106" s="113"/>
      <c r="U106" s="113"/>
      <c r="V106" s="113"/>
      <c r="W106" s="113"/>
      <c r="X106" s="113"/>
      <c r="Y106" s="113"/>
      <c r="Z106" s="113"/>
    </row>
    <row r="107" spans="1:26">
      <c r="A107" s="113"/>
      <c r="B107" s="113"/>
      <c r="C107" s="113"/>
      <c r="D107" s="113"/>
      <c r="E107" s="113"/>
      <c r="F107" s="113"/>
      <c r="G107" s="113"/>
      <c r="H107" s="135"/>
      <c r="I107" s="113"/>
      <c r="J107" s="113"/>
      <c r="K107" s="113"/>
      <c r="L107" s="113"/>
      <c r="M107" s="113"/>
      <c r="N107" s="113"/>
      <c r="O107" s="113"/>
      <c r="P107" s="113"/>
      <c r="Q107" s="113"/>
      <c r="R107" s="113"/>
      <c r="S107" s="113"/>
      <c r="T107" s="113"/>
      <c r="U107" s="113"/>
      <c r="V107" s="113"/>
      <c r="W107" s="113"/>
      <c r="X107" s="113"/>
      <c r="Y107" s="113"/>
      <c r="Z107" s="113"/>
    </row>
    <row r="108" spans="1:26">
      <c r="A108" s="113"/>
      <c r="B108" s="113"/>
      <c r="C108" s="113"/>
      <c r="D108" s="113"/>
      <c r="E108" s="113"/>
      <c r="F108" s="113"/>
      <c r="G108" s="113"/>
      <c r="H108" s="135"/>
      <c r="I108" s="113"/>
      <c r="J108" s="113"/>
      <c r="K108" s="113"/>
      <c r="L108" s="113"/>
      <c r="M108" s="113"/>
      <c r="N108" s="113"/>
      <c r="O108" s="113"/>
      <c r="P108" s="113"/>
      <c r="Q108" s="113"/>
      <c r="R108" s="113"/>
      <c r="S108" s="113"/>
      <c r="T108" s="113"/>
      <c r="U108" s="113"/>
      <c r="V108" s="113"/>
      <c r="W108" s="113"/>
      <c r="X108" s="113"/>
      <c r="Y108" s="113"/>
      <c r="Z108" s="113"/>
    </row>
    <row r="109" spans="1:26">
      <c r="A109" s="113"/>
      <c r="B109" s="113"/>
      <c r="C109" s="113"/>
      <c r="D109" s="113"/>
      <c r="E109" s="113"/>
      <c r="F109" s="113"/>
      <c r="G109" s="113"/>
      <c r="H109" s="135"/>
      <c r="I109" s="113"/>
      <c r="J109" s="113"/>
      <c r="K109" s="113"/>
      <c r="L109" s="113"/>
      <c r="M109" s="113"/>
      <c r="N109" s="113"/>
      <c r="O109" s="113"/>
      <c r="P109" s="113"/>
      <c r="Q109" s="113"/>
      <c r="R109" s="113"/>
      <c r="S109" s="113"/>
      <c r="T109" s="113"/>
      <c r="U109" s="113"/>
      <c r="V109" s="113"/>
      <c r="W109" s="113"/>
      <c r="X109" s="113"/>
      <c r="Y109" s="113"/>
      <c r="Z109" s="113"/>
    </row>
    <row r="110" spans="1:26">
      <c r="A110" s="113"/>
      <c r="B110" s="113"/>
      <c r="C110" s="113"/>
      <c r="D110" s="113"/>
      <c r="E110" s="113"/>
      <c r="F110" s="113"/>
      <c r="G110" s="113"/>
      <c r="H110" s="135"/>
      <c r="I110" s="113"/>
      <c r="J110" s="113"/>
      <c r="K110" s="113"/>
      <c r="L110" s="113"/>
      <c r="M110" s="113"/>
      <c r="N110" s="113"/>
      <c r="O110" s="113"/>
      <c r="P110" s="113"/>
      <c r="Q110" s="113"/>
      <c r="R110" s="113"/>
      <c r="S110" s="113"/>
      <c r="T110" s="113"/>
      <c r="U110" s="113"/>
      <c r="V110" s="113"/>
      <c r="W110" s="113"/>
      <c r="X110" s="113"/>
      <c r="Y110" s="113"/>
      <c r="Z110" s="113"/>
    </row>
  </sheetData>
  <mergeCells count="37">
    <mergeCell ref="E6:H6"/>
    <mergeCell ref="E17:H17"/>
    <mergeCell ref="E25:H25"/>
    <mergeCell ref="E32:H32"/>
    <mergeCell ref="E39:H39"/>
    <mergeCell ref="A2:A7"/>
    <mergeCell ref="A8:A18"/>
    <mergeCell ref="A19:A26"/>
    <mergeCell ref="A27:A33"/>
    <mergeCell ref="A34:A40"/>
    <mergeCell ref="B2:B7"/>
    <mergeCell ref="B8:B18"/>
    <mergeCell ref="B19:B26"/>
    <mergeCell ref="B27:B33"/>
    <mergeCell ref="B34:B40"/>
    <mergeCell ref="C2:C7"/>
    <mergeCell ref="C8:C18"/>
    <mergeCell ref="C19:C26"/>
    <mergeCell ref="C27:C33"/>
    <mergeCell ref="C34:C40"/>
    <mergeCell ref="D2:D7"/>
    <mergeCell ref="D8:D18"/>
    <mergeCell ref="D19:D26"/>
    <mergeCell ref="D27:D33"/>
    <mergeCell ref="D34:D40"/>
    <mergeCell ref="E2:E5"/>
    <mergeCell ref="E8:E16"/>
    <mergeCell ref="E19:E24"/>
    <mergeCell ref="E27:E31"/>
    <mergeCell ref="E34:E38"/>
    <mergeCell ref="F2:F3"/>
    <mergeCell ref="F4:F5"/>
    <mergeCell ref="F8:F14"/>
    <mergeCell ref="F15:F16"/>
    <mergeCell ref="F19:F24"/>
    <mergeCell ref="F27:F29"/>
    <mergeCell ref="F34:F38"/>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9"/>
  <sheetViews>
    <sheetView workbookViewId="0">
      <pane ySplit="1" topLeftCell="A63" activePane="bottomLeft" state="frozen"/>
      <selection/>
      <selection pane="bottomLeft" activeCell="A29" sqref="A29:K40"/>
    </sheetView>
  </sheetViews>
  <sheetFormatPr defaultColWidth="9.13888888888889" defaultRowHeight="13.8"/>
  <cols>
    <col min="1" max="1" width="22.4259259259259" style="41" customWidth="1"/>
    <col min="2" max="2" width="11.712962962963" style="41" customWidth="1"/>
    <col min="3" max="7" width="9.13888888888889" style="41"/>
    <col min="8" max="8" width="59.712962962963" style="41" customWidth="1"/>
    <col min="9" max="9" width="17.537037037037" style="41" customWidth="1"/>
    <col min="10" max="11" width="9.13888888888889" style="41"/>
    <col min="12" max="12" width="19.5740740740741" style="42" customWidth="1"/>
    <col min="13" max="26" width="9.13888888888889" style="41"/>
    <col min="27" max="16384" width="9.13888888888889" style="43"/>
  </cols>
  <sheetData>
    <row r="1" ht="52.2" spans="1:26">
      <c r="A1" s="44" t="s">
        <v>142</v>
      </c>
      <c r="B1" s="45" t="s">
        <v>6</v>
      </c>
      <c r="C1" s="44" t="s">
        <v>143</v>
      </c>
      <c r="D1" s="44" t="s">
        <v>144</v>
      </c>
      <c r="E1" s="45" t="s">
        <v>145</v>
      </c>
      <c r="F1" s="44" t="s">
        <v>146</v>
      </c>
      <c r="G1" s="44" t="s">
        <v>1</v>
      </c>
      <c r="H1" s="46" t="s">
        <v>147</v>
      </c>
      <c r="I1" s="44" t="s">
        <v>148</v>
      </c>
      <c r="J1" s="47" t="s">
        <v>149</v>
      </c>
      <c r="K1" s="44" t="s">
        <v>150</v>
      </c>
      <c r="L1" s="48" t="s">
        <v>151</v>
      </c>
      <c r="M1" s="49"/>
      <c r="N1" s="49"/>
      <c r="O1" s="49"/>
      <c r="P1" s="49"/>
      <c r="Q1" s="49"/>
      <c r="R1" s="49"/>
      <c r="S1" s="49"/>
      <c r="T1" s="49"/>
      <c r="U1" s="49"/>
      <c r="V1" s="49"/>
      <c r="W1" s="49"/>
      <c r="X1" s="49"/>
      <c r="Y1" s="49"/>
      <c r="Z1" s="49"/>
    </row>
    <row r="2" ht="15" spans="1:26">
      <c r="A2" s="44" t="s">
        <v>332</v>
      </c>
      <c r="B2" s="50" t="s">
        <v>119</v>
      </c>
      <c r="C2" s="51">
        <v>0.92</v>
      </c>
      <c r="D2" s="52"/>
      <c r="E2" s="53" t="s">
        <v>154</v>
      </c>
      <c r="F2" s="54" t="s">
        <v>77</v>
      </c>
      <c r="G2" s="52">
        <v>1</v>
      </c>
      <c r="H2" s="55" t="s">
        <v>333</v>
      </c>
      <c r="I2" s="15" t="s">
        <v>292</v>
      </c>
      <c r="J2" s="51">
        <v>0.95</v>
      </c>
      <c r="K2" s="53"/>
      <c r="L2" s="56">
        <v>2</v>
      </c>
    </row>
    <row r="3" ht="15" spans="1:26">
      <c r="A3" s="44"/>
      <c r="B3" s="50"/>
      <c r="C3" s="52"/>
      <c r="D3" s="52"/>
      <c r="E3" s="53"/>
      <c r="F3" s="57"/>
      <c r="G3" s="58">
        <v>2</v>
      </c>
      <c r="H3" s="59" t="s">
        <v>334</v>
      </c>
      <c r="I3" s="15" t="s">
        <v>335</v>
      </c>
      <c r="J3" s="60">
        <v>1</v>
      </c>
      <c r="K3" s="61"/>
      <c r="L3" s="56">
        <v>0.4</v>
      </c>
    </row>
    <row r="4" ht="15" spans="1:26">
      <c r="A4" s="44"/>
      <c r="B4" s="50"/>
      <c r="C4" s="52"/>
      <c r="D4" s="52"/>
      <c r="E4" s="53"/>
      <c r="F4" s="57"/>
      <c r="G4" s="58">
        <v>3</v>
      </c>
      <c r="H4" s="62" t="s">
        <v>336</v>
      </c>
      <c r="I4" s="15" t="s">
        <v>337</v>
      </c>
      <c r="J4" s="60">
        <v>1</v>
      </c>
      <c r="K4" s="61"/>
      <c r="L4" s="56">
        <v>1.6</v>
      </c>
    </row>
    <row r="5" ht="15" spans="1:26">
      <c r="A5" s="44"/>
      <c r="B5" s="50"/>
      <c r="C5" s="52"/>
      <c r="D5" s="52"/>
      <c r="E5" s="53"/>
      <c r="F5" s="57"/>
      <c r="G5" s="63">
        <v>4</v>
      </c>
      <c r="H5" s="64"/>
      <c r="I5" s="15"/>
      <c r="J5" s="65"/>
      <c r="K5" s="66"/>
      <c r="L5" s="67"/>
    </row>
    <row r="6" ht="20.25" customHeight="1" spans="1:26">
      <c r="A6" s="44"/>
      <c r="B6" s="50"/>
      <c r="C6" s="52"/>
      <c r="D6" s="52"/>
      <c r="E6" s="53"/>
      <c r="F6" s="68"/>
      <c r="G6" s="69">
        <v>5</v>
      </c>
      <c r="H6" s="70"/>
      <c r="I6" s="15"/>
      <c r="J6" s="71"/>
      <c r="K6" s="72"/>
      <c r="L6" s="73"/>
    </row>
    <row r="7" ht="15" spans="1:26">
      <c r="A7" s="44"/>
      <c r="B7" s="50"/>
      <c r="C7" s="52"/>
      <c r="D7" s="52"/>
      <c r="E7" s="53"/>
      <c r="F7" s="68"/>
      <c r="G7" s="69">
        <v>6</v>
      </c>
      <c r="H7" s="74"/>
      <c r="I7" s="15"/>
      <c r="J7" s="71"/>
      <c r="K7" s="72"/>
      <c r="L7" s="73"/>
    </row>
    <row r="8" ht="15" spans="1:26">
      <c r="A8" s="44"/>
      <c r="B8" s="50"/>
      <c r="C8" s="52"/>
      <c r="D8" s="52"/>
      <c r="E8" s="53"/>
      <c r="F8" s="68"/>
      <c r="G8" s="69">
        <v>7</v>
      </c>
      <c r="H8" s="70"/>
      <c r="I8" s="15"/>
      <c r="J8" s="71"/>
      <c r="K8" s="72"/>
      <c r="L8" s="73"/>
    </row>
    <row r="9" ht="15" spans="1:26">
      <c r="A9" s="44"/>
      <c r="B9" s="50"/>
      <c r="C9" s="52"/>
      <c r="D9" s="52"/>
      <c r="E9" s="53"/>
      <c r="F9" s="68"/>
      <c r="G9" s="69">
        <v>8</v>
      </c>
      <c r="H9" s="75"/>
      <c r="I9" s="15"/>
      <c r="J9" s="75"/>
      <c r="K9" s="75"/>
      <c r="L9" s="76"/>
    </row>
    <row r="10" ht="15" spans="1:26">
      <c r="A10" s="44"/>
      <c r="B10" s="50"/>
      <c r="C10" s="52"/>
      <c r="D10" s="52"/>
      <c r="E10" s="53"/>
      <c r="F10" s="68"/>
      <c r="G10" s="69">
        <v>9</v>
      </c>
      <c r="H10" s="77"/>
      <c r="I10" s="15"/>
      <c r="J10" s="75"/>
      <c r="K10" s="75"/>
      <c r="L10" s="76"/>
    </row>
    <row r="11" ht="15" spans="1:26">
      <c r="A11" s="44"/>
      <c r="B11" s="50"/>
      <c r="C11" s="52"/>
      <c r="D11" s="52"/>
      <c r="E11" s="53"/>
      <c r="F11" s="68"/>
      <c r="G11" s="69">
        <v>10</v>
      </c>
      <c r="H11" s="77" t="s">
        <v>338</v>
      </c>
      <c r="I11" s="15" t="s">
        <v>339</v>
      </c>
      <c r="J11" s="78">
        <v>0.9</v>
      </c>
      <c r="K11" s="75"/>
      <c r="L11" s="79">
        <v>0.5</v>
      </c>
    </row>
    <row r="12" ht="150" spans="1:26">
      <c r="A12" s="44"/>
      <c r="B12" s="50"/>
      <c r="C12" s="52"/>
      <c r="D12" s="52"/>
      <c r="E12" s="53"/>
      <c r="F12" s="57"/>
      <c r="G12" s="80">
        <v>11</v>
      </c>
      <c r="H12" s="77" t="s">
        <v>340</v>
      </c>
      <c r="I12" s="15" t="s">
        <v>119</v>
      </c>
      <c r="J12" s="78">
        <v>1</v>
      </c>
      <c r="K12" s="81"/>
      <c r="L12" s="79">
        <v>5</v>
      </c>
    </row>
    <row r="13" ht="15" spans="1:26">
      <c r="A13" s="44"/>
      <c r="B13" s="50"/>
      <c r="C13" s="52"/>
      <c r="D13" s="52"/>
      <c r="E13" s="53"/>
      <c r="F13" s="82"/>
      <c r="G13" s="83">
        <v>12</v>
      </c>
      <c r="H13" s="74"/>
      <c r="I13" s="15"/>
      <c r="J13" s="71"/>
      <c r="K13" s="84"/>
      <c r="L13" s="56"/>
    </row>
    <row r="14" ht="15" spans="1:26">
      <c r="A14" s="44"/>
      <c r="B14" s="50"/>
      <c r="C14" s="52"/>
      <c r="D14" s="52"/>
      <c r="E14" s="33" t="s">
        <v>168</v>
      </c>
      <c r="F14" s="33"/>
      <c r="G14" s="33"/>
      <c r="H14" s="85"/>
      <c r="I14" s="15"/>
      <c r="J14" s="86"/>
      <c r="K14" s="35"/>
      <c r="L14" s="36">
        <f>SUM(L2:L13)</f>
        <v>9.5</v>
      </c>
    </row>
    <row r="15" ht="15.6" spans="1:26">
      <c r="A15" s="44"/>
      <c r="B15" s="50"/>
      <c r="C15" s="52"/>
      <c r="D15" s="52"/>
      <c r="E15" s="53" t="s">
        <v>169</v>
      </c>
      <c r="F15" s="53" t="s">
        <v>77</v>
      </c>
      <c r="G15" s="53">
        <v>1</v>
      </c>
      <c r="H15" s="87"/>
      <c r="I15" s="15"/>
      <c r="J15" s="88"/>
      <c r="K15" s="53"/>
      <c r="L15" s="56"/>
    </row>
    <row r="16" ht="15" spans="1:26">
      <c r="A16" s="44"/>
      <c r="B16" s="50"/>
      <c r="C16" s="52"/>
      <c r="D16" s="52"/>
      <c r="E16" s="53"/>
      <c r="F16" s="53"/>
      <c r="G16" s="53">
        <v>2</v>
      </c>
      <c r="H16" s="55"/>
      <c r="I16" s="15"/>
      <c r="J16" s="88"/>
      <c r="K16" s="53"/>
      <c r="L16" s="56"/>
    </row>
    <row r="17" ht="300" spans="1:12">
      <c r="A17" s="44" t="s">
        <v>341</v>
      </c>
      <c r="B17" s="50" t="s">
        <v>121</v>
      </c>
      <c r="C17" s="51">
        <v>0.96</v>
      </c>
      <c r="D17" s="52"/>
      <c r="E17" s="53" t="s">
        <v>154</v>
      </c>
      <c r="F17" s="52" t="s">
        <v>77</v>
      </c>
      <c r="G17" s="52">
        <v>1</v>
      </c>
      <c r="H17" s="55" t="s">
        <v>342</v>
      </c>
      <c r="I17" s="15" t="s">
        <v>335</v>
      </c>
      <c r="J17" s="51">
        <v>1</v>
      </c>
      <c r="K17" s="52"/>
      <c r="L17" s="56">
        <v>4.6</v>
      </c>
    </row>
    <row r="18" ht="105" spans="1:12">
      <c r="A18" s="44"/>
      <c r="B18" s="50"/>
      <c r="C18" s="52"/>
      <c r="D18" s="52"/>
      <c r="E18" s="53"/>
      <c r="F18" s="52"/>
      <c r="G18" s="52">
        <v>2</v>
      </c>
      <c r="H18" s="55" t="s">
        <v>343</v>
      </c>
      <c r="I18" s="15" t="s">
        <v>344</v>
      </c>
      <c r="J18" s="51">
        <v>1</v>
      </c>
      <c r="K18" s="52"/>
      <c r="L18" s="56">
        <v>5</v>
      </c>
    </row>
    <row r="19" ht="15" spans="1:12">
      <c r="A19" s="44"/>
      <c r="B19" s="50"/>
      <c r="C19" s="52"/>
      <c r="D19" s="52"/>
      <c r="E19" s="53"/>
      <c r="F19" s="52"/>
      <c r="G19" s="52">
        <v>3</v>
      </c>
      <c r="H19" s="55" t="s">
        <v>345</v>
      </c>
      <c r="I19" s="15" t="s">
        <v>339</v>
      </c>
      <c r="J19" s="51">
        <v>1</v>
      </c>
      <c r="K19" s="52"/>
      <c r="L19" s="56">
        <v>4.5</v>
      </c>
    </row>
    <row r="20" ht="15" spans="1:12">
      <c r="A20" s="44"/>
      <c r="B20" s="50"/>
      <c r="C20" s="52"/>
      <c r="D20" s="52"/>
      <c r="E20" s="53"/>
      <c r="F20" s="52"/>
      <c r="G20" s="52">
        <v>4</v>
      </c>
      <c r="H20" s="55" t="s">
        <v>346</v>
      </c>
      <c r="I20" s="15" t="s">
        <v>347</v>
      </c>
      <c r="J20" s="51">
        <v>1</v>
      </c>
      <c r="K20" s="52"/>
      <c r="L20" s="56">
        <v>0.5</v>
      </c>
    </row>
    <row r="21" ht="15" spans="1:12">
      <c r="A21" s="44"/>
      <c r="B21" s="50"/>
      <c r="C21" s="52"/>
      <c r="D21" s="52"/>
      <c r="E21" s="53"/>
      <c r="F21" s="52"/>
      <c r="G21" s="52">
        <v>5</v>
      </c>
      <c r="I21" s="15"/>
      <c r="J21" s="51"/>
      <c r="K21" s="52"/>
      <c r="L21" s="56"/>
    </row>
    <row r="22" ht="15" spans="1:12">
      <c r="A22" s="44"/>
      <c r="B22" s="50"/>
      <c r="C22" s="52"/>
      <c r="D22" s="52"/>
      <c r="E22" s="53"/>
      <c r="F22" s="52"/>
      <c r="G22" s="52">
        <v>6</v>
      </c>
      <c r="H22" s="89"/>
      <c r="I22" s="15"/>
      <c r="J22" s="51"/>
      <c r="K22" s="52"/>
      <c r="L22" s="56"/>
    </row>
    <row r="23" ht="15" spans="1:12">
      <c r="A23" s="44"/>
      <c r="B23" s="50"/>
      <c r="C23" s="52"/>
      <c r="D23" s="52"/>
      <c r="E23" s="53"/>
      <c r="F23" s="52"/>
      <c r="G23" s="53">
        <v>7</v>
      </c>
      <c r="H23" s="55"/>
      <c r="I23" s="15"/>
      <c r="J23" s="51"/>
      <c r="K23" s="52"/>
      <c r="L23" s="56"/>
    </row>
    <row r="24" ht="15" spans="1:12">
      <c r="A24" s="44"/>
      <c r="B24" s="50"/>
      <c r="C24" s="52"/>
      <c r="D24" s="52"/>
      <c r="E24" s="53"/>
      <c r="F24" s="52"/>
      <c r="G24" s="52">
        <v>8</v>
      </c>
      <c r="H24" s="55"/>
      <c r="I24" s="15"/>
      <c r="J24" s="51"/>
      <c r="K24" s="52"/>
      <c r="L24" s="56"/>
    </row>
    <row r="25" ht="15" spans="1:12">
      <c r="A25" s="44"/>
      <c r="B25" s="50"/>
      <c r="C25" s="52"/>
      <c r="D25" s="52"/>
      <c r="E25" s="53"/>
      <c r="F25" s="52"/>
      <c r="G25" s="52">
        <v>9</v>
      </c>
      <c r="H25" s="55"/>
      <c r="I25" s="15"/>
      <c r="J25" s="51"/>
      <c r="K25" s="52"/>
      <c r="L25" s="56"/>
    </row>
    <row r="26" ht="15" spans="1:12">
      <c r="A26" s="44"/>
      <c r="B26" s="50"/>
      <c r="C26" s="52"/>
      <c r="D26" s="52"/>
      <c r="E26" s="33" t="s">
        <v>168</v>
      </c>
      <c r="F26" s="33"/>
      <c r="G26" s="33"/>
      <c r="H26" s="33"/>
      <c r="I26" s="15"/>
      <c r="J26" s="34"/>
      <c r="K26" s="35"/>
      <c r="L26" s="36">
        <f>SUM(L17:L25)</f>
        <v>14.6</v>
      </c>
    </row>
    <row r="27" ht="15.6" spans="1:12">
      <c r="A27" s="44"/>
      <c r="B27" s="50"/>
      <c r="C27" s="52"/>
      <c r="D27" s="52"/>
      <c r="E27" s="53" t="s">
        <v>169</v>
      </c>
      <c r="F27" s="53" t="s">
        <v>77</v>
      </c>
      <c r="G27" s="53">
        <v>1</v>
      </c>
      <c r="H27" s="87"/>
      <c r="I27" s="15"/>
      <c r="J27" s="88"/>
      <c r="K27" s="53"/>
      <c r="L27" s="90"/>
    </row>
    <row r="28" ht="15.6" spans="1:12">
      <c r="A28" s="44"/>
      <c r="B28" s="50"/>
      <c r="C28" s="52"/>
      <c r="D28" s="52"/>
      <c r="E28" s="53"/>
      <c r="F28" s="53"/>
      <c r="G28" s="53">
        <v>2</v>
      </c>
      <c r="H28" s="91"/>
      <c r="I28" s="15"/>
      <c r="J28" s="92"/>
      <c r="K28" s="93"/>
      <c r="L28" s="94"/>
    </row>
    <row r="29" ht="30" spans="1:12">
      <c r="A29" s="44" t="s">
        <v>348</v>
      </c>
      <c r="B29" s="50" t="s">
        <v>121</v>
      </c>
      <c r="C29" s="52" t="s">
        <v>153</v>
      </c>
      <c r="D29" s="52"/>
      <c r="E29" s="53" t="s">
        <v>154</v>
      </c>
      <c r="F29" s="54" t="s">
        <v>77</v>
      </c>
      <c r="G29" s="95">
        <v>1</v>
      </c>
      <c r="H29" s="55" t="s">
        <v>349</v>
      </c>
      <c r="I29" s="15" t="s">
        <v>350</v>
      </c>
      <c r="J29" s="51">
        <v>1</v>
      </c>
      <c r="K29" s="52"/>
      <c r="L29" s="50">
        <v>5</v>
      </c>
    </row>
    <row r="30" ht="75" spans="1:12">
      <c r="A30" s="44"/>
      <c r="B30" s="50"/>
      <c r="C30" s="52"/>
      <c r="D30" s="52"/>
      <c r="E30" s="53"/>
      <c r="F30" s="96"/>
      <c r="G30" s="95">
        <v>2</v>
      </c>
      <c r="H30" s="55" t="s">
        <v>351</v>
      </c>
      <c r="I30" s="15" t="s">
        <v>347</v>
      </c>
      <c r="J30" s="51">
        <v>1</v>
      </c>
      <c r="K30" s="52"/>
      <c r="L30" s="17">
        <v>2</v>
      </c>
    </row>
    <row r="31" ht="60" spans="1:12">
      <c r="A31" s="44"/>
      <c r="B31" s="50"/>
      <c r="C31" s="52"/>
      <c r="D31" s="52"/>
      <c r="E31" s="53"/>
      <c r="F31" s="96"/>
      <c r="G31" s="52">
        <v>3</v>
      </c>
      <c r="H31" s="55" t="s">
        <v>352</v>
      </c>
      <c r="I31" s="15" t="s">
        <v>121</v>
      </c>
      <c r="J31" s="51">
        <v>1</v>
      </c>
      <c r="K31" s="52"/>
      <c r="L31" s="50">
        <v>1.5</v>
      </c>
    </row>
    <row r="32" ht="15.6" spans="1:12">
      <c r="A32" s="44"/>
      <c r="B32" s="50"/>
      <c r="C32" s="52"/>
      <c r="D32" s="52"/>
      <c r="E32" s="53"/>
      <c r="F32" s="96"/>
      <c r="G32" s="52">
        <v>4</v>
      </c>
      <c r="H32" s="55"/>
      <c r="I32" s="15"/>
      <c r="J32" s="51"/>
      <c r="K32" s="52"/>
      <c r="L32" s="50"/>
    </row>
    <row r="33" ht="15.6" spans="1:12">
      <c r="A33" s="44"/>
      <c r="B33" s="50"/>
      <c r="C33" s="52"/>
      <c r="D33" s="52"/>
      <c r="E33" s="53"/>
      <c r="F33" s="96"/>
      <c r="G33" s="52">
        <v>5</v>
      </c>
      <c r="H33" s="55"/>
      <c r="I33" s="15"/>
      <c r="J33" s="51"/>
      <c r="K33" s="52"/>
      <c r="L33" s="50"/>
    </row>
    <row r="34" ht="15.6" spans="1:12">
      <c r="A34" s="44"/>
      <c r="B34" s="50"/>
      <c r="C34" s="52"/>
      <c r="D34" s="52"/>
      <c r="E34" s="53"/>
      <c r="F34" s="97"/>
      <c r="G34" s="52">
        <v>6</v>
      </c>
      <c r="H34" s="89"/>
      <c r="I34" s="15"/>
      <c r="J34" s="51"/>
      <c r="K34" s="52"/>
      <c r="L34" s="50"/>
    </row>
    <row r="35" ht="15.6" spans="1:12">
      <c r="A35" s="44"/>
      <c r="B35" s="50"/>
      <c r="C35" s="52"/>
      <c r="D35" s="52"/>
      <c r="E35" s="53"/>
      <c r="F35" s="54" t="s">
        <v>353</v>
      </c>
      <c r="G35" s="53">
        <v>1</v>
      </c>
      <c r="H35" s="55" t="s">
        <v>354</v>
      </c>
      <c r="I35" s="15" t="s">
        <v>270</v>
      </c>
      <c r="J35" s="51">
        <v>1</v>
      </c>
      <c r="K35" s="52"/>
      <c r="L35" s="50">
        <v>0.5</v>
      </c>
    </row>
    <row r="36" ht="15.6" spans="1:12">
      <c r="A36" s="44"/>
      <c r="B36" s="50"/>
      <c r="C36" s="52"/>
      <c r="D36" s="52"/>
      <c r="E36" s="53"/>
      <c r="F36" s="96"/>
      <c r="G36" s="52">
        <v>2</v>
      </c>
      <c r="H36" s="55"/>
      <c r="I36" s="15"/>
      <c r="J36" s="51"/>
      <c r="K36" s="52"/>
      <c r="L36" s="50"/>
    </row>
    <row r="37" ht="15.6" spans="1:12">
      <c r="A37" s="44"/>
      <c r="B37" s="50"/>
      <c r="C37" s="52"/>
      <c r="D37" s="52"/>
      <c r="E37" s="53"/>
      <c r="F37" s="97"/>
      <c r="G37" s="52">
        <v>3</v>
      </c>
      <c r="H37" s="55"/>
      <c r="I37" s="15"/>
      <c r="J37" s="51"/>
      <c r="K37" s="52"/>
      <c r="L37" s="50"/>
    </row>
    <row r="38" ht="15" spans="1:12">
      <c r="A38" s="44"/>
      <c r="B38" s="50"/>
      <c r="C38" s="52"/>
      <c r="D38" s="52"/>
      <c r="E38" s="33" t="s">
        <v>168</v>
      </c>
      <c r="F38" s="33"/>
      <c r="G38" s="33"/>
      <c r="H38" s="33"/>
      <c r="I38" s="15"/>
      <c r="J38" s="34"/>
      <c r="K38" s="35"/>
      <c r="L38" s="36">
        <f>SUM(L29:L37)</f>
        <v>9</v>
      </c>
    </row>
    <row r="39" ht="15.6" spans="1:12">
      <c r="A39" s="44"/>
      <c r="B39" s="50"/>
      <c r="C39" s="52"/>
      <c r="D39" s="52"/>
      <c r="E39" s="53" t="s">
        <v>169</v>
      </c>
      <c r="F39" s="53" t="s">
        <v>77</v>
      </c>
      <c r="G39" s="53">
        <v>1</v>
      </c>
      <c r="H39" s="87"/>
      <c r="I39" s="15"/>
      <c r="J39" s="88"/>
      <c r="K39" s="53"/>
      <c r="L39" s="90"/>
    </row>
    <row r="40" ht="15.6" spans="1:12">
      <c r="A40" s="44"/>
      <c r="B40" s="50"/>
      <c r="C40" s="52"/>
      <c r="D40" s="52"/>
      <c r="E40" s="53"/>
      <c r="F40" s="53"/>
      <c r="G40" s="53">
        <v>2</v>
      </c>
      <c r="H40" s="87"/>
      <c r="I40" s="15"/>
      <c r="J40" s="88"/>
      <c r="K40" s="53"/>
      <c r="L40" s="56"/>
    </row>
    <row r="41" ht="15.6" spans="1:12">
      <c r="A41" s="44" t="s">
        <v>355</v>
      </c>
      <c r="B41" s="50" t="s">
        <v>121</v>
      </c>
      <c r="C41" s="52" t="s">
        <v>153</v>
      </c>
      <c r="D41" s="52"/>
      <c r="E41" s="53" t="s">
        <v>154</v>
      </c>
      <c r="F41" s="54" t="s">
        <v>77</v>
      </c>
      <c r="G41" s="52">
        <v>1</v>
      </c>
      <c r="H41" s="55" t="s">
        <v>356</v>
      </c>
      <c r="I41" s="15" t="s">
        <v>347</v>
      </c>
      <c r="J41" s="51"/>
      <c r="K41" s="52"/>
      <c r="L41" s="50">
        <v>3</v>
      </c>
    </row>
    <row r="42" ht="15.6" spans="1:12">
      <c r="A42" s="44"/>
      <c r="B42" s="50"/>
      <c r="C42" s="52"/>
      <c r="D42" s="52"/>
      <c r="E42" s="53"/>
      <c r="F42" s="96"/>
      <c r="G42" s="52">
        <v>2</v>
      </c>
      <c r="H42" s="55" t="s">
        <v>357</v>
      </c>
      <c r="I42" s="15" t="s">
        <v>121</v>
      </c>
      <c r="J42" s="51"/>
      <c r="K42" s="52"/>
      <c r="L42" s="17">
        <v>0.5</v>
      </c>
    </row>
    <row r="43" ht="15.6" spans="1:12">
      <c r="A43" s="44"/>
      <c r="B43" s="50"/>
      <c r="C43" s="52"/>
      <c r="D43" s="52"/>
      <c r="E43" s="53"/>
      <c r="F43" s="96"/>
      <c r="G43" s="52">
        <v>3</v>
      </c>
      <c r="I43" s="15"/>
      <c r="J43" s="51"/>
      <c r="K43" s="52"/>
      <c r="L43" s="50"/>
    </row>
    <row r="44" ht="15.6" spans="1:12">
      <c r="A44" s="44"/>
      <c r="B44" s="50"/>
      <c r="C44" s="52"/>
      <c r="D44" s="52"/>
      <c r="E44" s="53"/>
      <c r="F44" s="96"/>
      <c r="G44" s="52">
        <v>4</v>
      </c>
      <c r="H44" s="55"/>
      <c r="I44" s="15"/>
      <c r="J44" s="51"/>
      <c r="K44" s="52"/>
      <c r="L44" s="50"/>
    </row>
    <row r="45" ht="15.6" spans="1:12">
      <c r="A45" s="44"/>
      <c r="B45" s="50"/>
      <c r="C45" s="52"/>
      <c r="D45" s="52"/>
      <c r="E45" s="53"/>
      <c r="F45" s="96"/>
      <c r="G45" s="52">
        <v>5</v>
      </c>
      <c r="H45" s="55"/>
      <c r="I45" s="15"/>
      <c r="J45" s="51"/>
      <c r="K45" s="52"/>
      <c r="L45" s="50"/>
    </row>
    <row r="46" ht="15.6" spans="1:12">
      <c r="A46" s="44"/>
      <c r="B46" s="50"/>
      <c r="C46" s="52"/>
      <c r="D46" s="52"/>
      <c r="E46" s="53"/>
      <c r="F46" s="97"/>
      <c r="G46" s="52">
        <v>6</v>
      </c>
      <c r="H46" s="89"/>
      <c r="I46" s="15"/>
      <c r="J46" s="51"/>
      <c r="K46" s="52"/>
      <c r="L46" s="50"/>
    </row>
    <row r="47" ht="15.6" spans="1:12">
      <c r="A47" s="44"/>
      <c r="B47" s="50"/>
      <c r="C47" s="52"/>
      <c r="D47" s="52"/>
      <c r="E47" s="53"/>
      <c r="F47" s="54" t="s">
        <v>189</v>
      </c>
      <c r="G47" s="53">
        <v>1</v>
      </c>
      <c r="H47" s="55"/>
      <c r="I47" s="15"/>
      <c r="J47" s="51"/>
      <c r="K47" s="52"/>
      <c r="L47" s="50"/>
    </row>
    <row r="48" ht="15.6" spans="1:12">
      <c r="A48" s="44"/>
      <c r="B48" s="50"/>
      <c r="C48" s="52"/>
      <c r="D48" s="52"/>
      <c r="E48" s="53"/>
      <c r="F48" s="96"/>
      <c r="G48" s="52">
        <v>2</v>
      </c>
      <c r="H48" s="55"/>
      <c r="I48" s="15"/>
      <c r="J48" s="51"/>
      <c r="K48" s="52"/>
      <c r="L48" s="50"/>
    </row>
    <row r="49" ht="15.6" spans="1:12">
      <c r="A49" s="44"/>
      <c r="B49" s="50"/>
      <c r="C49" s="52"/>
      <c r="D49" s="52"/>
      <c r="E49" s="53"/>
      <c r="F49" s="97"/>
      <c r="G49" s="52">
        <v>3</v>
      </c>
      <c r="H49" s="55"/>
      <c r="I49" s="15"/>
      <c r="J49" s="51"/>
      <c r="K49" s="52"/>
      <c r="L49" s="50"/>
    </row>
    <row r="50" ht="15" spans="1:12">
      <c r="A50" s="44"/>
      <c r="B50" s="50"/>
      <c r="C50" s="52"/>
      <c r="D50" s="52"/>
      <c r="E50" s="33" t="s">
        <v>168</v>
      </c>
      <c r="F50" s="33"/>
      <c r="G50" s="33"/>
      <c r="H50" s="33"/>
      <c r="I50" s="15"/>
      <c r="J50" s="34"/>
      <c r="K50" s="35"/>
      <c r="L50" s="36">
        <f>SUM(L41:L49)</f>
        <v>3.5</v>
      </c>
    </row>
    <row r="51" ht="15.6" spans="1:12">
      <c r="A51" s="44"/>
      <c r="B51" s="50"/>
      <c r="C51" s="52"/>
      <c r="D51" s="52"/>
      <c r="E51" s="53" t="s">
        <v>169</v>
      </c>
      <c r="F51" s="53" t="s">
        <v>77</v>
      </c>
      <c r="G51" s="53">
        <v>1</v>
      </c>
      <c r="H51" s="87"/>
      <c r="I51" s="15"/>
      <c r="J51" s="88"/>
      <c r="K51" s="53"/>
      <c r="L51" s="90"/>
    </row>
    <row r="52" ht="15.6" spans="1:12">
      <c r="A52" s="44"/>
      <c r="B52" s="50"/>
      <c r="C52" s="52"/>
      <c r="D52" s="52"/>
      <c r="E52" s="53"/>
      <c r="F52" s="53"/>
      <c r="G52" s="53">
        <v>2</v>
      </c>
      <c r="H52" s="87"/>
      <c r="I52" s="15"/>
      <c r="J52" s="88"/>
      <c r="K52" s="53"/>
      <c r="L52" s="56"/>
    </row>
    <row r="53" ht="210" spans="1:12">
      <c r="A53" s="44" t="s">
        <v>358</v>
      </c>
      <c r="B53" s="50" t="s">
        <v>121</v>
      </c>
      <c r="C53" s="51">
        <v>0.96</v>
      </c>
      <c r="D53" s="52"/>
      <c r="E53" s="53" t="s">
        <v>154</v>
      </c>
      <c r="F53" s="54" t="s">
        <v>77</v>
      </c>
      <c r="G53" s="52">
        <v>1</v>
      </c>
      <c r="H53" s="55" t="s">
        <v>359</v>
      </c>
      <c r="I53" s="15" t="s">
        <v>178</v>
      </c>
      <c r="J53" s="51">
        <v>1</v>
      </c>
      <c r="K53" s="52"/>
      <c r="L53" s="56">
        <v>3</v>
      </c>
    </row>
    <row r="54" ht="150" spans="1:12">
      <c r="A54" s="44"/>
      <c r="B54" s="50"/>
      <c r="C54" s="52"/>
      <c r="D54" s="52"/>
      <c r="E54" s="53"/>
      <c r="F54" s="57"/>
      <c r="G54" s="52">
        <v>2</v>
      </c>
      <c r="H54" s="55" t="s">
        <v>360</v>
      </c>
      <c r="I54" s="15" t="s">
        <v>337</v>
      </c>
      <c r="J54" s="51">
        <v>1</v>
      </c>
      <c r="K54" s="52"/>
      <c r="L54" s="56">
        <v>3.4</v>
      </c>
    </row>
    <row r="55" ht="150" spans="1:12">
      <c r="A55" s="44"/>
      <c r="B55" s="50"/>
      <c r="C55" s="52"/>
      <c r="D55" s="52"/>
      <c r="E55" s="53"/>
      <c r="F55" s="57"/>
      <c r="G55" s="52">
        <v>3</v>
      </c>
      <c r="H55" s="98" t="s">
        <v>361</v>
      </c>
      <c r="I55" s="15" t="s">
        <v>121</v>
      </c>
      <c r="J55" s="51">
        <v>1</v>
      </c>
      <c r="K55" s="52"/>
      <c r="L55" s="56">
        <v>3</v>
      </c>
    </row>
    <row r="56" ht="15" spans="1:12">
      <c r="A56" s="44"/>
      <c r="B56" s="50"/>
      <c r="C56" s="52"/>
      <c r="D56" s="52"/>
      <c r="E56" s="53"/>
      <c r="F56" s="57"/>
      <c r="G56" s="52">
        <v>4</v>
      </c>
      <c r="H56" s="55"/>
      <c r="I56" s="15"/>
      <c r="J56" s="51"/>
      <c r="K56" s="52"/>
      <c r="L56" s="56"/>
    </row>
    <row r="57" ht="15" spans="1:12">
      <c r="A57" s="44"/>
      <c r="B57" s="50"/>
      <c r="C57" s="52"/>
      <c r="D57" s="52"/>
      <c r="E57" s="53"/>
      <c r="F57" s="57"/>
      <c r="G57" s="52">
        <v>5</v>
      </c>
      <c r="H57" s="55"/>
      <c r="I57" s="15"/>
      <c r="J57" s="51"/>
      <c r="K57" s="52"/>
      <c r="L57" s="56"/>
    </row>
    <row r="58" ht="15" spans="1:12">
      <c r="A58" s="44"/>
      <c r="B58" s="50"/>
      <c r="C58" s="52"/>
      <c r="D58" s="52"/>
      <c r="E58" s="53"/>
      <c r="F58" s="82"/>
      <c r="G58" s="52">
        <v>6</v>
      </c>
      <c r="H58" s="89"/>
      <c r="I58" s="15"/>
      <c r="J58" s="99"/>
      <c r="K58" s="52"/>
      <c r="L58" s="56"/>
    </row>
    <row r="59" ht="15" spans="1:12">
      <c r="A59" s="44"/>
      <c r="B59" s="50"/>
      <c r="C59" s="52"/>
      <c r="D59" s="52"/>
      <c r="E59" s="53"/>
      <c r="F59" s="54" t="s">
        <v>362</v>
      </c>
      <c r="G59" s="53">
        <v>1</v>
      </c>
      <c r="H59" s="100"/>
      <c r="I59" s="15"/>
      <c r="J59" s="101"/>
      <c r="K59" s="102"/>
      <c r="L59" s="56"/>
    </row>
    <row r="60" ht="15" spans="1:12">
      <c r="A60" s="44"/>
      <c r="B60" s="50"/>
      <c r="C60" s="52"/>
      <c r="D60" s="52"/>
      <c r="E60" s="53"/>
      <c r="F60" s="57"/>
      <c r="G60" s="52">
        <v>2</v>
      </c>
      <c r="H60" s="103"/>
      <c r="I60" s="15"/>
      <c r="J60" s="101"/>
      <c r="K60" s="102"/>
      <c r="L60" s="56"/>
    </row>
    <row r="61" ht="15" spans="1:12">
      <c r="A61" s="44"/>
      <c r="B61" s="50"/>
      <c r="C61" s="52"/>
      <c r="D61" s="52"/>
      <c r="E61" s="53"/>
      <c r="F61" s="82"/>
      <c r="G61" s="52">
        <v>3</v>
      </c>
      <c r="H61" s="55"/>
      <c r="I61" s="15"/>
      <c r="J61" s="104"/>
      <c r="K61" s="52"/>
      <c r="L61" s="56"/>
    </row>
    <row r="62" ht="15" spans="1:12">
      <c r="A62" s="44"/>
      <c r="B62" s="50"/>
      <c r="C62" s="52"/>
      <c r="D62" s="52"/>
      <c r="E62" s="33" t="s">
        <v>168</v>
      </c>
      <c r="F62" s="33"/>
      <c r="G62" s="33"/>
      <c r="H62" s="33"/>
      <c r="I62" s="15"/>
      <c r="J62" s="34"/>
      <c r="K62" s="35"/>
      <c r="L62" s="36">
        <f>SUM(L53:L61)</f>
        <v>9.4</v>
      </c>
    </row>
    <row r="63" ht="15.6" spans="1:12">
      <c r="A63" s="44"/>
      <c r="B63" s="50"/>
      <c r="C63" s="52"/>
      <c r="D63" s="52"/>
      <c r="E63" s="53" t="s">
        <v>169</v>
      </c>
      <c r="F63" s="53" t="s">
        <v>77</v>
      </c>
      <c r="G63" s="53">
        <v>1</v>
      </c>
      <c r="H63" s="87"/>
      <c r="I63" s="15"/>
      <c r="J63" s="88"/>
      <c r="K63" s="53"/>
      <c r="L63" s="90"/>
    </row>
    <row r="64" ht="15.6" spans="1:12">
      <c r="A64" s="44"/>
      <c r="B64" s="50"/>
      <c r="C64" s="52"/>
      <c r="D64" s="52"/>
      <c r="E64" s="53"/>
      <c r="F64" s="53"/>
      <c r="G64" s="53">
        <v>2</v>
      </c>
      <c r="H64" s="87"/>
      <c r="I64" s="15"/>
      <c r="J64" s="88"/>
      <c r="K64" s="53"/>
      <c r="L64" s="90"/>
    </row>
    <row r="65" ht="15" spans="1:12">
      <c r="A65" s="44" t="s">
        <v>363</v>
      </c>
      <c r="B65" s="50" t="s">
        <v>121</v>
      </c>
      <c r="C65" s="52" t="s">
        <v>153</v>
      </c>
      <c r="D65" s="52"/>
      <c r="E65" s="53" t="s">
        <v>154</v>
      </c>
      <c r="F65" s="52" t="s">
        <v>77</v>
      </c>
      <c r="G65" s="52">
        <v>1</v>
      </c>
      <c r="H65" s="55"/>
      <c r="I65" s="15"/>
      <c r="J65" s="51"/>
      <c r="K65" s="52"/>
      <c r="L65" s="56"/>
    </row>
    <row r="66" ht="15" spans="1:12">
      <c r="A66" s="44"/>
      <c r="B66" s="50"/>
      <c r="C66" s="52"/>
      <c r="D66" s="52"/>
      <c r="E66" s="53"/>
      <c r="F66" s="52"/>
      <c r="G66" s="52">
        <v>2</v>
      </c>
      <c r="H66" s="89"/>
      <c r="I66" s="15"/>
      <c r="J66" s="51"/>
      <c r="K66" s="52"/>
      <c r="L66" s="56"/>
    </row>
    <row r="67" ht="15" spans="1:12">
      <c r="A67" s="44"/>
      <c r="B67" s="50"/>
      <c r="C67" s="52"/>
      <c r="D67" s="52"/>
      <c r="E67" s="53"/>
      <c r="F67" s="52"/>
      <c r="G67" s="52">
        <v>3</v>
      </c>
      <c r="H67" s="55"/>
      <c r="I67" s="15"/>
      <c r="J67" s="51"/>
      <c r="K67" s="52"/>
      <c r="L67" s="56"/>
    </row>
    <row r="68" ht="15" spans="1:12">
      <c r="A68" s="44"/>
      <c r="B68" s="50"/>
      <c r="C68" s="52"/>
      <c r="D68" s="52"/>
      <c r="E68" s="53"/>
      <c r="F68" s="52"/>
      <c r="G68" s="52">
        <v>4</v>
      </c>
      <c r="H68" s="55"/>
      <c r="I68" s="15"/>
      <c r="J68" s="51"/>
      <c r="K68" s="52"/>
      <c r="L68" s="56"/>
    </row>
    <row r="69" ht="15" spans="1:12">
      <c r="A69" s="44"/>
      <c r="B69" s="50"/>
      <c r="C69" s="52"/>
      <c r="D69" s="52"/>
      <c r="E69" s="53"/>
      <c r="F69" s="52"/>
      <c r="G69" s="52">
        <v>5</v>
      </c>
      <c r="H69" s="55"/>
      <c r="I69" s="15"/>
      <c r="J69" s="51"/>
      <c r="K69" s="52"/>
      <c r="L69" s="56"/>
    </row>
    <row r="70" ht="15" spans="1:12">
      <c r="A70" s="44"/>
      <c r="B70" s="50"/>
      <c r="C70" s="52"/>
      <c r="D70" s="52"/>
      <c r="E70" s="53"/>
      <c r="F70" s="52"/>
      <c r="G70" s="52">
        <v>6</v>
      </c>
      <c r="H70" s="89"/>
      <c r="I70" s="15"/>
      <c r="J70" s="51"/>
      <c r="K70" s="52"/>
      <c r="L70" s="56"/>
    </row>
    <row r="71" ht="15" spans="1:12">
      <c r="A71" s="44"/>
      <c r="B71" s="50"/>
      <c r="C71" s="52"/>
      <c r="D71" s="52"/>
      <c r="E71" s="53"/>
      <c r="F71" s="52"/>
      <c r="G71" s="53">
        <v>7</v>
      </c>
      <c r="H71" s="55"/>
      <c r="I71" s="15"/>
      <c r="J71" s="51"/>
      <c r="K71" s="52"/>
      <c r="L71" s="56"/>
    </row>
    <row r="72" ht="15" spans="1:12">
      <c r="A72" s="44"/>
      <c r="B72" s="50"/>
      <c r="C72" s="52"/>
      <c r="D72" s="52"/>
      <c r="E72" s="53"/>
      <c r="F72" s="52"/>
      <c r="G72" s="52">
        <v>8</v>
      </c>
      <c r="H72" s="55"/>
      <c r="I72" s="15"/>
      <c r="J72" s="51"/>
      <c r="K72" s="52"/>
      <c r="L72" s="56"/>
    </row>
    <row r="73" ht="15" spans="1:12">
      <c r="A73" s="44"/>
      <c r="B73" s="50"/>
      <c r="C73" s="52"/>
      <c r="D73" s="52"/>
      <c r="E73" s="53"/>
      <c r="F73" s="52"/>
      <c r="G73" s="52">
        <v>9</v>
      </c>
      <c r="H73" s="55"/>
      <c r="I73" s="15"/>
      <c r="J73" s="51"/>
      <c r="K73" s="52"/>
      <c r="L73" s="56"/>
    </row>
    <row r="74" ht="15" spans="1:12">
      <c r="A74" s="44"/>
      <c r="B74" s="50"/>
      <c r="C74" s="52"/>
      <c r="D74" s="52"/>
      <c r="E74" s="33" t="s">
        <v>168</v>
      </c>
      <c r="F74" s="33"/>
      <c r="G74" s="33"/>
      <c r="H74" s="33"/>
      <c r="I74" s="15"/>
      <c r="J74" s="34"/>
      <c r="K74" s="35"/>
      <c r="L74" s="36">
        <f>SUM(L65:L73)</f>
        <v>0</v>
      </c>
    </row>
    <row r="75" ht="15.6" spans="1:12">
      <c r="A75" s="44"/>
      <c r="B75" s="50"/>
      <c r="C75" s="52"/>
      <c r="D75" s="52"/>
      <c r="E75" s="53" t="s">
        <v>169</v>
      </c>
      <c r="F75" s="53" t="s">
        <v>77</v>
      </c>
      <c r="G75" s="53">
        <v>1</v>
      </c>
      <c r="H75" s="87"/>
      <c r="I75" s="15"/>
      <c r="J75" s="88"/>
      <c r="K75" s="53"/>
      <c r="L75" s="56"/>
    </row>
    <row r="76" ht="15.6" spans="1:12">
      <c r="A76" s="44"/>
      <c r="B76" s="50"/>
      <c r="C76" s="52"/>
      <c r="D76" s="52"/>
      <c r="E76" s="53"/>
      <c r="F76" s="53"/>
      <c r="G76" s="53">
        <v>2</v>
      </c>
      <c r="H76" s="87"/>
      <c r="I76" s="15"/>
      <c r="J76" s="88"/>
      <c r="K76" s="53"/>
      <c r="L76" s="56"/>
    </row>
    <row r="77" ht="15" spans="1:12">
      <c r="A77" s="44" t="s">
        <v>364</v>
      </c>
      <c r="B77" s="50" t="s">
        <v>337</v>
      </c>
      <c r="C77" s="52" t="s">
        <v>153</v>
      </c>
      <c r="D77" s="52"/>
      <c r="E77" s="53" t="s">
        <v>154</v>
      </c>
      <c r="F77" s="52" t="s">
        <v>77</v>
      </c>
      <c r="G77" s="52">
        <v>1</v>
      </c>
      <c r="H77" s="105"/>
      <c r="I77" s="15"/>
      <c r="J77" s="51"/>
      <c r="K77" s="52"/>
      <c r="L77" s="56"/>
    </row>
    <row r="78" ht="15" spans="1:12">
      <c r="A78" s="44"/>
      <c r="B78" s="50"/>
      <c r="C78" s="52"/>
      <c r="D78" s="52"/>
      <c r="E78" s="53"/>
      <c r="F78" s="52"/>
      <c r="G78" s="52">
        <v>2</v>
      </c>
      <c r="H78" s="89"/>
      <c r="I78" s="15"/>
      <c r="J78" s="51"/>
      <c r="K78" s="52"/>
      <c r="L78" s="56"/>
    </row>
    <row r="79" ht="15" spans="1:12">
      <c r="A79" s="44"/>
      <c r="B79" s="50"/>
      <c r="C79" s="52"/>
      <c r="D79" s="52"/>
      <c r="E79" s="53"/>
      <c r="F79" s="52"/>
      <c r="G79" s="52">
        <v>3</v>
      </c>
      <c r="H79" s="55"/>
      <c r="I79" s="15"/>
      <c r="J79" s="51"/>
      <c r="K79" s="52"/>
      <c r="L79" s="56"/>
    </row>
    <row r="80" ht="15" spans="1:12">
      <c r="A80" s="44"/>
      <c r="B80" s="50"/>
      <c r="C80" s="52"/>
      <c r="D80" s="52"/>
      <c r="E80" s="53"/>
      <c r="F80" s="52"/>
      <c r="G80" s="52">
        <v>4</v>
      </c>
      <c r="H80" s="55"/>
      <c r="I80" s="15"/>
      <c r="J80" s="51"/>
      <c r="K80" s="52"/>
      <c r="L80" s="56"/>
    </row>
    <row r="81" ht="15" spans="1:12">
      <c r="A81" s="44"/>
      <c r="B81" s="50"/>
      <c r="C81" s="52"/>
      <c r="D81" s="52"/>
      <c r="E81" s="53"/>
      <c r="F81" s="52"/>
      <c r="G81" s="52">
        <v>5</v>
      </c>
      <c r="H81" s="55"/>
      <c r="I81" s="15"/>
      <c r="J81" s="51"/>
      <c r="K81" s="52"/>
      <c r="L81" s="56"/>
    </row>
    <row r="82" ht="15" spans="1:12">
      <c r="A82" s="44"/>
      <c r="B82" s="50"/>
      <c r="C82" s="52"/>
      <c r="D82" s="52"/>
      <c r="E82" s="53"/>
      <c r="F82" s="52"/>
      <c r="G82" s="52">
        <v>6</v>
      </c>
      <c r="H82" s="89"/>
      <c r="I82" s="15"/>
      <c r="J82" s="51"/>
      <c r="K82" s="52"/>
      <c r="L82" s="56"/>
    </row>
    <row r="83" ht="15" spans="1:12">
      <c r="A83" s="44"/>
      <c r="B83" s="50"/>
      <c r="C83" s="52"/>
      <c r="D83" s="52"/>
      <c r="E83" s="53"/>
      <c r="F83" s="52"/>
      <c r="G83" s="53">
        <v>7</v>
      </c>
      <c r="H83" s="55"/>
      <c r="I83" s="15"/>
      <c r="J83" s="51"/>
      <c r="K83" s="52"/>
      <c r="L83" s="56"/>
    </row>
    <row r="84" ht="15" spans="1:12">
      <c r="A84" s="44"/>
      <c r="B84" s="50"/>
      <c r="C84" s="52"/>
      <c r="D84" s="52"/>
      <c r="E84" s="53"/>
      <c r="F84" s="52"/>
      <c r="G84" s="52">
        <v>8</v>
      </c>
      <c r="H84" s="55"/>
      <c r="I84" s="15"/>
      <c r="J84" s="51"/>
      <c r="K84" s="52"/>
      <c r="L84" s="56"/>
    </row>
    <row r="85" ht="15" spans="1:12">
      <c r="A85" s="44"/>
      <c r="B85" s="50"/>
      <c r="C85" s="52"/>
      <c r="D85" s="52"/>
      <c r="E85" s="53"/>
      <c r="F85" s="52"/>
      <c r="G85" s="52">
        <v>9</v>
      </c>
      <c r="H85" s="55"/>
      <c r="I85" s="15"/>
      <c r="J85" s="51"/>
      <c r="K85" s="52"/>
      <c r="L85" s="56"/>
    </row>
    <row r="86" ht="15" spans="1:12">
      <c r="A86" s="44"/>
      <c r="B86" s="50"/>
      <c r="C86" s="52"/>
      <c r="D86" s="52"/>
      <c r="E86" s="33" t="s">
        <v>168</v>
      </c>
      <c r="F86" s="33"/>
      <c r="G86" s="33"/>
      <c r="H86" s="33"/>
      <c r="I86" s="15"/>
      <c r="J86" s="34"/>
      <c r="K86" s="35"/>
      <c r="L86" s="36">
        <f>SUM(L77:L85)</f>
        <v>0</v>
      </c>
    </row>
    <row r="87" ht="15.6" spans="1:12">
      <c r="A87" s="44"/>
      <c r="B87" s="50"/>
      <c r="C87" s="52"/>
      <c r="D87" s="52"/>
      <c r="E87" s="53" t="s">
        <v>169</v>
      </c>
      <c r="F87" s="53" t="s">
        <v>77</v>
      </c>
      <c r="G87" s="53">
        <v>1</v>
      </c>
      <c r="H87" s="87"/>
      <c r="I87" s="15"/>
      <c r="J87" s="88"/>
      <c r="K87" s="53"/>
      <c r="L87" s="90"/>
    </row>
    <row r="88" ht="15.6" spans="1:12">
      <c r="A88" s="44"/>
      <c r="B88" s="50"/>
      <c r="C88" s="52"/>
      <c r="D88" s="52"/>
      <c r="E88" s="53"/>
      <c r="F88" s="53"/>
      <c r="G88" s="53">
        <v>2</v>
      </c>
      <c r="H88" s="87"/>
      <c r="I88" s="15"/>
      <c r="J88" s="88"/>
      <c r="K88" s="53"/>
      <c r="L88" s="90"/>
    </row>
    <row r="89" ht="15" spans="1:12">
      <c r="I89" s="15"/>
    </row>
  </sheetData>
  <autoFilter xmlns:etc="http://www.wps.cn/officeDocument/2017/etCustomData" ref="I1:I56" etc:filterBottomFollowUsedRange="0">
    <extLst/>
  </autoFilter>
  <mergeCells count="67">
    <mergeCell ref="E14:H14"/>
    <mergeCell ref="E26:H26"/>
    <mergeCell ref="E38:H38"/>
    <mergeCell ref="E50:H50"/>
    <mergeCell ref="E62:H62"/>
    <mergeCell ref="E74:H74"/>
    <mergeCell ref="E86:H86"/>
    <mergeCell ref="A2:A16"/>
    <mergeCell ref="A17:A28"/>
    <mergeCell ref="A29:A40"/>
    <mergeCell ref="A41:A52"/>
    <mergeCell ref="A53:A64"/>
    <mergeCell ref="A65:A76"/>
    <mergeCell ref="A77:A88"/>
    <mergeCell ref="B2:B16"/>
    <mergeCell ref="B17:B28"/>
    <mergeCell ref="B29:B40"/>
    <mergeCell ref="B41:B52"/>
    <mergeCell ref="B53:B64"/>
    <mergeCell ref="B65:B76"/>
    <mergeCell ref="B77:B88"/>
    <mergeCell ref="C2:C16"/>
    <mergeCell ref="C17:C28"/>
    <mergeCell ref="C29:C40"/>
    <mergeCell ref="C41:C52"/>
    <mergeCell ref="C53:C64"/>
    <mergeCell ref="C65:C76"/>
    <mergeCell ref="C77:C88"/>
    <mergeCell ref="D2:D16"/>
    <mergeCell ref="D17:D28"/>
    <mergeCell ref="D29:D40"/>
    <mergeCell ref="D41:D52"/>
    <mergeCell ref="D53:D64"/>
    <mergeCell ref="D65:D76"/>
    <mergeCell ref="D77:D88"/>
    <mergeCell ref="E2:E13"/>
    <mergeCell ref="E15:E16"/>
    <mergeCell ref="E17:E25"/>
    <mergeCell ref="E27:E28"/>
    <mergeCell ref="E29:E37"/>
    <mergeCell ref="E39:E40"/>
    <mergeCell ref="E41:E49"/>
    <mergeCell ref="E51:E52"/>
    <mergeCell ref="E53:E61"/>
    <mergeCell ref="E63:E64"/>
    <mergeCell ref="E65:E73"/>
    <mergeCell ref="E75:E76"/>
    <mergeCell ref="E77:E85"/>
    <mergeCell ref="E87:E88"/>
    <mergeCell ref="F2:F13"/>
    <mergeCell ref="F15:F16"/>
    <mergeCell ref="F17:F25"/>
    <mergeCell ref="F27:F28"/>
    <mergeCell ref="F29:F34"/>
    <mergeCell ref="F35:F37"/>
    <mergeCell ref="F39:F40"/>
    <mergeCell ref="F41:F46"/>
    <mergeCell ref="F47:F49"/>
    <mergeCell ref="F51:F52"/>
    <mergeCell ref="F53:F58"/>
    <mergeCell ref="F59:F61"/>
    <mergeCell ref="F63:F64"/>
    <mergeCell ref="F65:F73"/>
    <mergeCell ref="F75:F76"/>
    <mergeCell ref="F77:F85"/>
    <mergeCell ref="F87:F88"/>
    <mergeCell ref="H59:H60"/>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41"/>
  <sheetViews>
    <sheetView workbookViewId="0">
      <pane ySplit="1" topLeftCell="A2" activePane="bottomLeft" state="frozen"/>
      <selection/>
      <selection pane="bottomLeft" activeCell="B2" sqref="B2:B41"/>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142</v>
      </c>
      <c r="B1" s="4" t="s">
        <v>6</v>
      </c>
      <c r="C1" s="3" t="s">
        <v>143</v>
      </c>
      <c r="D1" s="3" t="s">
        <v>144</v>
      </c>
      <c r="E1" s="4" t="s">
        <v>145</v>
      </c>
      <c r="F1" s="3" t="s">
        <v>146</v>
      </c>
      <c r="G1" s="3" t="s">
        <v>1</v>
      </c>
      <c r="H1" s="5" t="s">
        <v>147</v>
      </c>
      <c r="I1" s="3" t="s">
        <v>148</v>
      </c>
      <c r="J1" s="6" t="s">
        <v>149</v>
      </c>
      <c r="K1" s="3" t="s">
        <v>150</v>
      </c>
      <c r="L1" s="7" t="s">
        <v>151</v>
      </c>
      <c r="M1" s="8"/>
      <c r="N1" s="8"/>
      <c r="O1" s="8"/>
      <c r="P1" s="8"/>
      <c r="Q1" s="8"/>
      <c r="R1" s="8"/>
      <c r="S1" s="8"/>
      <c r="T1" s="8"/>
      <c r="U1" s="8"/>
      <c r="V1" s="8"/>
      <c r="W1" s="8"/>
      <c r="X1" s="8"/>
      <c r="Y1" s="8"/>
      <c r="Z1" s="8"/>
    </row>
    <row r="2" ht="15.6" spans="1:26">
      <c r="A2" s="9" t="s">
        <v>365</v>
      </c>
      <c r="B2" s="10" t="s">
        <v>60</v>
      </c>
      <c r="C2" s="392" t="s">
        <v>153</v>
      </c>
      <c r="D2" s="11"/>
      <c r="E2" s="12" t="s">
        <v>154</v>
      </c>
      <c r="F2" s="11" t="s">
        <v>77</v>
      </c>
      <c r="G2" s="13">
        <v>1</v>
      </c>
      <c r="H2" s="14" t="s">
        <v>366</v>
      </c>
      <c r="I2" s="15" t="s">
        <v>255</v>
      </c>
      <c r="J2" s="16">
        <v>1</v>
      </c>
      <c r="K2" s="13"/>
      <c r="L2" s="17"/>
    </row>
    <row r="3" ht="15.6" spans="1:26">
      <c r="A3" s="18"/>
      <c r="B3" s="19"/>
      <c r="C3" s="20"/>
      <c r="D3" s="20"/>
      <c r="E3" s="21"/>
      <c r="F3" s="20"/>
      <c r="G3" s="13">
        <v>2</v>
      </c>
      <c r="H3" s="22" t="s">
        <v>367</v>
      </c>
      <c r="I3" s="15" t="s">
        <v>368</v>
      </c>
      <c r="J3" s="16">
        <v>1</v>
      </c>
      <c r="K3" s="13" t="s">
        <v>369</v>
      </c>
      <c r="L3" s="17"/>
    </row>
    <row r="4" ht="24" customHeight="1" spans="1:26">
      <c r="A4" s="18"/>
      <c r="B4" s="19"/>
      <c r="C4" s="20"/>
      <c r="D4" s="20"/>
      <c r="E4" s="21"/>
      <c r="F4" s="20"/>
      <c r="G4" s="11">
        <v>3</v>
      </c>
      <c r="H4" s="23" t="s">
        <v>370</v>
      </c>
      <c r="I4" s="15" t="s">
        <v>371</v>
      </c>
      <c r="J4" s="24">
        <v>0.98</v>
      </c>
      <c r="K4" s="11" t="s">
        <v>372</v>
      </c>
      <c r="L4" s="17"/>
    </row>
    <row r="5" ht="22" customHeight="1" spans="1:26">
      <c r="A5" s="18"/>
      <c r="B5" s="19"/>
      <c r="C5" s="20"/>
      <c r="D5" s="20"/>
      <c r="E5" s="21"/>
      <c r="F5" s="20"/>
      <c r="G5" s="20"/>
      <c r="H5" s="25"/>
      <c r="I5" s="15" t="s">
        <v>373</v>
      </c>
      <c r="J5" s="26"/>
      <c r="K5" s="20"/>
      <c r="L5" s="17"/>
    </row>
    <row r="6" ht="22" customHeight="1" spans="1:26">
      <c r="A6" s="18"/>
      <c r="B6" s="19"/>
      <c r="C6" s="20"/>
      <c r="D6" s="20"/>
      <c r="E6" s="21"/>
      <c r="F6" s="20"/>
      <c r="G6" s="27"/>
      <c r="H6" s="28"/>
      <c r="I6" s="15" t="s">
        <v>368</v>
      </c>
      <c r="J6" s="29"/>
      <c r="K6" s="27"/>
      <c r="L6" s="17"/>
    </row>
    <row r="7" ht="22" customHeight="1" spans="1:26">
      <c r="A7" s="18"/>
      <c r="B7" s="19"/>
      <c r="C7" s="20"/>
      <c r="D7" s="20"/>
      <c r="E7" s="21"/>
      <c r="F7" s="20"/>
      <c r="G7" s="13">
        <v>4</v>
      </c>
      <c r="H7" s="14" t="s">
        <v>374</v>
      </c>
      <c r="I7" s="15" t="s">
        <v>373</v>
      </c>
      <c r="J7" s="16">
        <v>1</v>
      </c>
      <c r="K7" s="13" t="s">
        <v>369</v>
      </c>
      <c r="L7" s="17"/>
    </row>
    <row r="8" ht="22" customHeight="1" spans="1:26">
      <c r="A8" s="18"/>
      <c r="B8" s="19"/>
      <c r="C8" s="20"/>
      <c r="D8" s="20"/>
      <c r="E8" s="21"/>
      <c r="F8" s="20"/>
      <c r="G8" s="11">
        <v>5</v>
      </c>
      <c r="H8" s="11" t="s">
        <v>375</v>
      </c>
      <c r="I8" s="15" t="s">
        <v>373</v>
      </c>
      <c r="J8" s="24">
        <v>1</v>
      </c>
      <c r="K8" s="11"/>
      <c r="L8" s="17"/>
    </row>
    <row r="9" ht="15.6" spans="1:26">
      <c r="A9" s="18"/>
      <c r="B9" s="19"/>
      <c r="C9" s="20"/>
      <c r="D9" s="20"/>
      <c r="E9" s="21"/>
      <c r="F9" s="20"/>
      <c r="G9" s="27"/>
      <c r="H9" s="28"/>
      <c r="I9" s="15" t="s">
        <v>371</v>
      </c>
      <c r="J9" s="29"/>
      <c r="K9" s="27"/>
      <c r="L9" s="17"/>
    </row>
    <row r="10" ht="21" customHeight="1" spans="1:26">
      <c r="A10" s="18"/>
      <c r="B10" s="19"/>
      <c r="C10" s="20"/>
      <c r="D10" s="20"/>
      <c r="E10" s="21"/>
      <c r="F10" s="20"/>
      <c r="G10" s="13">
        <v>6</v>
      </c>
      <c r="H10" s="22" t="s">
        <v>376</v>
      </c>
      <c r="I10" s="13" t="s">
        <v>255</v>
      </c>
      <c r="J10" s="16">
        <v>1</v>
      </c>
      <c r="K10" s="13"/>
      <c r="L10" s="17"/>
    </row>
    <row r="11" ht="30" spans="1:26">
      <c r="A11" s="18"/>
      <c r="B11" s="19"/>
      <c r="C11" s="20"/>
      <c r="D11" s="20"/>
      <c r="E11" s="21"/>
      <c r="F11" s="20"/>
      <c r="G11" s="30">
        <v>7</v>
      </c>
      <c r="H11" s="14" t="s">
        <v>377</v>
      </c>
      <c r="I11" s="13" t="s">
        <v>371</v>
      </c>
      <c r="J11" s="16">
        <v>1</v>
      </c>
      <c r="K11" s="13" t="s">
        <v>378</v>
      </c>
      <c r="L11" s="17"/>
    </row>
    <row r="12" ht="33" customHeight="1" spans="1:26">
      <c r="A12" s="18"/>
      <c r="B12" s="19"/>
      <c r="C12" s="20"/>
      <c r="D12" s="20"/>
      <c r="E12" s="21"/>
      <c r="F12" s="20"/>
      <c r="G12" s="13">
        <v>8</v>
      </c>
      <c r="H12" s="14" t="s">
        <v>379</v>
      </c>
      <c r="I12" s="13" t="s">
        <v>368</v>
      </c>
      <c r="J12" s="16">
        <v>1</v>
      </c>
      <c r="K12" s="13" t="s">
        <v>369</v>
      </c>
      <c r="L12" s="17"/>
    </row>
    <row r="13" ht="25" customHeight="1" spans="1:26">
      <c r="A13" s="18"/>
      <c r="B13" s="19"/>
      <c r="C13" s="20"/>
      <c r="D13" s="20"/>
      <c r="E13" s="21"/>
      <c r="F13" s="20"/>
      <c r="G13" s="11">
        <v>9</v>
      </c>
      <c r="H13" s="23" t="s">
        <v>380</v>
      </c>
      <c r="I13" s="13" t="s">
        <v>371</v>
      </c>
      <c r="J13" s="24">
        <v>0.8</v>
      </c>
      <c r="K13" s="11" t="s">
        <v>381</v>
      </c>
      <c r="L13" s="17"/>
    </row>
    <row r="14" ht="23" customHeight="1" spans="1:26">
      <c r="A14" s="18"/>
      <c r="B14" s="19"/>
      <c r="C14" s="20"/>
      <c r="D14" s="20"/>
      <c r="E14" s="21"/>
      <c r="F14" s="20"/>
      <c r="G14" s="27"/>
      <c r="H14" s="28"/>
      <c r="I14" s="13" t="s">
        <v>382</v>
      </c>
      <c r="J14" s="29"/>
      <c r="K14" s="27"/>
      <c r="L14" s="17"/>
    </row>
    <row r="15" ht="23" customHeight="1" spans="1:26">
      <c r="A15" s="18"/>
      <c r="B15" s="19"/>
      <c r="C15" s="20"/>
      <c r="D15" s="20"/>
      <c r="E15" s="21"/>
      <c r="F15" s="20"/>
      <c r="G15" s="20">
        <v>10</v>
      </c>
      <c r="H15" s="25" t="s">
        <v>383</v>
      </c>
      <c r="I15" s="13" t="s">
        <v>255</v>
      </c>
      <c r="J15" s="26">
        <v>0.9</v>
      </c>
      <c r="K15" s="20" t="s">
        <v>384</v>
      </c>
      <c r="L15" s="17"/>
    </row>
    <row r="16" ht="23" customHeight="1" spans="1:26">
      <c r="A16" s="18"/>
      <c r="B16" s="19"/>
      <c r="C16" s="20"/>
      <c r="D16" s="20"/>
      <c r="E16" s="21"/>
      <c r="F16" s="20"/>
      <c r="G16" s="20"/>
      <c r="H16" s="25"/>
      <c r="I16" s="13" t="s">
        <v>385</v>
      </c>
      <c r="J16" s="26"/>
      <c r="K16" s="20"/>
      <c r="L16" s="17"/>
    </row>
    <row r="17" ht="23" customHeight="1" spans="1:12">
      <c r="A17" s="18"/>
      <c r="B17" s="19"/>
      <c r="C17" s="20"/>
      <c r="D17" s="20"/>
      <c r="E17" s="21"/>
      <c r="F17" s="20"/>
      <c r="G17" s="27"/>
      <c r="H17" s="28"/>
      <c r="I17" s="13" t="s">
        <v>253</v>
      </c>
      <c r="J17" s="29"/>
      <c r="K17" s="27"/>
      <c r="L17" s="17"/>
    </row>
    <row r="18" ht="23" customHeight="1" spans="1:12">
      <c r="A18" s="18"/>
      <c r="B18" s="19"/>
      <c r="C18" s="20"/>
      <c r="D18" s="20"/>
      <c r="E18" s="21"/>
      <c r="F18" s="20"/>
      <c r="G18" s="20">
        <v>11</v>
      </c>
      <c r="H18" s="25" t="s">
        <v>386</v>
      </c>
      <c r="I18" s="13" t="s">
        <v>385</v>
      </c>
      <c r="J18" s="26">
        <v>0.8</v>
      </c>
      <c r="K18" s="27" t="s">
        <v>387</v>
      </c>
      <c r="L18" s="17">
        <v>2</v>
      </c>
    </row>
    <row r="19" ht="23" customHeight="1" spans="1:12">
      <c r="A19" s="18"/>
      <c r="B19" s="19"/>
      <c r="C19" s="20"/>
      <c r="D19" s="20"/>
      <c r="E19" s="21"/>
      <c r="F19" s="20"/>
      <c r="G19" s="27"/>
      <c r="H19" s="28"/>
      <c r="I19" s="13" t="s">
        <v>255</v>
      </c>
      <c r="J19" s="29"/>
      <c r="K19" s="27" t="s">
        <v>387</v>
      </c>
      <c r="L19" s="17"/>
    </row>
    <row r="20" ht="23" customHeight="1" spans="1:12">
      <c r="A20" s="18"/>
      <c r="B20" s="19"/>
      <c r="C20" s="20"/>
      <c r="D20" s="20"/>
      <c r="E20" s="21"/>
      <c r="F20" s="20"/>
      <c r="G20" s="20">
        <v>12</v>
      </c>
      <c r="H20" s="25" t="s">
        <v>388</v>
      </c>
      <c r="I20" s="13" t="s">
        <v>255</v>
      </c>
      <c r="J20" s="26">
        <v>0.4</v>
      </c>
      <c r="K20" s="20" t="s">
        <v>389</v>
      </c>
      <c r="L20" s="17">
        <v>5</v>
      </c>
    </row>
    <row r="21" ht="23" customHeight="1" spans="1:12">
      <c r="A21" s="18"/>
      <c r="B21" s="19"/>
      <c r="C21" s="20"/>
      <c r="D21" s="20"/>
      <c r="E21" s="21"/>
      <c r="F21" s="20"/>
      <c r="G21" s="20"/>
      <c r="H21" s="25"/>
      <c r="I21" s="13" t="s">
        <v>382</v>
      </c>
      <c r="J21" s="26"/>
      <c r="K21" s="20"/>
      <c r="L21" s="17"/>
    </row>
    <row r="22" ht="23" customHeight="1" spans="1:12">
      <c r="A22" s="18"/>
      <c r="B22" s="19"/>
      <c r="C22" s="20"/>
      <c r="D22" s="20"/>
      <c r="E22" s="21"/>
      <c r="F22" s="20"/>
      <c r="G22" s="20"/>
      <c r="H22" s="25"/>
      <c r="I22" s="13" t="s">
        <v>373</v>
      </c>
      <c r="J22" s="26"/>
      <c r="K22" s="20"/>
      <c r="L22" s="17">
        <v>5</v>
      </c>
    </row>
    <row r="23" ht="23" customHeight="1" spans="1:12">
      <c r="A23" s="18"/>
      <c r="B23" s="19"/>
      <c r="C23" s="20"/>
      <c r="D23" s="20"/>
      <c r="E23" s="21"/>
      <c r="F23" s="20"/>
      <c r="G23" s="20"/>
      <c r="H23" s="25"/>
      <c r="I23" s="13" t="s">
        <v>368</v>
      </c>
      <c r="J23" s="26"/>
      <c r="K23" s="20"/>
      <c r="L23" s="17">
        <v>5</v>
      </c>
    </row>
    <row r="24" ht="23" customHeight="1" spans="1:12">
      <c r="A24" s="18"/>
      <c r="B24" s="19"/>
      <c r="C24" s="20"/>
      <c r="D24" s="20"/>
      <c r="E24" s="21"/>
      <c r="F24" s="20"/>
      <c r="G24" s="20"/>
      <c r="H24" s="25"/>
      <c r="I24" s="13" t="s">
        <v>371</v>
      </c>
      <c r="J24" s="26"/>
      <c r="K24" s="20"/>
      <c r="L24" s="17">
        <v>5</v>
      </c>
    </row>
    <row r="25" ht="23" customHeight="1" spans="1:12">
      <c r="A25" s="18"/>
      <c r="B25" s="19"/>
      <c r="C25" s="20"/>
      <c r="D25" s="20"/>
      <c r="E25" s="21"/>
      <c r="F25" s="20"/>
      <c r="G25" s="20"/>
      <c r="H25" s="25"/>
      <c r="I25" s="13" t="s">
        <v>385</v>
      </c>
      <c r="J25" s="26"/>
      <c r="K25" s="27"/>
      <c r="L25" s="17">
        <v>1</v>
      </c>
    </row>
    <row r="26" ht="23" customHeight="1" spans="1:12">
      <c r="A26" s="18"/>
      <c r="B26" s="19"/>
      <c r="C26" s="20"/>
      <c r="D26" s="20"/>
      <c r="E26" s="21"/>
      <c r="F26" s="13" t="s">
        <v>390</v>
      </c>
      <c r="G26" s="13">
        <v>1</v>
      </c>
      <c r="H26" s="14" t="s">
        <v>391</v>
      </c>
      <c r="I26" s="13" t="s">
        <v>392</v>
      </c>
      <c r="J26" s="16">
        <v>1</v>
      </c>
      <c r="K26" s="13"/>
      <c r="L26" s="17">
        <v>5</v>
      </c>
    </row>
    <row r="27" ht="23" customHeight="1" spans="1:12">
      <c r="A27" s="18"/>
      <c r="B27" s="19"/>
      <c r="C27" s="20"/>
      <c r="D27" s="20"/>
      <c r="E27" s="21"/>
      <c r="F27" s="13"/>
      <c r="G27" s="13">
        <v>2</v>
      </c>
      <c r="H27" s="14" t="s">
        <v>393</v>
      </c>
      <c r="I27" s="13" t="s">
        <v>394</v>
      </c>
      <c r="J27" s="16">
        <v>1</v>
      </c>
      <c r="K27" s="13"/>
      <c r="L27" s="17">
        <v>5</v>
      </c>
    </row>
    <row r="28" ht="23" customHeight="1" spans="1:12">
      <c r="A28" s="18"/>
      <c r="B28" s="19"/>
      <c r="C28" s="20"/>
      <c r="D28" s="20"/>
      <c r="E28" s="21"/>
      <c r="F28" s="13"/>
      <c r="G28" s="13">
        <v>3</v>
      </c>
      <c r="H28" s="14" t="s">
        <v>393</v>
      </c>
      <c r="I28" s="13" t="s">
        <v>395</v>
      </c>
      <c r="J28" s="16">
        <v>1</v>
      </c>
      <c r="K28" s="13"/>
      <c r="L28" s="17">
        <v>5</v>
      </c>
    </row>
    <row r="29" ht="23" customHeight="1" spans="1:12">
      <c r="A29" s="18"/>
      <c r="B29" s="19"/>
      <c r="C29" s="20"/>
      <c r="D29" s="20"/>
      <c r="E29" s="21"/>
      <c r="F29" s="20" t="s">
        <v>396</v>
      </c>
      <c r="G29" s="13">
        <v>1</v>
      </c>
      <c r="H29" s="14" t="s">
        <v>397</v>
      </c>
      <c r="I29" s="13" t="s">
        <v>60</v>
      </c>
      <c r="J29" s="16">
        <v>0.1</v>
      </c>
      <c r="K29" s="13" t="s">
        <v>398</v>
      </c>
      <c r="L29" s="17">
        <v>0.5</v>
      </c>
    </row>
    <row r="30" ht="24" customHeight="1" spans="1:12">
      <c r="A30" s="18"/>
      <c r="B30" s="19"/>
      <c r="C30" s="20"/>
      <c r="D30" s="20"/>
      <c r="E30" s="21"/>
      <c r="F30" s="20"/>
      <c r="G30" s="13">
        <v>2</v>
      </c>
      <c r="H30" s="14" t="s">
        <v>399</v>
      </c>
      <c r="I30" s="13" t="s">
        <v>60</v>
      </c>
      <c r="J30" s="16">
        <v>0.15</v>
      </c>
      <c r="K30" s="13" t="s">
        <v>400</v>
      </c>
      <c r="L30" s="17">
        <v>0.5</v>
      </c>
    </row>
    <row r="31" ht="15.6" spans="1:12">
      <c r="A31" s="18"/>
      <c r="B31" s="19"/>
      <c r="C31" s="20"/>
      <c r="D31" s="20"/>
      <c r="E31" s="21"/>
      <c r="F31" s="20"/>
      <c r="G31" s="11">
        <v>3</v>
      </c>
      <c r="H31" s="23" t="s">
        <v>401</v>
      </c>
      <c r="I31" s="11" t="s">
        <v>371</v>
      </c>
      <c r="J31" s="24">
        <v>0.1</v>
      </c>
      <c r="K31" s="11" t="s">
        <v>402</v>
      </c>
      <c r="L31" s="17"/>
    </row>
    <row r="32" spans="1:12">
      <c r="A32" s="18"/>
      <c r="B32" s="19"/>
      <c r="C32" s="20"/>
      <c r="D32" s="20"/>
      <c r="E32" s="21"/>
      <c r="F32" s="20"/>
      <c r="G32" s="11">
        <v>4</v>
      </c>
      <c r="H32" s="23"/>
      <c r="I32" s="11"/>
      <c r="J32" s="24"/>
      <c r="K32" s="11"/>
      <c r="L32" s="10"/>
    </row>
    <row r="33" spans="1:12">
      <c r="A33" s="18"/>
      <c r="B33" s="19"/>
      <c r="C33" s="20"/>
      <c r="D33" s="20"/>
      <c r="E33" s="21"/>
      <c r="F33" s="20"/>
      <c r="G33" s="27"/>
      <c r="H33" s="28"/>
      <c r="I33" s="27"/>
      <c r="J33" s="29"/>
      <c r="K33" s="27"/>
      <c r="L33" s="31"/>
    </row>
    <row r="34" ht="15.6" spans="1:12">
      <c r="A34" s="18"/>
      <c r="B34" s="19"/>
      <c r="C34" s="20"/>
      <c r="D34" s="20"/>
      <c r="E34" s="32"/>
      <c r="F34" s="27"/>
      <c r="G34" s="11"/>
      <c r="H34" s="23"/>
      <c r="I34" s="11"/>
      <c r="J34" s="24"/>
      <c r="K34" s="11"/>
      <c r="L34" s="10"/>
    </row>
    <row r="35" ht="15" spans="1:12">
      <c r="A35" s="18"/>
      <c r="B35" s="19"/>
      <c r="C35" s="20"/>
      <c r="D35" s="20"/>
      <c r="E35" s="33" t="s">
        <v>168</v>
      </c>
      <c r="F35" s="33"/>
      <c r="G35" s="33"/>
      <c r="H35" s="33"/>
      <c r="I35" s="33"/>
      <c r="J35" s="34"/>
      <c r="K35" s="35"/>
      <c r="L35" s="36">
        <f>SUM(L2:L34)</f>
        <v>39</v>
      </c>
    </row>
    <row r="36" ht="62.4" spans="1:12">
      <c r="A36" s="18"/>
      <c r="B36" s="19"/>
      <c r="C36" s="20"/>
      <c r="D36" s="20"/>
      <c r="E36" s="12" t="s">
        <v>169</v>
      </c>
      <c r="F36" s="12" t="s">
        <v>77</v>
      </c>
      <c r="G36" s="30">
        <v>1</v>
      </c>
      <c r="H36" s="37" t="s">
        <v>388</v>
      </c>
      <c r="I36" s="13" t="s">
        <v>255</v>
      </c>
      <c r="J36" s="38">
        <v>0.55</v>
      </c>
      <c r="K36" s="30"/>
      <c r="L36" s="39"/>
    </row>
    <row r="37" ht="17" customHeight="1" spans="1:12">
      <c r="A37" s="18"/>
      <c r="B37" s="19"/>
      <c r="C37" s="20"/>
      <c r="D37" s="20"/>
      <c r="E37" s="21"/>
      <c r="F37" s="21"/>
      <c r="G37" s="30">
        <v>2</v>
      </c>
      <c r="H37" s="37" t="s">
        <v>403</v>
      </c>
      <c r="I37" s="30" t="s">
        <v>382</v>
      </c>
      <c r="J37" s="38">
        <v>1</v>
      </c>
      <c r="K37" s="30"/>
      <c r="L37" s="39"/>
    </row>
    <row r="38" ht="15.6" spans="1:12">
      <c r="A38" s="18"/>
      <c r="B38" s="19"/>
      <c r="C38" s="20"/>
      <c r="D38" s="20"/>
      <c r="E38" s="21"/>
      <c r="F38" s="32"/>
      <c r="G38" s="30">
        <v>3</v>
      </c>
      <c r="H38" s="37" t="s">
        <v>404</v>
      </c>
      <c r="I38" s="13" t="s">
        <v>371</v>
      </c>
      <c r="J38" s="38">
        <v>0.9</v>
      </c>
      <c r="K38" s="30"/>
      <c r="L38" s="39"/>
    </row>
    <row r="39" ht="15.6" spans="1:12">
      <c r="A39" s="18"/>
      <c r="B39" s="19"/>
      <c r="C39" s="20"/>
      <c r="D39" s="20"/>
      <c r="E39" s="21"/>
      <c r="F39" s="40" t="s">
        <v>396</v>
      </c>
      <c r="G39" s="30">
        <v>1</v>
      </c>
      <c r="H39" s="37" t="s">
        <v>405</v>
      </c>
      <c r="I39" s="13" t="s">
        <v>60</v>
      </c>
      <c r="J39" s="38">
        <v>1</v>
      </c>
      <c r="K39" s="30"/>
      <c r="L39" s="39"/>
    </row>
    <row r="40" ht="15.6" spans="1:12">
      <c r="A40" s="18"/>
      <c r="B40" s="19"/>
      <c r="C40" s="20"/>
      <c r="D40" s="20"/>
      <c r="E40" s="21"/>
      <c r="F40" s="40"/>
      <c r="G40" s="30">
        <v>2</v>
      </c>
      <c r="H40" s="37" t="s">
        <v>406</v>
      </c>
      <c r="I40" s="13" t="s">
        <v>371</v>
      </c>
      <c r="J40" s="38">
        <v>1</v>
      </c>
      <c r="K40" s="30"/>
      <c r="L40" s="39"/>
    </row>
    <row r="41" ht="21" customHeight="1" spans="1:12">
      <c r="A41" s="18"/>
      <c r="B41" s="19"/>
      <c r="C41" s="20"/>
      <c r="D41" s="20"/>
      <c r="E41" s="21"/>
      <c r="F41" s="40"/>
      <c r="G41" s="30">
        <v>3</v>
      </c>
      <c r="H41" s="37" t="s">
        <v>407</v>
      </c>
      <c r="I41" s="13" t="s">
        <v>255</v>
      </c>
      <c r="J41" s="38">
        <v>1</v>
      </c>
      <c r="K41" s="30"/>
      <c r="L41" s="39"/>
    </row>
  </sheetData>
  <autoFilter xmlns:etc="http://www.wps.cn/officeDocument/2017/etCustomData" ref="A1:Z41" etc:filterBottomFollowUsedRange="0">
    <extLst/>
  </autoFilter>
  <mergeCells count="41">
    <mergeCell ref="E35:H35"/>
    <mergeCell ref="A2:A41"/>
    <mergeCell ref="B2:B41"/>
    <mergeCell ref="C2:C41"/>
    <mergeCell ref="D2:D41"/>
    <mergeCell ref="E2:E34"/>
    <mergeCell ref="E36:E41"/>
    <mergeCell ref="F2:F25"/>
    <mergeCell ref="F26:F28"/>
    <mergeCell ref="F29:F34"/>
    <mergeCell ref="F36:F38"/>
    <mergeCell ref="F39:F41"/>
    <mergeCell ref="G4:G6"/>
    <mergeCell ref="G8:G9"/>
    <mergeCell ref="G13:G14"/>
    <mergeCell ref="G15:G17"/>
    <mergeCell ref="G18:G19"/>
    <mergeCell ref="G20:G25"/>
    <mergeCell ref="G32:G33"/>
    <mergeCell ref="H4:H6"/>
    <mergeCell ref="H8:H9"/>
    <mergeCell ref="H13:H14"/>
    <mergeCell ref="H15:H17"/>
    <mergeCell ref="H18:H19"/>
    <mergeCell ref="H20:H25"/>
    <mergeCell ref="H32:H33"/>
    <mergeCell ref="I32:I33"/>
    <mergeCell ref="J4:J6"/>
    <mergeCell ref="J8:J9"/>
    <mergeCell ref="J13:J14"/>
    <mergeCell ref="J15:J17"/>
    <mergeCell ref="J18:J19"/>
    <mergeCell ref="J20:J25"/>
    <mergeCell ref="J32:J33"/>
    <mergeCell ref="K4:K6"/>
    <mergeCell ref="K8:K9"/>
    <mergeCell ref="K13:K14"/>
    <mergeCell ref="K15:K17"/>
    <mergeCell ref="K20:K25"/>
    <mergeCell ref="K32:K33"/>
    <mergeCell ref="L32:L3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2026-04-24T13:03:40Z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2052-12.1.0.25225</vt:lpwstr>
  </property>
  <property fmtid="{D5CDD505-2E9C-101B-9397-08002B2CF9AE}" pid="4" name="CalculationRule">
    <vt:i4>0</vt:i4>
  </property>
</Properties>
</file>