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3644" tabRatio="905"/>
  </bookViews>
  <sheets>
    <sheet name="项目汇总" sheetId="1" r:id="rId1"/>
    <sheet name="交付-不动产组" sheetId="233" r:id="rId2"/>
    <sheet name="交付-房产组" sheetId="234" r:id="rId3"/>
    <sheet name="交付-物业组" sheetId="235" r:id="rId4"/>
    <sheet name="交付-AI大数据组" sheetId="236" r:id="rId5"/>
    <sheet name="交付-JD组" sheetId="237" r:id="rId6"/>
    <sheet name="产品研发部" sheetId="238" r:id="rId7"/>
    <sheet name="汇房智选部" sheetId="239" r:id="rId8"/>
    <sheet name="软件项目部" sheetId="240" r:id="rId9"/>
  </sheets>
  <externalReferences>
    <externalReference r:id="rId10"/>
    <externalReference r:id="rId11"/>
    <externalReference r:id="rId12"/>
    <externalReference r:id="rId13"/>
  </externalReferences>
  <definedNames>
    <definedName name="_xlnm._FilterDatabase" localSheetId="1" hidden="1">'交付-不动产组'!$A$1:$L$44</definedName>
    <definedName name="_xlnm._FilterDatabase" localSheetId="7" hidden="1">汇房智选部!$I$1:$I$56</definedName>
    <definedName name="_xlnm._FilterDatabase" localSheetId="8" hidden="1">软件项目部!$A$1:$Z$37</definedName>
    <definedName name="_xlnm._FilterDatabase" localSheetId="2" hidden="1">#REF!</definedName>
    <definedName name="_xlnm._FilterDatabase" localSheetId="3" hidden="1">#REF!</definedName>
    <definedName name="_xlnm._FilterDatabase" localSheetId="4" hidden="1">#REF!</definedName>
    <definedName name="_xlnm._FilterDatabase" localSheetId="5" hidden="1">#REF!</definedName>
    <definedName name="_xlnm._FilterDatabase" localSheetId="6" hidden="1">产品研发部!#REF!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王壮-leo</author>
  </authors>
  <commentList>
    <comment ref="M2" authorId="0">
      <text>
        <r>
          <rPr>
            <b/>
            <sz val="9"/>
            <rFont val="宋体"/>
            <charset val="134"/>
          </rPr>
          <t>王壮-leo:</t>
        </r>
        <r>
          <rPr>
            <sz val="9"/>
            <rFont val="宋体"/>
            <charset val="134"/>
          </rPr>
          <t xml:space="preserve">
按照每周各项目成员填报工时累计之和除以8计算</t>
        </r>
      </text>
    </comment>
  </commentList>
</comments>
</file>

<file path=xl/sharedStrings.xml><?xml version="1.0" encoding="utf-8"?>
<sst xmlns="http://schemas.openxmlformats.org/spreadsheetml/2006/main" count="939" uniqueCount="392">
  <si>
    <t>项目周报汇总（2026.3.30-2025.4.3）</t>
  </si>
  <si>
    <t>序号</t>
  </si>
  <si>
    <t>隶属部门</t>
  </si>
  <si>
    <t>项目类型</t>
  </si>
  <si>
    <t>项目编号</t>
  </si>
  <si>
    <t>项目名称</t>
  </si>
  <si>
    <t>项目经理</t>
  </si>
  <si>
    <t>立项情况</t>
  </si>
  <si>
    <t>当前阶段</t>
  </si>
  <si>
    <t>进度情况</t>
  </si>
  <si>
    <t>总体完成进度</t>
  </si>
  <si>
    <t>合同状态</t>
  </si>
  <si>
    <t>回款情况</t>
  </si>
  <si>
    <t>上周人力投入(人天)</t>
  </si>
  <si>
    <t>本周人力投入(人天)</t>
  </si>
  <si>
    <t>人力较上周</t>
  </si>
  <si>
    <t>重大问题和风险</t>
  </si>
  <si>
    <t>待协调资源</t>
  </si>
  <si>
    <t>备注</t>
  </si>
  <si>
    <t>交付中心
（王壮）</t>
  </si>
  <si>
    <t>不动产组
（宋义振）</t>
  </si>
  <si>
    <t>济南市不动产登记系统功能拓展</t>
  </si>
  <si>
    <t>宋义振</t>
  </si>
  <si>
    <t>长期项目</t>
  </si>
  <si>
    <t>上线运行</t>
  </si>
  <si>
    <t>正常</t>
  </si>
  <si>
    <t>——</t>
  </si>
  <si>
    <t>已申报预算，未签订</t>
  </si>
  <si>
    <t>不动产登记信息平台信创升级改造项目</t>
  </si>
  <si>
    <t>已立项</t>
  </si>
  <si>
    <t>验收</t>
  </si>
  <si>
    <t>已签订</t>
  </si>
  <si>
    <t>完成初验，目前处于各子系统陆续切换过程中，</t>
  </si>
  <si>
    <t>济南市不动产登记云柜台（线上移动)系统</t>
  </si>
  <si>
    <t>陈一明</t>
  </si>
  <si>
    <t>未立项</t>
  </si>
  <si>
    <t>云柜台上线好几年了，之前不断增加新功能，今年基本没有新增需求，目前处于运维过程中，本月云柜台信创上线</t>
  </si>
  <si>
    <t>济南市不动产预受理系统</t>
  </si>
  <si>
    <t>2025年4月上线，一直保持运维过程中，项目运行文档，本周没有工作输出</t>
  </si>
  <si>
    <t>房产组
（刘存山）</t>
  </si>
  <si>
    <t>济南市房产交易管理平台拓展</t>
  </si>
  <si>
    <t>张大伟</t>
  </si>
  <si>
    <t>未签订</t>
  </si>
  <si>
    <t>济南房产交易与租赁服务平台</t>
  </si>
  <si>
    <t>李宪鹏</t>
  </si>
  <si>
    <t>严重延迟</t>
  </si>
  <si>
    <t>已签合同</t>
  </si>
  <si>
    <t>进度延迟严重</t>
  </si>
  <si>
    <t>2025年12月完成初验，目前调整及测试中，计划4月初上线</t>
  </si>
  <si>
    <t>21250606J</t>
  </si>
  <si>
    <t>山东省机关事务局职工房改管理系统适配改造项目</t>
  </si>
  <si>
    <t>付艳芳</t>
  </si>
  <si>
    <t>维护</t>
  </si>
  <si>
    <t>2025年12月完成终验，现在处于3年免费运维中</t>
  </si>
  <si>
    <t>宿松房产一体化平台</t>
  </si>
  <si>
    <t>刘存山</t>
  </si>
  <si>
    <t>实施</t>
  </si>
  <si>
    <t>立项工作准备中，计划下周立项</t>
  </si>
  <si>
    <t>物业组
（袁畅）</t>
  </si>
  <si>
    <t>日照市三平台融合、智慧物业、住宅专项维修资金系统信创改造项目</t>
  </si>
  <si>
    <t>王成</t>
  </si>
  <si>
    <t>还没组织验收，现在是上线配合推广阶段</t>
  </si>
  <si>
    <t>滨州智慧物业</t>
  </si>
  <si>
    <t>王壮</t>
  </si>
  <si>
    <t>有合同</t>
  </si>
  <si>
    <t>泉农通二期销售售前支持</t>
  </si>
  <si>
    <t>刘传祥</t>
  </si>
  <si>
    <t>销售立项</t>
  </si>
  <si>
    <t>售前</t>
  </si>
  <si>
    <t>AI大数据组
（李朔刚）</t>
  </si>
  <si>
    <t>济南市不动产登记全量数据汇交及比对系统</t>
  </si>
  <si>
    <t>李朔刚</t>
  </si>
  <si>
    <t>一直有新需求，持续开发</t>
  </si>
  <si>
    <t>济南市不动产登记电子监督系统功能拓展</t>
  </si>
  <si>
    <t>2</t>
  </si>
  <si>
    <t>一直有新需求，交房即办证也有合同，还在执行中</t>
  </si>
  <si>
    <t>不动产登记人工智能数字人(一期)项目</t>
  </si>
  <si>
    <t>开发</t>
  </si>
  <si>
    <t>延迟</t>
  </si>
  <si>
    <t>无合同</t>
  </si>
  <si>
    <t>大汉平台对接不动产接口有问题，大汉一直在解决</t>
  </si>
  <si>
    <t>21250313J</t>
  </si>
  <si>
    <t>电子监督系统标准化产品改造</t>
  </si>
  <si>
    <t>佟丽</t>
  </si>
  <si>
    <t>发布</t>
  </si>
  <si>
    <t>开发完成，有订单可上线运行，目前已申请专利过程中</t>
  </si>
  <si>
    <t>JD组
（王庆嵋）</t>
  </si>
  <si>
    <t>210123ZHJJ02</t>
  </si>
  <si>
    <t>基层经费监管系统升级研发（二期）</t>
  </si>
  <si>
    <t>王庆嵋</t>
  </si>
  <si>
    <t>2025年10月完成初验进行上线，客户一直未组织终验</t>
  </si>
  <si>
    <t>JD维护</t>
  </si>
  <si>
    <t>技术支持部
（王壮）</t>
  </si>
  <si>
    <t>运维项目</t>
  </si>
  <si>
    <t>不动产登记应用软件维护</t>
  </si>
  <si>
    <t>付蕾</t>
  </si>
  <si>
    <t>济南市房产交易部门运维</t>
  </si>
  <si>
    <t>本周完成实际工作量核实</t>
  </si>
  <si>
    <t>房产项目运维</t>
  </si>
  <si>
    <t>智慧物业运维（维修资金）项目运维</t>
  </si>
  <si>
    <t>人力小计：</t>
  </si>
  <si>
    <t>人力饱和度</t>
  </si>
  <si>
    <t>产品研发部
（曹倩）</t>
  </si>
  <si>
    <t>研发项目</t>
  </si>
  <si>
    <t>21250925HF</t>
  </si>
  <si>
    <t>汇房智慧住房租赁综合管理与服务平台</t>
  </si>
  <si>
    <t>魏山明</t>
  </si>
  <si>
    <t>立项</t>
  </si>
  <si>
    <t>技术支撑平台</t>
  </si>
  <si>
    <t>石伟佳</t>
  </si>
  <si>
    <t>立项中</t>
  </si>
  <si>
    <t>原基础平台更名为技术支撑平台</t>
  </si>
  <si>
    <t>智慧房产产品线</t>
  </si>
  <si>
    <t>曹倩</t>
  </si>
  <si>
    <t>数据治理平台</t>
  </si>
  <si>
    <t>汇房智选部
（任建伟）</t>
  </si>
  <si>
    <t>22250903HF</t>
  </si>
  <si>
    <t>济南市联合资产交易公示平台</t>
  </si>
  <si>
    <t>王帅</t>
  </si>
  <si>
    <t>汇房云经纪人</t>
  </si>
  <si>
    <t>任建伟</t>
  </si>
  <si>
    <t>22250829HF</t>
  </si>
  <si>
    <t>车位使用权公证备案平台</t>
  </si>
  <si>
    <t>22251028HFJ</t>
  </si>
  <si>
    <t>卓识网安业务平台系统</t>
  </si>
  <si>
    <t>3月底左右验收</t>
  </si>
  <si>
    <t>21250516HF</t>
  </si>
  <si>
    <t>汇房云培训考试（汇房考试培训系统）</t>
  </si>
  <si>
    <t>21250801J</t>
  </si>
  <si>
    <t>公司内部系统维护升级项目</t>
  </si>
  <si>
    <t>/</t>
  </si>
  <si>
    <t>房源超市SaaS产品化改造(新房超市SaaS)</t>
  </si>
  <si>
    <t>李昱江</t>
  </si>
  <si>
    <t>卓识网安业务平台系统-知识库</t>
  </si>
  <si>
    <t>价格未谈拢</t>
  </si>
  <si>
    <t>房屋租赁管理系统(汇房云租)</t>
  </si>
  <si>
    <t>待立项</t>
  </si>
  <si>
    <t>挂起</t>
  </si>
  <si>
    <t>阳信房产超市运维&amp;乐居乳山</t>
  </si>
  <si>
    <t>安震、王帅</t>
  </si>
  <si>
    <t>软件项目部
(王成)</t>
  </si>
  <si>
    <t>日照银行智慧社区维护与升级</t>
  </si>
  <si>
    <t>上周人力小计：</t>
  </si>
  <si>
    <t>本周人力小计：</t>
  </si>
  <si>
    <t>项目信息</t>
  </si>
  <si>
    <t>当前进度</t>
  </si>
  <si>
    <t>合同回款情况</t>
  </si>
  <si>
    <t>工作/计划</t>
  </si>
  <si>
    <t>模块名称</t>
  </si>
  <si>
    <t>任务简述（多人完成可以合并单元格）</t>
  </si>
  <si>
    <t>责任人（只能填一个人）</t>
  </si>
  <si>
    <t>完成度</t>
  </si>
  <si>
    <t>未完成情况说明</t>
  </si>
  <si>
    <t>工作量（人日）</t>
  </si>
  <si>
    <t xml:space="preserve">济南市不动产登记系统功能拓展
项目编号：22220901
</t>
  </si>
  <si>
    <t>--</t>
  </si>
  <si>
    <t>本周工作</t>
  </si>
  <si>
    <t>继续修改量化登记需求文档。</t>
  </si>
  <si>
    <t>不动产登记中心参加会议：宋主任调度量化登记相关工作开展情况。</t>
  </si>
  <si>
    <t>不动产登记系统-信息共享：和发改委信用档案提供方方确定，失信记录接口不再查询中间库表内容，改为只调用接口的方式。</t>
  </si>
  <si>
    <t>数据处理：审计局反馈流程有误数据，流程日志修改。</t>
  </si>
  <si>
    <t>不动产登记系统：排查解决查封业务质检传递记录环节问SL问题。</t>
  </si>
  <si>
    <t>不动产数据统计工作：16条。</t>
  </si>
  <si>
    <t>电子证照一体化平台接口测试联调工作。</t>
  </si>
  <si>
    <t>李国强</t>
  </si>
  <si>
    <t>登记系统移动端：调整调用大数据局地址，并打包。</t>
  </si>
  <si>
    <t>张志鹏</t>
  </si>
  <si>
    <t>不动产登记-数据共享：法院总对总反馈定时，定位处理没有处理消息的问题。已处理。</t>
  </si>
  <si>
    <t>不动产登记系统：税务退件池功能开发。</t>
  </si>
  <si>
    <t>李中正</t>
  </si>
  <si>
    <t>网上抵押系统：日常维护工作。</t>
  </si>
  <si>
    <t>农房系统：日常问题处理 。</t>
  </si>
  <si>
    <t>不动产登记移动端 优化登记信息界面</t>
  </si>
  <si>
    <t>董文超</t>
  </si>
  <si>
    <t>搭建等级项目开发环境+熟悉项目代码</t>
  </si>
  <si>
    <t>窦延群</t>
  </si>
  <si>
    <t>需求对接、配合审计等</t>
  </si>
  <si>
    <t>合计</t>
  </si>
  <si>
    <t>下周计划</t>
  </si>
  <si>
    <t xml:space="preserve">济南市不动产登记中心不动产登记信息平台信创升级改造项目
项目编号：22250226
</t>
  </si>
  <si>
    <t>信创-登记系统</t>
  </si>
  <si>
    <t>信创环境登记系统问题优化    20/8
    1、身份证明对比失败  100%
    2、无法在数字化中查看电子证照（可以提取）  100%
    3、抵押申报表存在问题，空白处过多（不显示抵押权人、抵押人、债务人字样） 
   4、处理数字化拍照视频错乱问题。</t>
  </si>
  <si>
    <t>梳理rerip调用外部接口。</t>
  </si>
  <si>
    <t>信创-电子监督系统、数据汇聚分平台</t>
  </si>
  <si>
    <t xml:space="preserve">1）电子监督最新版数据迁移上线信创系统、测试。 
2）电子监督最新版web程序和数据处理上线信创系统、功能测试。
3）数据汇聚分平台信创改造，申请打通大数据共享平台。 </t>
  </si>
  <si>
    <t>王建</t>
  </si>
  <si>
    <t>信创-云柜台</t>
  </si>
  <si>
    <t>其他</t>
  </si>
  <si>
    <t>平台问题：解决因btware服务ie不能登录的问题，解决ie登陆后不能切换模块的问题。开发测试，发布环境。</t>
  </si>
  <si>
    <t>济南市不动产登记云柜台（线上移动)系统
项目编号：22220202</t>
  </si>
  <si>
    <t>运维</t>
  </si>
  <si>
    <t>济南市不动产预受理系统
项目编号：22220701</t>
  </si>
  <si>
    <t>不动产软件运维</t>
  </si>
  <si>
    <t>工单 485  件
增量数据汇交日检</t>
  </si>
  <si>
    <t>李猛</t>
  </si>
  <si>
    <t>杨森</t>
  </si>
  <si>
    <t>不动产系统运维</t>
  </si>
  <si>
    <t>信创堡垒机:添加堡垒机账号，申请瀚高库客户端连接的账号权限。
x86生产172.20.93段10多台机器访问权籍系统信创地址：网络映射已开通，测试通。
将信创不动产登记测试tomcat配置静态资源访问。
电子监督生产91.213申请访问电子监督信创88上的俩端口。
91.8 retmsbk文件夹备份存储问题处理
172.18.225.131机器配置文件的ssl证书替换</t>
  </si>
  <si>
    <t>杨真真</t>
  </si>
  <si>
    <t>祝席成</t>
  </si>
  <si>
    <t>济南房产交易运维</t>
  </si>
  <si>
    <t>房管监测平台维护:
新3月份实时表变更表数据
统计导出3月份生产库、住建部二手房网签明细
更新3月份住建数据房产证号、贷款及渠道数据</t>
  </si>
  <si>
    <t>1.按甲方要求格式导出平阴22年-26年3月底数据
2.按甲方要求导出全市22年-25年全部存量房数据
3.按甲方要求补充早期已审核但没有审核时间的数据</t>
  </si>
  <si>
    <t>存量房网签及资金监管系统日常运维</t>
  </si>
  <si>
    <t>张杨</t>
  </si>
  <si>
    <t>工单   40 件</t>
  </si>
  <si>
    <t>每日数据巡检问题数据汇交 
每日交易数据迁移的查看日志
住建审计，在91.47还原一份存量房网签库
存量房备库机上将网签库的485G的日志文件只保留1个月以内的，其余移动到/data盘
将91.28上900多G的日志文件移动到10.10.10.2上，再移动到10.10.1.71，为91.28retms的目录腾空间。
将云面签的https的ssl证书换成2026年新续费的。
省直房改：hanyudb库的生产库迁移到信创瀚高库，正式投入生产使用。</t>
  </si>
  <si>
    <t>测试爱山东不动产证照接口；测试中介网签</t>
  </si>
  <si>
    <t>1、优化新平台存量房网签合同模板（完成100%）
2、修改存量房网签提取房屋时行政区判定的逻辑，与现有老系统改为一致（完成100%）
3、配合前端测试修改新平台网签业务中人像图片展示的问题（完成80%）</t>
  </si>
  <si>
    <t>迁移资金监管2012年--2021年底的老数据
补充迁移2023年-2025年人员头像路径</t>
  </si>
  <si>
    <t xml:space="preserve">济南市房产交易管理平台拓展项目编号:22221201
</t>
  </si>
  <si>
    <t>梳理泉城链关于证明电子证照等功能以及配合数据统计</t>
  </si>
  <si>
    <t xml:space="preserve">山东省机关事务局职工房改管理系统适配改造项目：21250606J
</t>
  </si>
  <si>
    <t xml:space="preserve">1. 遗留问题查询保存展示错误漏洞修复                                2.配合住房中心工作人家省直勘误件职工配偶翻转问题
                          </t>
  </si>
  <si>
    <t>1.给丁处查找审计2020房改系统升级所需内容;
2.给王立峰主任查询统计房改及公房未发证数据，按区域汇总房改未发证情况，并将数据导出Excel;
3.房源出售管理保存及补录房屋信息，增加获取房屋所在区域;
4.给槐荫区齐娜处理民政婚姻接口无法查询    
5.和张凤及住建局信息中心宫哲沟通所需民政婚姻接口查询内容问题;                                                                        6.给历程李宁宁处理房屋信息出售中无法录入问题;                                                                          7.给任玉清、姚永晶、李真赋权房源信息管理权限;                                                                           8.给张凤查找房改和公房20年住建二期招标文件、政府采购合同，验收报告等，整理房改和公房建设内容文档;
9.配合姚永晶操作房源信息管理模块使用高拍仪;</t>
  </si>
  <si>
    <t>宋雯雯</t>
  </si>
  <si>
    <t xml:space="preserve">1.省直房改房信创系统改造优化（房改房管理系统信创系统在国产电脑浏览器界面有留白,所有样式需重新适配liunx系统电脑浏览器) </t>
  </si>
  <si>
    <t>公有住房系统危旧住房改造房屋房改管理功能（济南市房改管理系统）</t>
  </si>
  <si>
    <t>商品房网签、租赁需求整理</t>
  </si>
  <si>
    <t>景旭</t>
  </si>
  <si>
    <t>1、房屋价格管理代码复写；
2、商品房网签备案代码细节调整；</t>
  </si>
  <si>
    <t>时守杰</t>
  </si>
  <si>
    <t>维修资金系统部署</t>
  </si>
  <si>
    <t>王德智</t>
  </si>
  <si>
    <t>1 给安庆市市局提报的信息化建设项目初步设计方案编制
2 需求整理</t>
  </si>
  <si>
    <t>房产一体化项目：惠民、博兴、滨州、无棣、沾化维护</t>
  </si>
  <si>
    <t>房产一体化项目：阳信、滨州、无棣、沾化、乳山维护；</t>
  </si>
  <si>
    <t>万德跃</t>
  </si>
  <si>
    <t>房产一体化：安徽地区、五莲、诸城维护</t>
  </si>
  <si>
    <t>滨州房产一体化驻场维护</t>
  </si>
  <si>
    <t>吴胜傲</t>
  </si>
  <si>
    <t>1 无棣-不动产接口对接
2 滨州租赁模板调整
3 楼盘权限-细化到房屋
4 滨州系统维护</t>
  </si>
  <si>
    <t>郇正基</t>
  </si>
  <si>
    <t>移动端备案整改</t>
  </si>
  <si>
    <t>王延磊</t>
  </si>
  <si>
    <t>1 复写代码，已完成复写；
2 商品房网签备案细节调整；</t>
  </si>
  <si>
    <t>日照物业维护</t>
  </si>
  <si>
    <t>维修资金系统维护：东营地区区、滨州地区维护</t>
  </si>
  <si>
    <t>牛丽君</t>
  </si>
  <si>
    <t>维修资金系统维护：滨州、东营、兖州、莱芜、潍坊滨海、日照等地区维护</t>
  </si>
  <si>
    <t>赵衍峰</t>
  </si>
  <si>
    <t>日照维系资金驻场维护</t>
  </si>
  <si>
    <t>马睿</t>
  </si>
  <si>
    <t>1东营区对账
2 配合处理日照物业数据大屏问题，解决河口支取业务问题
3 随手拍修改功能</t>
  </si>
  <si>
    <t>许建飞</t>
  </si>
  <si>
    <t>滨州智慧物业、物业一体化 测试问题修复以及需求更新</t>
  </si>
  <si>
    <t>段佑轩</t>
  </si>
  <si>
    <t>1滨州智慧物业平台建设项目维修资金对接开发
2滨州智慧物业平台建设项目从业主体新增银行联行号</t>
  </si>
  <si>
    <t>孙达</t>
  </si>
  <si>
    <t>滨州智慧物业平台建设项目部署、演示</t>
  </si>
  <si>
    <t>日照物业数据驾驶舱后端开发</t>
  </si>
  <si>
    <t>各地维修资金维护</t>
  </si>
  <si>
    <t xml:space="preserve">物业一体化信息管理平台
项目编号：21240402
</t>
  </si>
  <si>
    <t>袁畅</t>
  </si>
  <si>
    <t>无</t>
  </si>
  <si>
    <t>日照市三平台融合、智慧物业、住宅专项维修资金系统信创改造项目
项目编号：22240822</t>
  </si>
  <si>
    <t>日照维修资金问题处理及测试</t>
  </si>
  <si>
    <t>潘春蕾</t>
  </si>
  <si>
    <t>智慧物业现场推进情况汇报</t>
  </si>
  <si>
    <t>随手拍优化，大屏优化</t>
  </si>
  <si>
    <t>段幼轩</t>
  </si>
  <si>
    <t>公共收益优化</t>
  </si>
  <si>
    <t>拉取物业区域数据</t>
  </si>
  <si>
    <t>李淑英</t>
  </si>
  <si>
    <t>日照维修资金运维</t>
  </si>
  <si>
    <t>完成随手拍几公共收益功能优化</t>
  </si>
  <si>
    <t>滨州智慧物业
项目编号：23251211</t>
  </si>
  <si>
    <t>公积金对接</t>
  </si>
  <si>
    <t>功能测试</t>
  </si>
  <si>
    <t>演示环境测试部署</t>
  </si>
  <si>
    <t>智慧物业推进</t>
  </si>
  <si>
    <t>泉农通二期销售售前支持
项目编号：
121018</t>
  </si>
  <si>
    <t>网信办-智慧农业一张图指标分析</t>
  </si>
  <si>
    <t>韩华斌</t>
  </si>
  <si>
    <t>网信办-智慧农业一张图UI设计完成</t>
  </si>
  <si>
    <t>冯庆召</t>
  </si>
  <si>
    <t>农业局-泉农通扩展项目方案调整，提交</t>
  </si>
  <si>
    <t>网信办-方案调整，大屏沟通汇报</t>
  </si>
  <si>
    <t>网信办-大屏其余指标分析完成，原型设计完成</t>
  </si>
  <si>
    <t>网信办-部长汇报稿整理</t>
  </si>
  <si>
    <t>农业局-泉农通汇报稿及PPT整理完成</t>
  </si>
  <si>
    <t>济南市不动产登记全量数据汇交及比对系统
项目编号：222201001</t>
  </si>
  <si>
    <t>99%</t>
  </si>
  <si>
    <t>1）3月份数据汇交，数据分析、指数测算，提交给部里。</t>
  </si>
  <si>
    <t>济南市不动产登记电子监督系统功能拓展
项目编号：22220905</t>
  </si>
  <si>
    <t>90%</t>
  </si>
  <si>
    <t>1）配合巡查组检查，统计导出登记库与农房库指定行政区的房地登记明细。
2）预警数据情况相关统计。
3）统计所有状态为“有效”的“查封登记-设立登记-其他限制业务”。
4）查询截止2026.3.31日之前未领证、未缴纳登记费的名细，并导出业务编号、证号、坐落、是否领证，是否缴费、登记簿是否有效等信息。
5）国有资产数字化管理需求字段确认。</t>
  </si>
  <si>
    <t>不动产登记人工智能数字人(一期)项目
项目编号：21250326</t>
  </si>
  <si>
    <t>85%</t>
  </si>
  <si>
    <t>1）知识库检索：山东通手机端界面改成自适应，并修改组件实现预览pdf文件。</t>
  </si>
  <si>
    <t>闫元泉</t>
  </si>
  <si>
    <t>1）政务openclaw研究：DinTalClaw的源码GenericAgent研究与测试。
2）权利人名称变更登记预受理测试：采用dify+pdf转图片+审核规则（openclaw生成）+MCP接口+大模型方式。</t>
  </si>
  <si>
    <t>毕彦信</t>
  </si>
  <si>
    <t>电子监督系统标准化产品改造
项目编号：21250313J</t>
  </si>
  <si>
    <t>维修大队系统建设方案汇报与方案重新编写修改</t>
  </si>
  <si>
    <t>维修大队系统建设方案修改与宣传视频</t>
  </si>
  <si>
    <t>基层经费监管系统升级研发（二期）
项目编号：
210123ZHJJ02</t>
  </si>
  <si>
    <t>系统运维管理</t>
  </si>
  <si>
    <t>王晓阳</t>
  </si>
  <si>
    <t>住房租赁管理服务平台（监管端）
项目编号：21250925HF</t>
  </si>
  <si>
    <t>1、从业人员、从业主体功能开发联调测试
2、租赁业务功能开发联调测试
3、租赁平台内部演示</t>
  </si>
  <si>
    <t>1、从业人员、从业主体前端功能开发联调测试
2、租赁业务前端开发联调测试
3、参与租赁平台内部演示</t>
  </si>
  <si>
    <t>使用ai生成eland平台规范和规则</t>
  </si>
  <si>
    <t>彭步坤</t>
  </si>
  <si>
    <t>技术委员会、部门协调等</t>
  </si>
  <si>
    <t>智慧房产产品线
（立项阶段）</t>
  </si>
  <si>
    <t>租赁
1、租赁业务（环境+业务熟悉）
2、授权协议签订（租赁企业+开发企业）后端接口迁移</t>
  </si>
  <si>
    <t>郭培培</t>
  </si>
  <si>
    <t>1.拆分租赁备案系统需求、任务；
2.熟悉后端新旧项目架构，初步进行房间备案申请后端接口迁移；
3.房间备案申请前端迁移。</t>
  </si>
  <si>
    <t>卢波</t>
  </si>
  <si>
    <t>1.将开发所需的支撑项目上传git和打包上传到云效仓库
2.辅助同事处理遇到的问题
3.熟悉前端开发</t>
  </si>
  <si>
    <t>1.梳理诉讼房产需求
2.编写诉讼房产需求文档-档案模块，已完成初稿</t>
  </si>
  <si>
    <t>张燕</t>
  </si>
  <si>
    <t>立项材料、项目对接、需求梳理</t>
  </si>
  <si>
    <t>1、熟悉后端demo框架结构，跑通项目并尝试转移代码
2、熟悉chnrs新老项目框架结构，整合之前写好的前端代码，并将数据统计等模块从老项目迁移到新框架中
2、开始迁移chfss老项目代码</t>
  </si>
  <si>
    <t>王光辉</t>
  </si>
  <si>
    <t>数据治理平台（未立项）</t>
  </si>
  <si>
    <t>数据治理平台整体架构设计完成。</t>
  </si>
  <si>
    <t>数据治理平台详细设计，总体计划编写，风险清单，立项报告编写。执行引擎逻辑梳理。</t>
  </si>
  <si>
    <t>数据治理平台可行性ai分析，形成报告；
数据治理平台架构设计、数据库设计详细讨论
1</t>
  </si>
  <si>
    <t>查阅antv x6图编辑引擎，使用codebuddy搭建数据迁移工作流编排demo页面，功能验证；</t>
  </si>
  <si>
    <t>数据治理平台前后端项目搭建；
查阅前后端规范、skills、rules、前后端demo示例；
ai辅助完成项目管理模块</t>
  </si>
  <si>
    <t xml:space="preserve">济南市联合资产交易公示平台
项目编号：22250903HF
</t>
  </si>
  <si>
    <t>1.基于业务需求新增业务统计模块，完成前端页面搭建、布局设计及核心交互逻辑开发，同步完成与后端接口的对接调试，保障模块数据交互通路畅通。 完成小程序新版本提报审核，全程实时跟踪审核进度，及时响应官方审核反馈； 及时响应测试反馈，对发现的BUG 进行精准定位、代码修复与多场景验证，同步完成问题闭环与状态更新；
2.web后台 针对业务统计模块，按新需求完成筛选条件修改及导出功能新增开发；在开发环境完成接口全量自测，验证数据交互与展示有效性，同步将问题反馈后台并配合联调解决；完成模块路由权限配置，已发布至测试环境供后续验证。 及时响应测试反馈，对发现的BUG 进行精准定位、代码修复与多场景验证，同步完成问题闭环与状态更新；
3.特殊房产交易pc端 按业务需求对房源详情页进行调整，隐藏经纪人带看相关模块，优化页面展示结构；调整位置周边模块间距与样式，统一页面视觉规范，提升整体展示效果；优化展示联系业主模块；完成新增历史遗留详情页面小程序码展示生成功能；完成上述修改后全量自测，确认无误后已发布至测试环境，供测试验证。 web后台： 完成全局输入框巡检，逐一检查所有页面输入框是否配置字数限制，对未添加限制的输入框统一补充字数校验规则，提升系统稳定性与数据规范性。 针对测试反馈问题，主动与测试人员沟通确认场景，定位 bug 根因并完成修复，同步进行回归验证，确保问题闭环。 齐鲁公证处名片 完成齐鲁公证处名片页面样式优化，统一排版、间距、视觉效果，提升页面美观度与展示体验。
4.特殊房产交易pc端 针对地图找房模块进行问题排查与修复，解决新房列表无法正常跳转至房源详情页的问题，确保页面跳转逻辑通畅。 定位并修复新房、历史遗留房源封面图加载异常、展示异常问题，完成图片渲染逻辑优化，保证房源封面正常显示。 特殊房产交易小程序 参与项目系统会议，同步当前开发进度、问题卡点及后续计划，明确演示版本需求。 根据明日演示要求，对小程序个人发布房源流程及相关功能进行针对性调整、优化与完善，确保演示流程顺畅、功能可用、展示效果达标。 委托卖房页面对于已委托的房源选择时添加提示语，优化展示样式； 汇房智选滨州pc官网 根据业务需求，完成全网政策法规、新闻动态模块功能隐藏并调整页面展示结构。 web后台 针对测试反馈问题，主动与测试人员沟通确认场景，定位 bug 根因并完成修复，同步进行回归验证，确保问题闭环。 对平台全功能流程进行逐一遍历测试，覆盖页面交互、数据加载、按钮操作、流程跳转、权限校验、表单提交、接口响应等全场景，逐项确认功能可用性、流程完整性与页面稳定性，确保无阻断性问题，为版本上线提供质量保障。
5.针对测试反馈问题，主动与测试人员沟通确认场景，定位 bug 根因并完成修复，同步进行回归验证，确保问题闭环。 对小程序个人发布房源流程及相关功能进行优化与完善；完成页面样式精细化调整，优化视觉层级、布局结构与交互体验，全面提升个人用户房源发布的操作便捷性、信息规范性与使用流畅度，</t>
  </si>
  <si>
    <t>梁超</t>
  </si>
  <si>
    <t>1.公示公告管理新增测试问题调整优化；
2.根据需求调整业务端，展厅，小程序房源新增调整，办理查询调整，并联调测试；
3.业务端，展厅，小程序房源新增调整，办理查询调整，联调测试；
4.新增房源增加录入小区名称，测试发版问题优化，联调支撑；
5.房源展厅新增房源增加录入小区名称，测试发版问题优化，联调支撑；</t>
  </si>
  <si>
    <t>赵敬</t>
  </si>
  <si>
    <t>1.测试问题修改；
2.带押过户老系统数据迁移至带押过户与带封过户业务子系统；
3.正式环境迁移，遇到的问题进行修改，数据确认；</t>
  </si>
  <si>
    <t>许兴欣</t>
  </si>
  <si>
    <t>1. 联合资产优化版本发布；
2. 联合资产优化版本测试进度推进；
3. 客户现场沟通联合资产与车位备案需求；
4. 联合资产带押过户老系统数据导入开发进度推进；
5. 演示数据准备调整；
6. 客户现场沟通在线取证平台与平台演示；
7. 根据客户需求调整平台功能推进；
8. 准备现场汇报演示材料；
9. 公证处现场向公证处汇报平台建设内容，并沟通建设平台需求；
10. 公证处现场向公证处与不动产汇报平台建设内容，并沟通建设平台需求；</t>
  </si>
  <si>
    <t xml:space="preserve">车位使用权公证备案平台
项目编号：22250829HF
</t>
  </si>
  <si>
    <t xml:space="preserve">汇房云经纪人
项目编号：21250418
</t>
  </si>
  <si>
    <t>德邦回款9500元</t>
  </si>
  <si>
    <t>电子签约客户现场支持，沟通使用过程中的问题，调整签约表单，模板等。优化签约整体流程体验，沟通后续需求</t>
  </si>
  <si>
    <t>在线合同签署-web签约开发与优化调整，增加预览分享、撤销签约等功能</t>
  </si>
  <si>
    <t>赵旺</t>
  </si>
  <si>
    <t>腾讯电子签账号开通在线合同签署-web签约开发与优化调整，增加预览分享、撤销签约等功能。客户现场支持</t>
  </si>
  <si>
    <t>蔡高情</t>
  </si>
  <si>
    <t>设计</t>
  </si>
  <si>
    <t xml:space="preserve">汇房云培训考试
项目编号：
</t>
  </si>
  <si>
    <t>卓识网安业务平台系统
项目编号：22251028HFJ</t>
  </si>
  <si>
    <t>卓识网安业务平台系统测试问题沟通，异地备案、工作台问题修复</t>
  </si>
  <si>
    <t>安震</t>
  </si>
  <si>
    <t>处理卓识系统集成及变更的需求，修复关系管理、资源管理及其他相关测试问题</t>
  </si>
  <si>
    <t>卓识沟通测试问题记录，剩余问题协助调整</t>
  </si>
  <si>
    <t>王恒通</t>
  </si>
  <si>
    <t>验收工作台、计划预览等测试问题核实与修复</t>
  </si>
  <si>
    <t>测试</t>
  </si>
  <si>
    <t>公司内部系统维护升级项目
项目编号：21250801J</t>
  </si>
  <si>
    <t>阳信房产超市运维</t>
  </si>
  <si>
    <t>基础平台
21250807J</t>
  </si>
  <si>
    <t xml:space="preserve">日照银行智慧社区维护与升级
项目编号：22210906
</t>
  </si>
  <si>
    <t>橙e伴PC端对接智惠e家对客管理端</t>
  </si>
  <si>
    <t>纪立宁</t>
  </si>
  <si>
    <t>菜品优选支持餐补</t>
  </si>
  <si>
    <t>王玉莹</t>
  </si>
  <si>
    <t>优化</t>
  </si>
  <si>
    <t>宜当生活白鹭湾专区对接智惠e家部分功能</t>
  </si>
  <si>
    <t>王德贤</t>
  </si>
  <si>
    <t>优化调整</t>
  </si>
  <si>
    <t>孙丁华</t>
  </si>
  <si>
    <t>行内闲置资产共享平台前端配合改造项目</t>
  </si>
  <si>
    <t>智惠e家”智慧餐厅、智慧社区系统功能优化（智惠e家增加寻车功能及对接碳惠日照）</t>
  </si>
  <si>
    <t>开发对接中</t>
  </si>
  <si>
    <t>菜品优选二期</t>
  </si>
  <si>
    <t>“智惠e家”智慧餐厅、智慧社区系统功能优化（即墨区机关事务服务中心智慧餐厅项目系统功能优化-第三批次）</t>
  </si>
  <si>
    <t>识别性能优化</t>
  </si>
  <si>
    <t>智慧场景优化项目群（日照市人民医院本部餐厅、莒县人民法院智慧餐厅功能优化）</t>
  </si>
  <si>
    <t>智惠e家社区对接大华ICC社区通行设备</t>
  </si>
  <si>
    <t>正常开发推进</t>
  </si>
  <si>
    <t>韩化斌</t>
  </si>
  <si>
    <t>智惠e家移动端备案漏洞修复整改</t>
  </si>
  <si>
    <t>正常开发调整</t>
  </si>
  <si>
    <t>智惠e家漏洞修复、测试、发版、运维</t>
  </si>
  <si>
    <t>潘春雷</t>
  </si>
  <si>
    <t>三方复测</t>
  </si>
  <si>
    <t>智慧餐厅移动端全量接入宜当生活</t>
  </si>
  <si>
    <t>需求对接中</t>
  </si>
  <si>
    <t>银行运营</t>
  </si>
  <si>
    <t>银行网络金融部驻场银行业务运营</t>
  </si>
  <si>
    <t>穆德坤</t>
  </si>
  <si>
    <t>银行场景运营中心驻场银行业务运营</t>
  </si>
  <si>
    <t>赵文斌</t>
  </si>
  <si>
    <t>郑家洋</t>
  </si>
  <si>
    <t>需求</t>
  </si>
  <si>
    <t>安全保卫部智慧园区功能优化</t>
  </si>
  <si>
    <t>需求设计</t>
  </si>
  <si>
    <t>社区访客通行以及押金缴费退款需求</t>
  </si>
  <si>
    <t>智惠e家离线支付自动扣费改造方案</t>
  </si>
  <si>
    <t>智惠e家对接对接五联智能电表需求方案</t>
  </si>
  <si>
    <t>智惠e家宜当生活物业缴费功能改造需求方案</t>
  </si>
  <si>
    <t>2026年行政管理部“行政后勤管理平台”方案需求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</si>
</sst>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0.00_);[Red]\(0.00\)"/>
  </numFmts>
  <fonts count="49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2"/>
      <color rgb="FF000000"/>
      <name val="微软雅黑"/>
      <charset val="134"/>
    </font>
    <font>
      <sz val="10"/>
      <color rgb="FF000000"/>
      <name val="等线"/>
      <charset val="134"/>
      <scheme val="minor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0"/>
      <color theme="1"/>
      <name val="等线"/>
      <charset val="134"/>
      <scheme val="minor"/>
    </font>
    <font>
      <sz val="12"/>
      <color rgb="FF000000"/>
      <name val="宋体"/>
      <charset val="134"/>
    </font>
    <font>
      <sz val="10"/>
      <color rgb="FF000000"/>
      <name val="等线"/>
      <charset val="134"/>
      <scheme val="minor"/>
    </font>
    <font>
      <sz val="12"/>
      <color rgb="FF000000"/>
      <name val="Arial"/>
      <charset val="134"/>
    </font>
    <font>
      <sz val="9"/>
      <color rgb="FF0000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10"/>
      <color rgb="FF000000"/>
      <name val="宋体"/>
      <charset val="134"/>
    </font>
    <font>
      <sz val="10"/>
      <color rgb="FF000000"/>
      <name val="SimSun"/>
      <charset val="134"/>
    </font>
    <font>
      <sz val="10"/>
      <color theme="1"/>
      <name val="等线"/>
      <charset val="134"/>
      <scheme val="minor"/>
    </font>
    <font>
      <sz val="12"/>
      <color rgb="FF000000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0"/>
      <color rgb="FFFF0000"/>
      <name val="等线"/>
      <charset val="134"/>
      <scheme val="minor"/>
    </font>
    <font>
      <sz val="1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b/>
      <sz val="11"/>
      <color rgb="FFFF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宋体"/>
      <charset val="134"/>
    </font>
    <font>
      <sz val="11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4">
    <xf numFmtId="176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6" borderId="25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26" applyNumberFormat="0" applyFill="0" applyAlignment="0" applyProtection="0">
      <alignment vertical="center"/>
    </xf>
    <xf numFmtId="0" fontId="32" fillId="0" borderId="26" applyNumberFormat="0" applyFill="0" applyAlignment="0" applyProtection="0">
      <alignment vertical="center"/>
    </xf>
    <xf numFmtId="0" fontId="33" fillId="0" borderId="27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7" borderId="28" applyNumberFormat="0" applyAlignment="0" applyProtection="0">
      <alignment vertical="center"/>
    </xf>
    <xf numFmtId="0" fontId="35" fillId="8" borderId="29" applyNumberFormat="0" applyAlignment="0" applyProtection="0">
      <alignment vertical="center"/>
    </xf>
    <xf numFmtId="0" fontId="36" fillId="8" borderId="28" applyNumberFormat="0" applyAlignment="0" applyProtection="0">
      <alignment vertical="center"/>
    </xf>
    <xf numFmtId="0" fontId="37" fillId="9" borderId="30" applyNumberFormat="0" applyAlignment="0" applyProtection="0">
      <alignment vertical="center"/>
    </xf>
    <xf numFmtId="0" fontId="38" fillId="0" borderId="31" applyNumberFormat="0" applyFill="0" applyAlignment="0" applyProtection="0">
      <alignment vertical="center"/>
    </xf>
    <xf numFmtId="0" fontId="39" fillId="0" borderId="32" applyNumberFormat="0" applyFill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45" fillId="0" borderId="0">
      <alignment vertical="center"/>
    </xf>
    <xf numFmtId="176" fontId="45" fillId="0" borderId="0">
      <alignment vertical="center"/>
    </xf>
    <xf numFmtId="176" fontId="1" fillId="0" borderId="0">
      <alignment vertical="center"/>
    </xf>
    <xf numFmtId="0" fontId="1" fillId="0" borderId="0">
      <alignment vertical="center"/>
    </xf>
    <xf numFmtId="0" fontId="45" fillId="0" borderId="0">
      <alignment vertical="center"/>
    </xf>
    <xf numFmtId="176" fontId="45" fillId="0" borderId="0">
      <alignment vertical="center"/>
    </xf>
    <xf numFmtId="176" fontId="45" fillId="0" borderId="0">
      <alignment vertical="center"/>
    </xf>
    <xf numFmtId="176" fontId="45" fillId="0" borderId="0">
      <alignment vertical="center"/>
    </xf>
    <xf numFmtId="176" fontId="46" fillId="0" borderId="0">
      <alignment vertical="center"/>
    </xf>
    <xf numFmtId="176" fontId="45" fillId="0" borderId="0">
      <alignment vertical="center"/>
    </xf>
    <xf numFmtId="176" fontId="45" fillId="0" borderId="0">
      <alignment vertical="center"/>
    </xf>
    <xf numFmtId="176" fontId="45" fillId="0" borderId="0">
      <alignment vertical="center"/>
    </xf>
    <xf numFmtId="176" fontId="45" fillId="0" borderId="0" applyBorder="0">
      <alignment vertical="center"/>
    </xf>
  </cellStyleXfs>
  <cellXfs count="355">
    <xf numFmtId="176" fontId="0" fillId="0" borderId="0" xfId="0"/>
    <xf numFmtId="0" fontId="1" fillId="0" borderId="0" xfId="0" applyNumberFormat="1" applyFont="1" applyFill="1" applyAlignment="1">
      <alignment vertical="center" wrapText="1"/>
    </xf>
    <xf numFmtId="0" fontId="1" fillId="0" borderId="0" xfId="0" applyNumberFormat="1" applyFont="1" applyFill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left" vertical="center" wrapText="1"/>
    </xf>
    <xf numFmtId="9" fontId="2" fillId="0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Alignment="1">
      <alignment vertical="center"/>
    </xf>
    <xf numFmtId="0" fontId="2" fillId="0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9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center"/>
    </xf>
    <xf numFmtId="0" fontId="5" fillId="0" borderId="3" xfId="0" applyNumberFormat="1" applyFont="1" applyFill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left" vertical="center"/>
    </xf>
    <xf numFmtId="0" fontId="5" fillId="0" borderId="2" xfId="0" applyNumberFormat="1" applyFont="1" applyFill="1" applyBorder="1" applyAlignment="1">
      <alignment horizontal="left" vertical="center" wrapText="1"/>
    </xf>
    <xf numFmtId="9" fontId="5" fillId="0" borderId="2" xfId="0" applyNumberFormat="1" applyFont="1" applyFill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horizontal="left" vertical="center" wrapText="1"/>
    </xf>
    <xf numFmtId="9" fontId="5" fillId="0" borderId="3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Fill="1" applyBorder="1" applyAlignment="1">
      <alignment horizontal="left" vertical="center" wrapText="1"/>
    </xf>
    <xf numFmtId="9" fontId="5" fillId="0" borderId="4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/>
    </xf>
    <xf numFmtId="0" fontId="5" fillId="0" borderId="3" xfId="0" applyNumberFormat="1" applyFont="1" applyFill="1" applyBorder="1" applyAlignment="1">
      <alignment vertical="center" wrapText="1"/>
    </xf>
    <xf numFmtId="0" fontId="5" fillId="0" borderId="4" xfId="0" applyNumberFormat="1" applyFont="1" applyFill="1" applyBorder="1" applyAlignment="1">
      <alignment horizontal="center" vertical="center"/>
    </xf>
    <xf numFmtId="0" fontId="4" fillId="0" borderId="4" xfId="0" applyNumberFormat="1" applyFont="1" applyFill="1" applyBorder="1" applyAlignment="1">
      <alignment horizontal="center" vertical="center"/>
    </xf>
    <xf numFmtId="0" fontId="5" fillId="3" borderId="1" xfId="0" applyNumberFormat="1" applyFont="1" applyFill="1" applyBorder="1" applyAlignment="1">
      <alignment horizontal="center" vertical="center"/>
    </xf>
    <xf numFmtId="9" fontId="5" fillId="3" borderId="1" xfId="0" applyNumberFormat="1" applyFont="1" applyFill="1" applyBorder="1" applyAlignment="1">
      <alignment vertical="center"/>
    </xf>
    <xf numFmtId="0" fontId="5" fillId="3" borderId="1" xfId="0" applyNumberFormat="1" applyFont="1" applyFill="1" applyBorder="1" applyAlignment="1">
      <alignment vertical="center"/>
    </xf>
    <xf numFmtId="177" fontId="5" fillId="3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left" vertical="center" wrapText="1"/>
    </xf>
    <xf numFmtId="9" fontId="5" fillId="0" borderId="1" xfId="0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vertical="center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left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/>
    </xf>
    <xf numFmtId="0" fontId="3" fillId="0" borderId="0" xfId="0" applyNumberFormat="1" applyFont="1" applyAlignment="1">
      <alignment vertical="center"/>
    </xf>
    <xf numFmtId="0" fontId="4" fillId="0" borderId="1" xfId="0" applyNumberFormat="1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left" vertical="center" wrapText="1"/>
    </xf>
    <xf numFmtId="177" fontId="5" fillId="2" borderId="1" xfId="0" applyNumberFormat="1" applyFont="1" applyFill="1" applyBorder="1" applyAlignment="1">
      <alignment horizontal="center" vertical="center"/>
    </xf>
    <xf numFmtId="0" fontId="5" fillId="0" borderId="3" xfId="0" applyNumberFormat="1" applyFont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left" vertical="center" wrapText="1"/>
    </xf>
    <xf numFmtId="9" fontId="5" fillId="2" borderId="1" xfId="0" applyNumberFormat="1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vertical="center"/>
    </xf>
    <xf numFmtId="0" fontId="5" fillId="2" borderId="2" xfId="0" applyNumberFormat="1" applyFont="1" applyFill="1" applyBorder="1" applyAlignment="1">
      <alignment horizontal="left" vertical="center" wrapText="1"/>
    </xf>
    <xf numFmtId="0" fontId="5" fillId="2" borderId="5" xfId="0" applyNumberFormat="1" applyFont="1" applyFill="1" applyBorder="1" applyAlignment="1">
      <alignment horizontal="center" vertical="center"/>
    </xf>
    <xf numFmtId="0" fontId="5" fillId="2" borderId="6" xfId="0" applyNumberFormat="1" applyFont="1" applyFill="1" applyBorder="1" applyAlignment="1">
      <alignment horizontal="left" vertical="center" wrapText="1"/>
    </xf>
    <xf numFmtId="0" fontId="5" fillId="2" borderId="7" xfId="0" applyNumberFormat="1" applyFont="1" applyFill="1" applyBorder="1" applyAlignment="1">
      <alignment horizontal="center" vertical="center"/>
    </xf>
    <xf numFmtId="0" fontId="5" fillId="2" borderId="6" xfId="0" applyNumberFormat="1" applyFont="1" applyFill="1" applyBorder="1"/>
    <xf numFmtId="0" fontId="5" fillId="2" borderId="4" xfId="0" applyNumberFormat="1" applyFont="1" applyFill="1" applyBorder="1" applyAlignment="1">
      <alignment horizontal="left" vertical="center" wrapText="1"/>
    </xf>
    <xf numFmtId="9" fontId="5" fillId="2" borderId="2" xfId="0" applyNumberFormat="1" applyFont="1" applyFill="1" applyBorder="1" applyAlignment="1">
      <alignment horizontal="center" vertical="center"/>
    </xf>
    <xf numFmtId="0" fontId="5" fillId="2" borderId="8" xfId="0" applyNumberFormat="1" applyFont="1" applyFill="1" applyBorder="1" applyAlignment="1">
      <alignment horizontal="center" vertical="center"/>
    </xf>
    <xf numFmtId="9" fontId="5" fillId="2" borderId="6" xfId="0" applyNumberFormat="1" applyFont="1" applyFill="1" applyBorder="1" applyAlignment="1">
      <alignment horizontal="center" vertical="center"/>
    </xf>
    <xf numFmtId="0" fontId="5" fillId="2" borderId="7" xfId="0" applyNumberFormat="1" applyFont="1" applyFill="1" applyBorder="1" applyAlignment="1">
      <alignment vertical="center"/>
    </xf>
    <xf numFmtId="0" fontId="5" fillId="0" borderId="4" xfId="0" applyNumberFormat="1" applyFont="1" applyBorder="1" applyAlignment="1">
      <alignment horizontal="center" vertical="center" wrapText="1"/>
    </xf>
    <xf numFmtId="0" fontId="5" fillId="3" borderId="4" xfId="0" applyNumberFormat="1" applyFont="1" applyFill="1" applyBorder="1" applyAlignment="1">
      <alignment horizontal="center" vertical="center"/>
    </xf>
    <xf numFmtId="9" fontId="5" fillId="3" borderId="4" xfId="0" applyNumberFormat="1" applyFont="1" applyFill="1" applyBorder="1" applyAlignment="1">
      <alignment vertical="center"/>
    </xf>
    <xf numFmtId="0" fontId="4" fillId="0" borderId="1" xfId="0" applyNumberFormat="1" applyFont="1" applyBorder="1" applyAlignment="1">
      <alignment horizontal="left" vertical="center" wrapText="1"/>
    </xf>
    <xf numFmtId="9" fontId="5" fillId="0" borderId="1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left" vertical="center"/>
    </xf>
    <xf numFmtId="177" fontId="5" fillId="0" borderId="1" xfId="0" applyNumberFormat="1" applyFont="1" applyBorder="1" applyAlignment="1">
      <alignment horizontal="center" vertical="center"/>
    </xf>
    <xf numFmtId="0" fontId="0" fillId="0" borderId="3" xfId="0" applyNumberFormat="1" applyBorder="1"/>
    <xf numFmtId="0" fontId="0" fillId="0" borderId="4" xfId="0" applyNumberFormat="1" applyBorder="1"/>
    <xf numFmtId="0" fontId="5" fillId="0" borderId="4" xfId="0" applyNumberFormat="1" applyFont="1" applyBorder="1" applyAlignment="1">
      <alignment wrapText="1"/>
    </xf>
    <xf numFmtId="9" fontId="5" fillId="0" borderId="2" xfId="0" applyNumberFormat="1" applyFont="1" applyBorder="1" applyAlignment="1">
      <alignment horizontal="center" vertical="center" wrapText="1"/>
    </xf>
    <xf numFmtId="0" fontId="5" fillId="0" borderId="2" xfId="0" applyNumberFormat="1" applyFont="1" applyBorder="1" applyAlignment="1">
      <alignment horizontal="left" vertical="center" wrapText="1"/>
    </xf>
    <xf numFmtId="0" fontId="5" fillId="0" borderId="5" xfId="0" applyNumberFormat="1" applyFont="1" applyBorder="1" applyAlignment="1">
      <alignment horizontal="left" vertical="center" wrapText="1"/>
    </xf>
    <xf numFmtId="9" fontId="5" fillId="0" borderId="6" xfId="0" applyNumberFormat="1" applyFont="1" applyBorder="1" applyAlignment="1">
      <alignment horizontal="center" vertical="center" wrapText="1"/>
    </xf>
    <xf numFmtId="0" fontId="5" fillId="0" borderId="7" xfId="0" applyNumberFormat="1" applyFont="1" applyBorder="1" applyAlignment="1">
      <alignment horizontal="center" vertical="center" wrapText="1"/>
    </xf>
    <xf numFmtId="0" fontId="5" fillId="0" borderId="4" xfId="0" applyNumberFormat="1" applyFont="1" applyBorder="1" applyAlignment="1">
      <alignment horizontal="left" vertical="center" wrapText="1"/>
    </xf>
    <xf numFmtId="9" fontId="5" fillId="0" borderId="4" xfId="0" applyNumberFormat="1" applyFont="1" applyBorder="1" applyAlignment="1">
      <alignment horizontal="center" vertical="center" wrapText="1"/>
    </xf>
    <xf numFmtId="0" fontId="6" fillId="0" borderId="0" xfId="0" applyNumberFormat="1" applyFont="1" applyFill="1" applyAlignment="1">
      <alignment vertical="center" wrapText="1"/>
    </xf>
    <xf numFmtId="0" fontId="6" fillId="0" borderId="0" xfId="0" applyNumberFormat="1" applyFont="1" applyFill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left" vertical="center" wrapText="1"/>
    </xf>
    <xf numFmtId="9" fontId="7" fillId="0" borderId="1" xfId="0" applyNumberFormat="1" applyFont="1" applyFill="1" applyBorder="1" applyAlignment="1">
      <alignment horizontal="center" vertical="center" wrapText="1"/>
    </xf>
    <xf numFmtId="177" fontId="7" fillId="0" borderId="1" xfId="0" applyNumberFormat="1" applyFont="1" applyFill="1" applyBorder="1" applyAlignment="1">
      <alignment horizontal="center" vertical="center"/>
    </xf>
    <xf numFmtId="0" fontId="8" fillId="0" borderId="0" xfId="0" applyNumberFormat="1" applyFont="1" applyFill="1" applyAlignment="1">
      <alignment vertical="center"/>
    </xf>
    <xf numFmtId="0" fontId="9" fillId="0" borderId="9" xfId="0" applyNumberFormat="1" applyFont="1" applyFill="1" applyBorder="1" applyAlignment="1">
      <alignment horizontal="center" vertical="center" wrapText="1"/>
    </xf>
    <xf numFmtId="0" fontId="10" fillId="0" borderId="9" xfId="0" applyNumberFormat="1" applyFont="1" applyFill="1" applyBorder="1" applyAlignment="1">
      <alignment horizontal="center" vertical="center"/>
    </xf>
    <xf numFmtId="0" fontId="8" fillId="0" borderId="9" xfId="0" applyNumberFormat="1" applyFont="1" applyFill="1" applyBorder="1" applyAlignment="1">
      <alignment horizontal="center" vertical="center" wrapText="1"/>
    </xf>
    <xf numFmtId="0" fontId="8" fillId="0" borderId="9" xfId="0" applyNumberFormat="1" applyFont="1" applyFill="1" applyBorder="1" applyAlignment="1">
      <alignment horizontal="center" vertical="center"/>
    </xf>
    <xf numFmtId="0" fontId="8" fillId="0" borderId="6" xfId="0" applyNumberFormat="1" applyFont="1" applyFill="1" applyBorder="1" applyAlignment="1">
      <alignment horizontal="center" vertical="center" wrapText="1"/>
    </xf>
    <xf numFmtId="0" fontId="8" fillId="0" borderId="6" xfId="0" applyNumberFormat="1" applyFont="1" applyFill="1" applyBorder="1" applyAlignment="1">
      <alignment horizontal="left" vertical="center" wrapText="1"/>
    </xf>
    <xf numFmtId="9" fontId="8" fillId="0" borderId="6" xfId="0" applyNumberFormat="1" applyFont="1" applyFill="1" applyBorder="1" applyAlignment="1">
      <alignment horizontal="center" vertical="center" wrapText="1"/>
    </xf>
    <xf numFmtId="177" fontId="8" fillId="0" borderId="6" xfId="0" applyNumberFormat="1" applyFont="1" applyFill="1" applyBorder="1" applyAlignment="1">
      <alignment horizontal="center" vertical="center"/>
    </xf>
    <xf numFmtId="0" fontId="9" fillId="0" borderId="10" xfId="0" applyNumberFormat="1" applyFont="1" applyFill="1" applyBorder="1" applyAlignment="1">
      <alignment horizontal="center" vertical="center" wrapText="1"/>
    </xf>
    <xf numFmtId="0" fontId="10" fillId="0" borderId="10" xfId="0" applyNumberFormat="1" applyFont="1" applyFill="1" applyBorder="1" applyAlignment="1">
      <alignment horizontal="center" vertical="center"/>
    </xf>
    <xf numFmtId="0" fontId="8" fillId="0" borderId="10" xfId="0" applyNumberFormat="1" applyFont="1" applyFill="1" applyBorder="1" applyAlignment="1">
      <alignment horizontal="center" vertical="center" wrapText="1"/>
    </xf>
    <xf numFmtId="0" fontId="8" fillId="0" borderId="10" xfId="0" applyNumberFormat="1" applyFont="1" applyFill="1" applyBorder="1" applyAlignment="1">
      <alignment horizontal="center" vertical="center"/>
    </xf>
    <xf numFmtId="0" fontId="8" fillId="0" borderId="6" xfId="0" applyNumberFormat="1" applyFont="1" applyFill="1" applyBorder="1" applyAlignment="1">
      <alignment horizontal="center" vertical="center"/>
    </xf>
    <xf numFmtId="0" fontId="8" fillId="0" borderId="11" xfId="0" applyNumberFormat="1" applyFont="1" applyFill="1" applyBorder="1" applyAlignment="1">
      <alignment horizontal="center" vertical="center"/>
    </xf>
    <xf numFmtId="0" fontId="8" fillId="0" borderId="11" xfId="0" applyNumberFormat="1" applyFont="1" applyFill="1" applyBorder="1" applyAlignment="1">
      <alignment horizontal="center" vertical="center" wrapText="1"/>
    </xf>
    <xf numFmtId="0" fontId="8" fillId="0" borderId="6" xfId="0" applyNumberFormat="1" applyFont="1" applyFill="1" applyBorder="1" applyAlignment="1">
      <alignment vertical="center" wrapText="1"/>
    </xf>
    <xf numFmtId="0" fontId="8" fillId="3" borderId="12" xfId="0" applyNumberFormat="1" applyFont="1" applyFill="1" applyBorder="1" applyAlignment="1">
      <alignment horizontal="center" vertical="center"/>
    </xf>
    <xf numFmtId="0" fontId="8" fillId="3" borderId="13" xfId="0" applyNumberFormat="1" applyFont="1" applyFill="1" applyBorder="1" applyAlignment="1">
      <alignment horizontal="center" vertical="center"/>
    </xf>
    <xf numFmtId="0" fontId="8" fillId="3" borderId="14" xfId="0" applyNumberFormat="1" applyFont="1" applyFill="1" applyBorder="1" applyAlignment="1">
      <alignment horizontal="center" vertical="center"/>
    </xf>
    <xf numFmtId="0" fontId="8" fillId="3" borderId="6" xfId="0" applyNumberFormat="1" applyFont="1" applyFill="1" applyBorder="1" applyAlignment="1">
      <alignment horizontal="center" vertical="center"/>
    </xf>
    <xf numFmtId="9" fontId="8" fillId="3" borderId="6" xfId="0" applyNumberFormat="1" applyFont="1" applyFill="1" applyBorder="1" applyAlignment="1">
      <alignment vertical="center"/>
    </xf>
    <xf numFmtId="0" fontId="8" fillId="3" borderId="6" xfId="0" applyNumberFormat="1" applyFont="1" applyFill="1" applyBorder="1" applyAlignment="1">
      <alignment vertical="center"/>
    </xf>
    <xf numFmtId="177" fontId="8" fillId="3" borderId="6" xfId="0" applyNumberFormat="1" applyFont="1" applyFill="1" applyBorder="1" applyAlignment="1">
      <alignment horizontal="center" vertical="center"/>
    </xf>
    <xf numFmtId="0" fontId="8" fillId="0" borderId="15" xfId="0" applyNumberFormat="1" applyFont="1" applyFill="1" applyBorder="1" applyAlignment="1">
      <alignment horizontal="center" vertical="center"/>
    </xf>
    <xf numFmtId="0" fontId="11" fillId="0" borderId="6" xfId="0" applyNumberFormat="1" applyFont="1" applyFill="1" applyBorder="1" applyAlignment="1">
      <alignment vertical="center" wrapText="1"/>
    </xf>
    <xf numFmtId="9" fontId="8" fillId="0" borderId="6" xfId="0" applyNumberFormat="1" applyFont="1" applyFill="1" applyBorder="1" applyAlignment="1">
      <alignment horizontal="center" vertical="center"/>
    </xf>
    <xf numFmtId="0" fontId="9" fillId="0" borderId="11" xfId="0" applyNumberFormat="1" applyFont="1" applyFill="1" applyBorder="1" applyAlignment="1">
      <alignment horizontal="center" vertical="center" wrapText="1"/>
    </xf>
    <xf numFmtId="0" fontId="10" fillId="0" borderId="11" xfId="0" applyNumberFormat="1" applyFont="1" applyFill="1" applyBorder="1" applyAlignment="1">
      <alignment horizontal="center" vertical="center"/>
    </xf>
    <xf numFmtId="0" fontId="12" fillId="0" borderId="15" xfId="0" applyNumberFormat="1" applyFont="1" applyFill="1" applyBorder="1" applyAlignment="1">
      <alignment horizontal="center" vertical="center" wrapText="1"/>
    </xf>
    <xf numFmtId="0" fontId="10" fillId="0" borderId="15" xfId="0" applyNumberFormat="1" applyFont="1" applyFill="1" applyBorder="1" applyAlignment="1">
      <alignment horizontal="center" vertical="center"/>
    </xf>
    <xf numFmtId="0" fontId="8" fillId="0" borderId="15" xfId="0" applyNumberFormat="1" applyFont="1" applyFill="1" applyBorder="1" applyAlignment="1">
      <alignment horizontal="center" vertical="center" wrapText="1"/>
    </xf>
    <xf numFmtId="0" fontId="13" fillId="0" borderId="6" xfId="0" applyNumberFormat="1" applyFont="1" applyFill="1" applyBorder="1" applyAlignment="1">
      <alignment horizontal="left" vertical="center" wrapText="1"/>
    </xf>
    <xf numFmtId="0" fontId="13" fillId="0" borderId="6" xfId="0" applyNumberFormat="1" applyFont="1" applyFill="1" applyBorder="1" applyAlignment="1">
      <alignment horizontal="center" vertical="center" wrapText="1"/>
    </xf>
    <xf numFmtId="0" fontId="12" fillId="0" borderId="10" xfId="0" applyNumberFormat="1" applyFont="1" applyFill="1" applyBorder="1" applyAlignment="1">
      <alignment horizontal="center" vertical="center" wrapText="1"/>
    </xf>
    <xf numFmtId="0" fontId="13" fillId="0" borderId="6" xfId="0" applyNumberFormat="1" applyFont="1" applyFill="1" applyBorder="1" applyAlignment="1">
      <alignment vertical="center" wrapText="1"/>
    </xf>
    <xf numFmtId="0" fontId="12" fillId="0" borderId="11" xfId="0" applyNumberFormat="1" applyFont="1" applyFill="1" applyBorder="1" applyAlignment="1">
      <alignment horizontal="center" vertical="center" wrapText="1"/>
    </xf>
    <xf numFmtId="0" fontId="14" fillId="0" borderId="6" xfId="0" applyNumberFormat="1" applyFont="1" applyFill="1" applyBorder="1" applyAlignment="1">
      <alignment horizontal="left" vertical="center" wrapText="1"/>
    </xf>
    <xf numFmtId="0" fontId="15" fillId="0" borderId="0" xfId="0" applyNumberFormat="1" applyFont="1" applyAlignment="1">
      <alignment vertical="center" wrapText="1"/>
    </xf>
    <xf numFmtId="0" fontId="15" fillId="0" borderId="0" xfId="0" applyNumberFormat="1" applyFont="1" applyAlignment="1">
      <alignment horizontal="center" vertical="center" wrapText="1"/>
    </xf>
    <xf numFmtId="0" fontId="16" fillId="0" borderId="1" xfId="0" applyNumberFormat="1" applyFont="1" applyBorder="1" applyAlignment="1">
      <alignment horizontal="center" vertical="center" wrapText="1"/>
    </xf>
    <xf numFmtId="0" fontId="16" fillId="0" borderId="1" xfId="0" applyNumberFormat="1" applyFont="1" applyBorder="1" applyAlignment="1">
      <alignment horizontal="center" vertical="center"/>
    </xf>
    <xf numFmtId="0" fontId="16" fillId="0" borderId="1" xfId="0" applyNumberFormat="1" applyFont="1" applyBorder="1" applyAlignment="1">
      <alignment horizontal="left" vertical="center" wrapText="1"/>
    </xf>
    <xf numFmtId="9" fontId="16" fillId="0" borderId="1" xfId="0" applyNumberFormat="1" applyFont="1" applyBorder="1" applyAlignment="1">
      <alignment horizontal="center" vertical="center" wrapText="1"/>
    </xf>
    <xf numFmtId="177" fontId="16" fillId="0" borderId="1" xfId="0" applyNumberFormat="1" applyFont="1" applyBorder="1" applyAlignment="1">
      <alignment horizontal="center" vertical="center"/>
    </xf>
    <xf numFmtId="0" fontId="8" fillId="0" borderId="0" xfId="0" applyNumberFormat="1" applyFont="1" applyAlignment="1">
      <alignment vertical="center"/>
    </xf>
    <xf numFmtId="0" fontId="17" fillId="0" borderId="1" xfId="0" applyNumberFormat="1" applyFont="1" applyBorder="1" applyAlignment="1">
      <alignment horizontal="center" vertical="center"/>
    </xf>
    <xf numFmtId="9" fontId="18" fillId="0" borderId="1" xfId="0" applyNumberFormat="1" applyFont="1" applyBorder="1" applyAlignment="1">
      <alignment horizontal="center" vertical="center" wrapText="1"/>
    </xf>
    <xf numFmtId="0" fontId="18" fillId="0" borderId="1" xfId="0" applyNumberFormat="1" applyFont="1" applyBorder="1" applyAlignment="1">
      <alignment horizontal="center" vertical="center" wrapText="1"/>
    </xf>
    <xf numFmtId="0" fontId="18" fillId="0" borderId="2" xfId="0" applyNumberFormat="1" applyFont="1" applyBorder="1" applyAlignment="1">
      <alignment horizontal="center" vertical="center"/>
    </xf>
    <xf numFmtId="0" fontId="18" fillId="0" borderId="2" xfId="0" applyNumberFormat="1" applyFont="1" applyBorder="1" applyAlignment="1">
      <alignment horizontal="center" vertical="center" wrapText="1"/>
    </xf>
    <xf numFmtId="0" fontId="18" fillId="0" borderId="1" xfId="0" applyNumberFormat="1" applyFont="1" applyBorder="1" applyAlignment="1">
      <alignment horizontal="left" vertical="center" wrapText="1"/>
    </xf>
    <xf numFmtId="0" fontId="18" fillId="2" borderId="1" xfId="0" applyNumberFormat="1" applyFont="1" applyFill="1" applyBorder="1" applyAlignment="1">
      <alignment horizontal="center" vertical="center" wrapText="1"/>
    </xf>
    <xf numFmtId="0" fontId="18" fillId="0" borderId="1" xfId="0" applyNumberFormat="1" applyFont="1" applyBorder="1" applyAlignment="1">
      <alignment horizontal="center" vertical="center"/>
    </xf>
    <xf numFmtId="0" fontId="18" fillId="3" borderId="1" xfId="0" applyNumberFormat="1" applyFont="1" applyFill="1" applyBorder="1" applyAlignment="1">
      <alignment horizontal="center" vertical="center"/>
    </xf>
    <xf numFmtId="9" fontId="18" fillId="3" borderId="1" xfId="0" applyNumberFormat="1" applyFont="1" applyFill="1" applyBorder="1" applyAlignment="1">
      <alignment vertical="center"/>
    </xf>
    <xf numFmtId="0" fontId="18" fillId="3" borderId="1" xfId="0" applyNumberFormat="1" applyFont="1" applyFill="1" applyBorder="1" applyAlignment="1">
      <alignment vertical="center"/>
    </xf>
    <xf numFmtId="177" fontId="18" fillId="3" borderId="1" xfId="0" applyNumberFormat="1" applyFont="1" applyFill="1" applyBorder="1" applyAlignment="1">
      <alignment horizontal="center" vertical="center"/>
    </xf>
    <xf numFmtId="9" fontId="18" fillId="0" borderId="1" xfId="0" applyNumberFormat="1" applyFont="1" applyBorder="1" applyAlignment="1">
      <alignment horizontal="center" vertical="center"/>
    </xf>
    <xf numFmtId="177" fontId="18" fillId="0" borderId="1" xfId="0" applyNumberFormat="1" applyFont="1" applyBorder="1" applyAlignment="1">
      <alignment horizontal="center" vertical="center"/>
    </xf>
    <xf numFmtId="0" fontId="18" fillId="0" borderId="1" xfId="0" applyNumberFormat="1" applyFont="1" applyBorder="1" applyAlignment="1">
      <alignment vertical="center" wrapText="1"/>
    </xf>
    <xf numFmtId="176" fontId="2" fillId="0" borderId="11" xfId="0" applyFont="1" applyBorder="1" applyAlignment="1">
      <alignment horizontal="center" vertical="center" wrapText="1"/>
    </xf>
    <xf numFmtId="176" fontId="4" fillId="0" borderId="11" xfId="0" applyFont="1" applyBorder="1" applyAlignment="1">
      <alignment horizontal="left" vertical="center"/>
    </xf>
    <xf numFmtId="49" fontId="5" fillId="0" borderId="11" xfId="0" applyNumberFormat="1" applyFont="1" applyBorder="1" applyAlignment="1">
      <alignment horizontal="center" vertical="center" wrapText="1"/>
    </xf>
    <xf numFmtId="176" fontId="5" fillId="0" borderId="11" xfId="0" applyFont="1" applyBorder="1" applyAlignment="1">
      <alignment horizontal="center" vertical="center" wrapText="1"/>
    </xf>
    <xf numFmtId="176" fontId="5" fillId="0" borderId="11" xfId="0" applyFont="1" applyBorder="1" applyAlignment="1">
      <alignment horizontal="center" vertical="center"/>
    </xf>
    <xf numFmtId="0" fontId="5" fillId="0" borderId="16" xfId="0" applyNumberFormat="1" applyFont="1" applyBorder="1" applyAlignment="1">
      <alignment horizontal="center" vertical="center" wrapText="1"/>
    </xf>
    <xf numFmtId="176" fontId="5" fillId="0" borderId="6" xfId="0" applyFont="1" applyBorder="1" applyAlignment="1">
      <alignment horizontal="center" vertical="center" wrapText="1"/>
    </xf>
    <xf numFmtId="177" fontId="5" fillId="0" borderId="6" xfId="0" applyNumberFormat="1" applyFont="1" applyBorder="1" applyAlignment="1">
      <alignment horizontal="center" vertical="center"/>
    </xf>
    <xf numFmtId="176" fontId="2" fillId="0" borderId="6" xfId="0" applyFont="1" applyBorder="1" applyAlignment="1">
      <alignment horizontal="center" vertical="center" wrapText="1"/>
    </xf>
    <xf numFmtId="176" fontId="4" fillId="0" borderId="6" xfId="0" applyFont="1" applyBorder="1" applyAlignment="1">
      <alignment horizontal="left" vertical="center"/>
    </xf>
    <xf numFmtId="49" fontId="5" fillId="0" borderId="6" xfId="0" applyNumberFormat="1" applyFont="1" applyBorder="1" applyAlignment="1">
      <alignment horizontal="center" vertical="center" wrapText="1"/>
    </xf>
    <xf numFmtId="176" fontId="5" fillId="0" borderId="6" xfId="0" applyFont="1" applyBorder="1" applyAlignment="1">
      <alignment horizontal="center" vertical="center"/>
    </xf>
    <xf numFmtId="176" fontId="5" fillId="0" borderId="15" xfId="0" applyFont="1" applyBorder="1" applyAlignment="1">
      <alignment horizontal="center" vertical="center"/>
    </xf>
    <xf numFmtId="176" fontId="5" fillId="0" borderId="15" xfId="0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vertical="center" wrapText="1"/>
    </xf>
    <xf numFmtId="176" fontId="5" fillId="3" borderId="17" xfId="0" applyFont="1" applyFill="1" applyBorder="1" applyAlignment="1">
      <alignment horizontal="center" vertical="center"/>
    </xf>
    <xf numFmtId="176" fontId="5" fillId="3" borderId="8" xfId="0" applyFont="1" applyFill="1" applyBorder="1" applyAlignment="1">
      <alignment horizontal="center" vertical="center"/>
    </xf>
    <xf numFmtId="176" fontId="5" fillId="3" borderId="18" xfId="0" applyFont="1" applyFill="1" applyBorder="1" applyAlignment="1">
      <alignment horizontal="center" vertical="center"/>
    </xf>
    <xf numFmtId="176" fontId="5" fillId="3" borderId="15" xfId="0" applyFont="1" applyFill="1" applyBorder="1" applyAlignment="1">
      <alignment horizontal="center" vertical="center"/>
    </xf>
    <xf numFmtId="9" fontId="5" fillId="3" borderId="6" xfId="0" applyNumberFormat="1" applyFont="1" applyFill="1" applyBorder="1" applyAlignment="1">
      <alignment vertical="center"/>
    </xf>
    <xf numFmtId="176" fontId="5" fillId="3" borderId="6" xfId="0" applyFont="1" applyFill="1" applyBorder="1" applyAlignment="1">
      <alignment vertical="center"/>
    </xf>
    <xf numFmtId="177" fontId="5" fillId="3" borderId="6" xfId="0" applyNumberFormat="1" applyFont="1" applyFill="1" applyBorder="1" applyAlignment="1">
      <alignment horizontal="center" vertical="center"/>
    </xf>
    <xf numFmtId="176" fontId="5" fillId="0" borderId="19" xfId="0" applyFont="1" applyBorder="1" applyAlignment="1">
      <alignment horizontal="center" vertical="center"/>
    </xf>
    <xf numFmtId="176" fontId="4" fillId="0" borderId="11" xfId="0" applyFont="1" applyBorder="1" applyAlignment="1">
      <alignment horizontal="left" vertical="center" wrapText="1"/>
    </xf>
    <xf numFmtId="9" fontId="5" fillId="0" borderId="14" xfId="0" applyNumberFormat="1" applyFont="1" applyBorder="1" applyAlignment="1">
      <alignment horizontal="center" vertical="center"/>
    </xf>
    <xf numFmtId="176" fontId="5" fillId="0" borderId="12" xfId="0" applyFont="1" applyBorder="1" applyAlignment="1">
      <alignment horizontal="center" vertical="center"/>
    </xf>
    <xf numFmtId="176" fontId="4" fillId="0" borderId="6" xfId="0" applyFont="1" applyBorder="1" applyAlignment="1">
      <alignment vertical="center"/>
    </xf>
    <xf numFmtId="176" fontId="5" fillId="0" borderId="20" xfId="0" applyFont="1" applyBorder="1" applyAlignment="1">
      <alignment vertical="center" wrapText="1"/>
    </xf>
    <xf numFmtId="176" fontId="5" fillId="0" borderId="14" xfId="0" applyFont="1" applyBorder="1" applyAlignment="1">
      <alignment horizontal="center" vertical="center" wrapText="1"/>
    </xf>
    <xf numFmtId="176" fontId="5" fillId="0" borderId="1" xfId="0" applyFont="1" applyBorder="1" applyAlignment="1">
      <alignment vertical="center" wrapText="1"/>
    </xf>
    <xf numFmtId="176" fontId="5" fillId="0" borderId="21" xfId="0" applyFont="1" applyBorder="1" applyAlignment="1">
      <alignment vertical="center" wrapText="1"/>
    </xf>
    <xf numFmtId="176" fontId="5" fillId="0" borderId="6" xfId="0" applyFont="1" applyBorder="1" applyAlignment="1">
      <alignment vertical="center" wrapText="1"/>
    </xf>
    <xf numFmtId="176" fontId="5" fillId="0" borderId="11" xfId="0" applyFont="1" applyBorder="1" applyAlignment="1">
      <alignment vertical="center"/>
    </xf>
    <xf numFmtId="176" fontId="5" fillId="3" borderId="6" xfId="0" applyFont="1" applyFill="1" applyBorder="1" applyAlignment="1">
      <alignment horizontal="center" vertical="center"/>
    </xf>
    <xf numFmtId="0" fontId="5" fillId="0" borderId="6" xfId="0" applyNumberFormat="1" applyFont="1" applyBorder="1" applyAlignment="1">
      <alignment vertical="center" wrapText="1"/>
    </xf>
    <xf numFmtId="9" fontId="5" fillId="0" borderId="6" xfId="0" applyNumberFormat="1" applyFont="1" applyBorder="1" applyAlignment="1">
      <alignment horizontal="center" vertical="center"/>
    </xf>
    <xf numFmtId="0" fontId="5" fillId="0" borderId="22" xfId="0" applyNumberFormat="1" applyFont="1" applyBorder="1" applyAlignment="1">
      <alignment vertical="center" wrapText="1"/>
    </xf>
    <xf numFmtId="0" fontId="5" fillId="0" borderId="3" xfId="0" applyNumberFormat="1" applyFont="1" applyBorder="1" applyAlignment="1">
      <alignment horizontal="left" vertical="center" wrapText="1"/>
    </xf>
    <xf numFmtId="0" fontId="5" fillId="0" borderId="6" xfId="0" applyNumberFormat="1" applyFont="1" applyBorder="1" applyAlignment="1">
      <alignment vertical="center"/>
    </xf>
    <xf numFmtId="176" fontId="2" fillId="0" borderId="1" xfId="0" applyFont="1" applyBorder="1" applyAlignment="1">
      <alignment horizontal="center" vertical="center" wrapText="1"/>
    </xf>
    <xf numFmtId="176" fontId="4" fillId="0" borderId="1" xfId="0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center" vertical="center" wrapText="1"/>
    </xf>
    <xf numFmtId="176" fontId="5" fillId="0" borderId="1" xfId="0" applyFont="1" applyBorder="1" applyAlignment="1">
      <alignment horizontal="center" vertical="center" wrapText="1"/>
    </xf>
    <xf numFmtId="176" fontId="5" fillId="0" borderId="1" xfId="0" applyFont="1" applyBorder="1" applyAlignment="1">
      <alignment horizontal="center" vertical="center"/>
    </xf>
    <xf numFmtId="176" fontId="5" fillId="0" borderId="2" xfId="0" applyFont="1" applyBorder="1" applyAlignment="1">
      <alignment horizontal="left" vertical="center" wrapText="1"/>
    </xf>
    <xf numFmtId="176" fontId="5" fillId="0" borderId="1" xfId="0" applyFont="1" applyBorder="1" applyAlignment="1">
      <alignment vertical="center"/>
    </xf>
    <xf numFmtId="176" fontId="5" fillId="0" borderId="3" xfId="0" applyFont="1" applyBorder="1" applyAlignment="1">
      <alignment horizontal="left" vertical="center" wrapText="1"/>
    </xf>
    <xf numFmtId="176" fontId="5" fillId="0" borderId="4" xfId="0" applyFont="1" applyBorder="1" applyAlignment="1">
      <alignment horizontal="left" vertical="center" wrapText="1"/>
    </xf>
    <xf numFmtId="176" fontId="5" fillId="3" borderId="5" xfId="0" applyFont="1" applyFill="1" applyBorder="1" applyAlignment="1">
      <alignment horizontal="center" vertical="center"/>
    </xf>
    <xf numFmtId="176" fontId="5" fillId="3" borderId="7" xfId="0" applyFont="1" applyFill="1" applyBorder="1" applyAlignment="1">
      <alignment horizontal="center" vertical="center"/>
    </xf>
    <xf numFmtId="176" fontId="5" fillId="3" borderId="1" xfId="0" applyFont="1" applyFill="1" applyBorder="1" applyAlignment="1">
      <alignment vertical="center"/>
    </xf>
    <xf numFmtId="176" fontId="5" fillId="0" borderId="1" xfId="0" applyFont="1" applyBorder="1" applyAlignment="1">
      <alignment horizontal="left" vertical="center" wrapText="1"/>
    </xf>
    <xf numFmtId="0" fontId="5" fillId="0" borderId="1" xfId="0" applyNumberFormat="1" applyFont="1" applyBorder="1" applyAlignment="1">
      <alignment vertical="center"/>
    </xf>
    <xf numFmtId="0" fontId="1" fillId="0" borderId="0" xfId="0" applyNumberFormat="1" applyFont="1" applyFill="1" applyAlignment="1">
      <alignment vertical="center" wrapText="1"/>
    </xf>
    <xf numFmtId="0" fontId="1" fillId="0" borderId="0" xfId="0" applyNumberFormat="1" applyFont="1" applyFill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left" vertical="center" wrapText="1"/>
    </xf>
    <xf numFmtId="9" fontId="2" fillId="0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Alignment="1">
      <alignment vertical="center"/>
    </xf>
    <xf numFmtId="0" fontId="4" fillId="0" borderId="1" xfId="0" applyNumberFormat="1" applyFont="1" applyFill="1" applyBorder="1" applyAlignment="1">
      <alignment horizontal="center" vertical="center"/>
    </xf>
    <xf numFmtId="9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>
      <alignment horizontal="left" vertical="center" wrapText="1"/>
    </xf>
    <xf numFmtId="9" fontId="5" fillId="0" borderId="1" xfId="0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/>
    </xf>
    <xf numFmtId="9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vertical="center" wrapText="1"/>
    </xf>
    <xf numFmtId="0" fontId="2" fillId="0" borderId="3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center"/>
    </xf>
    <xf numFmtId="9" fontId="5" fillId="0" borderId="3" xfId="0" applyNumberFormat="1" applyFont="1" applyFill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horizontal="center" vertical="center"/>
    </xf>
    <xf numFmtId="9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3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vertical="center" wrapText="1"/>
    </xf>
    <xf numFmtId="0" fontId="5" fillId="0" borderId="3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left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9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177" fontId="19" fillId="0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0" fontId="5" fillId="0" borderId="4" xfId="0" applyNumberFormat="1" applyFont="1" applyFill="1" applyBorder="1" applyAlignment="1">
      <alignment horizontal="center" vertical="center"/>
    </xf>
    <xf numFmtId="0" fontId="5" fillId="0" borderId="4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vertical="top" wrapText="1"/>
    </xf>
    <xf numFmtId="0" fontId="4" fillId="3" borderId="1" xfId="0" applyNumberFormat="1" applyFont="1" applyFill="1" applyBorder="1" applyAlignment="1">
      <alignment horizontal="center" vertical="center"/>
    </xf>
    <xf numFmtId="0" fontId="5" fillId="2" borderId="2" xfId="0" applyNumberFormat="1" applyFont="1" applyFill="1" applyBorder="1" applyAlignment="1">
      <alignment horizontal="center" vertical="center" wrapText="1"/>
    </xf>
    <xf numFmtId="9" fontId="5" fillId="0" borderId="1" xfId="0" applyNumberFormat="1" applyFont="1" applyFill="1" applyBorder="1" applyAlignment="1" applyProtection="1">
      <alignment horizontal="center" vertical="center" wrapText="1"/>
    </xf>
    <xf numFmtId="176" fontId="20" fillId="0" borderId="1" xfId="0" applyFont="1" applyBorder="1" applyAlignment="1">
      <alignment wrapText="1"/>
    </xf>
    <xf numFmtId="176" fontId="20" fillId="0" borderId="1" xfId="0" applyFont="1" applyBorder="1"/>
    <xf numFmtId="0" fontId="2" fillId="0" borderId="4" xfId="0" applyNumberFormat="1" applyFont="1" applyFill="1" applyBorder="1" applyAlignment="1">
      <alignment horizontal="center" vertical="center" wrapText="1"/>
    </xf>
    <xf numFmtId="0" fontId="18" fillId="0" borderId="1" xfId="0" applyNumberFormat="1" applyFont="1" applyFill="1" applyBorder="1" applyAlignment="1">
      <alignment horizontal="center" vertical="center" wrapText="1"/>
    </xf>
    <xf numFmtId="0" fontId="18" fillId="0" borderId="1" xfId="0" applyNumberFormat="1" applyFont="1" applyFill="1" applyBorder="1" applyAlignment="1">
      <alignment horizontal="left" vertical="center" wrapText="1"/>
    </xf>
    <xf numFmtId="0" fontId="18" fillId="0" borderId="2" xfId="0" applyNumberFormat="1" applyFont="1" applyFill="1" applyBorder="1" applyAlignment="1">
      <alignment horizontal="center" vertical="center" wrapText="1"/>
    </xf>
    <xf numFmtId="0" fontId="18" fillId="0" borderId="3" xfId="0" applyNumberFormat="1" applyFont="1" applyFill="1" applyBorder="1" applyAlignment="1">
      <alignment horizontal="center" vertical="center" wrapText="1"/>
    </xf>
    <xf numFmtId="0" fontId="18" fillId="0" borderId="4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vertical="center" wrapText="1"/>
    </xf>
    <xf numFmtId="0" fontId="18" fillId="2" borderId="1" xfId="0" applyNumberFormat="1" applyFont="1" applyFill="1" applyBorder="1" applyAlignment="1">
      <alignment horizontal="left" vertical="center" wrapText="1"/>
    </xf>
    <xf numFmtId="0" fontId="16" fillId="0" borderId="1" xfId="0" applyNumberFormat="1" applyFont="1" applyFill="1" applyBorder="1" applyAlignment="1">
      <alignment horizontal="center" vertical="center" wrapText="1"/>
    </xf>
    <xf numFmtId="0" fontId="18" fillId="0" borderId="1" xfId="0" applyNumberFormat="1" applyFont="1" applyFill="1" applyBorder="1" applyAlignment="1">
      <alignment vertical="center" wrapText="1"/>
    </xf>
    <xf numFmtId="9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 wrapText="1"/>
    </xf>
    <xf numFmtId="0" fontId="3" fillId="0" borderId="3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 wrapText="1"/>
    </xf>
    <xf numFmtId="0" fontId="3" fillId="0" borderId="4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9" fontId="3" fillId="3" borderId="1" xfId="0" applyNumberFormat="1" applyFont="1" applyFill="1" applyBorder="1" applyAlignment="1">
      <alignment vertical="center"/>
    </xf>
    <xf numFmtId="0" fontId="3" fillId="3" borderId="1" xfId="0" applyNumberFormat="1" applyFont="1" applyFill="1" applyBorder="1" applyAlignment="1">
      <alignment vertical="center"/>
    </xf>
    <xf numFmtId="177" fontId="3" fillId="3" borderId="1" xfId="0" applyNumberFormat="1" applyFont="1" applyFill="1" applyBorder="1" applyAlignment="1">
      <alignment horizontal="center" vertical="center"/>
    </xf>
    <xf numFmtId="0" fontId="0" fillId="0" borderId="0" xfId="0" applyNumberFormat="1"/>
    <xf numFmtId="9" fontId="0" fillId="0" borderId="0" xfId="0" applyNumberFormat="1"/>
    <xf numFmtId="49" fontId="0" fillId="0" borderId="0" xfId="0" applyNumberFormat="1"/>
    <xf numFmtId="176" fontId="21" fillId="4" borderId="1" xfId="0" applyFont="1" applyFill="1" applyBorder="1" applyAlignment="1">
      <alignment horizontal="center" vertical="center"/>
    </xf>
    <xf numFmtId="0" fontId="22" fillId="4" borderId="1" xfId="0" applyNumberFormat="1" applyFont="1" applyFill="1" applyBorder="1" applyAlignment="1">
      <alignment horizontal="center" vertical="center"/>
    </xf>
    <xf numFmtId="176" fontId="22" fillId="4" borderId="1" xfId="0" applyFont="1" applyFill="1" applyBorder="1" applyAlignment="1">
      <alignment horizontal="center" vertical="center"/>
    </xf>
    <xf numFmtId="9" fontId="22" fillId="4" borderId="1" xfId="0" applyNumberFormat="1" applyFont="1" applyFill="1" applyBorder="1" applyAlignment="1">
      <alignment horizontal="center" vertical="center"/>
    </xf>
    <xf numFmtId="0" fontId="22" fillId="4" borderId="1" xfId="0" applyNumberFormat="1" applyFont="1" applyFill="1" applyBorder="1" applyAlignment="1">
      <alignment horizontal="center" vertical="center" wrapText="1"/>
    </xf>
    <xf numFmtId="49" fontId="22" fillId="4" borderId="1" xfId="0" applyNumberFormat="1" applyFont="1" applyFill="1" applyBorder="1" applyAlignment="1">
      <alignment horizontal="center" vertical="center" wrapText="1"/>
    </xf>
    <xf numFmtId="176" fontId="22" fillId="4" borderId="1" xfId="0" applyFont="1" applyFill="1" applyBorder="1" applyAlignment="1">
      <alignment horizontal="center" vertical="center" wrapText="1"/>
    </xf>
    <xf numFmtId="0" fontId="23" fillId="0" borderId="1" xfId="0" applyNumberFormat="1" applyFont="1" applyBorder="1" applyAlignment="1">
      <alignment horizontal="center" vertical="center"/>
    </xf>
    <xf numFmtId="176" fontId="23" fillId="0" borderId="2" xfId="0" applyFont="1" applyBorder="1" applyAlignment="1">
      <alignment horizontal="center" vertical="center" wrapText="1"/>
    </xf>
    <xf numFmtId="176" fontId="23" fillId="0" borderId="1" xfId="0" applyFont="1" applyBorder="1" applyAlignment="1">
      <alignment horizontal="center" vertical="center" wrapText="1"/>
    </xf>
    <xf numFmtId="176" fontId="23" fillId="0" borderId="1" xfId="0" applyFont="1" applyBorder="1" applyAlignment="1">
      <alignment vertical="center"/>
    </xf>
    <xf numFmtId="176" fontId="23" fillId="0" borderId="1" xfId="0" applyFont="1" applyBorder="1" applyAlignment="1">
      <alignment horizontal="center" vertical="center"/>
    </xf>
    <xf numFmtId="9" fontId="23" fillId="0" borderId="1" xfId="0" applyNumberFormat="1" applyFont="1" applyBorder="1" applyAlignment="1">
      <alignment horizontal="center" vertical="center"/>
    </xf>
    <xf numFmtId="0" fontId="23" fillId="0" borderId="1" xfId="0" applyNumberFormat="1" applyFont="1" applyBorder="1" applyAlignment="1">
      <alignment horizontal="center" vertical="center" wrapText="1"/>
    </xf>
    <xf numFmtId="0" fontId="23" fillId="0" borderId="1" xfId="0" applyNumberFormat="1" applyFont="1" applyFill="1" applyBorder="1" applyAlignment="1">
      <alignment horizontal="center" vertical="center"/>
    </xf>
    <xf numFmtId="0" fontId="23" fillId="0" borderId="1" xfId="0" applyNumberFormat="1" applyFont="1" applyFill="1" applyBorder="1" applyAlignment="1">
      <alignment horizontal="center" vertical="center" wrapText="1"/>
    </xf>
    <xf numFmtId="176" fontId="23" fillId="0" borderId="1" xfId="0" applyFont="1" applyBorder="1" applyAlignment="1">
      <alignment vertical="center" wrapText="1"/>
    </xf>
    <xf numFmtId="176" fontId="23" fillId="0" borderId="3" xfId="0" applyFont="1" applyBorder="1" applyAlignment="1">
      <alignment horizontal="center" vertical="center"/>
    </xf>
    <xf numFmtId="9" fontId="23" fillId="0" borderId="1" xfId="0" applyNumberFormat="1" applyFont="1" applyFill="1" applyBorder="1" applyAlignment="1" applyProtection="1">
      <alignment horizontal="center" vertical="center"/>
    </xf>
    <xf numFmtId="176" fontId="23" fillId="0" borderId="1" xfId="0" applyFont="1" applyFill="1" applyBorder="1" applyAlignment="1">
      <alignment horizontal="center" vertical="center"/>
    </xf>
    <xf numFmtId="176" fontId="23" fillId="0" borderId="1" xfId="0" applyFont="1" applyFill="1" applyBorder="1" applyAlignment="1">
      <alignment horizontal="center" vertical="center" wrapText="1"/>
    </xf>
    <xf numFmtId="176" fontId="23" fillId="5" borderId="1" xfId="0" applyFont="1" applyFill="1" applyBorder="1" applyAlignment="1">
      <alignment horizontal="center" vertical="center"/>
    </xf>
    <xf numFmtId="9" fontId="23" fillId="0" borderId="1" xfId="0" applyNumberFormat="1" applyFont="1" applyFill="1" applyBorder="1" applyAlignment="1">
      <alignment horizontal="center" vertical="center"/>
    </xf>
    <xf numFmtId="176" fontId="23" fillId="5" borderId="1" xfId="0" applyFont="1" applyFill="1" applyBorder="1" applyAlignment="1">
      <alignment horizontal="center" vertical="center" wrapText="1"/>
    </xf>
    <xf numFmtId="176" fontId="23" fillId="0" borderId="1" xfId="0" applyFont="1" applyFill="1" applyBorder="1" applyAlignment="1">
      <alignment vertical="center"/>
    </xf>
    <xf numFmtId="49" fontId="23" fillId="0" borderId="1" xfId="0" applyNumberFormat="1" applyFont="1" applyFill="1" applyBorder="1" applyAlignment="1">
      <alignment horizontal="center" vertical="center" wrapText="1"/>
    </xf>
    <xf numFmtId="176" fontId="24" fillId="5" borderId="1" xfId="0" applyFont="1" applyFill="1" applyBorder="1" applyAlignment="1">
      <alignment horizontal="center" vertical="center"/>
    </xf>
    <xf numFmtId="0" fontId="23" fillId="0" borderId="23" xfId="0" applyNumberFormat="1" applyFont="1" applyBorder="1" applyAlignment="1">
      <alignment horizontal="center" vertical="center"/>
    </xf>
    <xf numFmtId="176" fontId="23" fillId="0" borderId="24" xfId="0" applyFont="1" applyBorder="1" applyAlignment="1">
      <alignment horizontal="center" vertical="center"/>
    </xf>
    <xf numFmtId="176" fontId="23" fillId="0" borderId="23" xfId="0" applyFont="1" applyBorder="1" applyAlignment="1">
      <alignment horizontal="center" vertical="center"/>
    </xf>
    <xf numFmtId="176" fontId="23" fillId="4" borderId="23" xfId="0" applyFont="1" applyFill="1" applyBorder="1" applyAlignment="1">
      <alignment horizontal="center" vertical="center"/>
    </xf>
    <xf numFmtId="0" fontId="23" fillId="4" borderId="23" xfId="0" applyNumberFormat="1" applyFont="1" applyFill="1" applyBorder="1" applyAlignment="1">
      <alignment horizontal="center" vertical="center"/>
    </xf>
    <xf numFmtId="176" fontId="23" fillId="4" borderId="23" xfId="0" applyFont="1" applyFill="1" applyBorder="1" applyAlignment="1">
      <alignment horizontal="center" vertical="center" wrapText="1"/>
    </xf>
    <xf numFmtId="9" fontId="23" fillId="4" borderId="23" xfId="0" applyNumberFormat="1" applyFont="1" applyFill="1" applyBorder="1" applyAlignment="1">
      <alignment horizontal="center" vertical="center"/>
    </xf>
    <xf numFmtId="176" fontId="23" fillId="0" borderId="23" xfId="0" applyFont="1" applyBorder="1" applyAlignment="1">
      <alignment horizontal="center" vertical="center" wrapText="1"/>
    </xf>
    <xf numFmtId="0" fontId="23" fillId="0" borderId="4" xfId="0" applyNumberFormat="1" applyFont="1" applyBorder="1" applyAlignment="1">
      <alignment horizontal="center" vertical="center"/>
    </xf>
    <xf numFmtId="176" fontId="23" fillId="0" borderId="3" xfId="0" applyFont="1" applyBorder="1" applyAlignment="1">
      <alignment horizontal="center" vertical="center" wrapText="1"/>
    </xf>
    <xf numFmtId="0" fontId="23" fillId="0" borderId="4" xfId="0" applyNumberFormat="1" applyFont="1" applyFill="1" applyBorder="1" applyAlignment="1">
      <alignment horizontal="center" vertical="center"/>
    </xf>
    <xf numFmtId="176" fontId="23" fillId="0" borderId="4" xfId="0" applyFont="1" applyFill="1" applyBorder="1" applyAlignment="1">
      <alignment vertical="center"/>
    </xf>
    <xf numFmtId="176" fontId="23" fillId="0" borderId="4" xfId="0" applyFont="1" applyFill="1" applyBorder="1" applyAlignment="1">
      <alignment horizontal="center" vertical="center"/>
    </xf>
    <xf numFmtId="9" fontId="23" fillId="0" borderId="4" xfId="0" applyNumberFormat="1" applyFont="1" applyFill="1" applyBorder="1" applyAlignment="1">
      <alignment horizontal="center" vertical="center"/>
    </xf>
    <xf numFmtId="0" fontId="23" fillId="0" borderId="4" xfId="0" applyNumberFormat="1" applyFont="1" applyFill="1" applyBorder="1" applyAlignment="1">
      <alignment horizontal="center" vertical="center" wrapText="1"/>
    </xf>
    <xf numFmtId="176" fontId="25" fillId="0" borderId="4" xfId="0" applyFont="1" applyFill="1" applyBorder="1" applyAlignment="1">
      <alignment vertical="center" wrapText="1"/>
    </xf>
    <xf numFmtId="0" fontId="23" fillId="0" borderId="2" xfId="0" applyNumberFormat="1" applyFont="1" applyFill="1" applyBorder="1" applyAlignment="1">
      <alignment horizontal="center" vertical="center"/>
    </xf>
    <xf numFmtId="0" fontId="23" fillId="0" borderId="2" xfId="0" applyNumberFormat="1" applyFont="1" applyBorder="1" applyAlignment="1">
      <alignment horizontal="center" vertical="center"/>
    </xf>
    <xf numFmtId="176" fontId="23" fillId="0" borderId="3" xfId="0" applyFont="1" applyBorder="1" applyAlignment="1">
      <alignment horizontal="center" vertical="center" wrapText="1"/>
    </xf>
    <xf numFmtId="176" fontId="23" fillId="0" borderId="3" xfId="0" applyFont="1" applyBorder="1" applyAlignment="1">
      <alignment horizontal="center" vertical="center" wrapText="1"/>
    </xf>
    <xf numFmtId="176" fontId="23" fillId="0" borderId="2" xfId="0" applyFont="1" applyBorder="1" applyAlignment="1">
      <alignment vertical="center"/>
    </xf>
    <xf numFmtId="176" fontId="23" fillId="0" borderId="2" xfId="0" applyFont="1" applyBorder="1" applyAlignment="1">
      <alignment horizontal="center" vertical="center"/>
    </xf>
    <xf numFmtId="9" fontId="23" fillId="0" borderId="2" xfId="0" applyNumberFormat="1" applyFont="1" applyBorder="1" applyAlignment="1">
      <alignment horizontal="center" vertical="center"/>
    </xf>
    <xf numFmtId="0" fontId="23" fillId="0" borderId="2" xfId="0" applyNumberFormat="1" applyFont="1" applyBorder="1" applyAlignment="1">
      <alignment horizontal="center" vertical="center" wrapText="1"/>
    </xf>
    <xf numFmtId="176" fontId="23" fillId="0" borderId="2" xfId="0" applyFont="1" applyBorder="1" applyAlignment="1">
      <alignment horizontal="center" vertical="center" wrapText="1"/>
    </xf>
    <xf numFmtId="0" fontId="23" fillId="0" borderId="2" xfId="0" applyNumberFormat="1" applyFont="1" applyFill="1" applyBorder="1" applyAlignment="1">
      <alignment horizontal="center" vertical="center"/>
    </xf>
    <xf numFmtId="0" fontId="23" fillId="0" borderId="2" xfId="0" applyNumberFormat="1" applyFont="1" applyFill="1" applyBorder="1" applyAlignment="1">
      <alignment horizontal="center" vertical="center" wrapText="1"/>
    </xf>
    <xf numFmtId="176" fontId="23" fillId="0" borderId="2" xfId="0" applyFont="1" applyBorder="1" applyAlignment="1">
      <alignment vertical="center" wrapText="1"/>
    </xf>
    <xf numFmtId="176" fontId="23" fillId="0" borderId="2" xfId="0" applyFont="1" applyFill="1" applyBorder="1" applyAlignment="1">
      <alignment horizontal="center" vertical="center"/>
    </xf>
    <xf numFmtId="176" fontId="23" fillId="0" borderId="24" xfId="0" applyFont="1" applyBorder="1" applyAlignment="1">
      <alignment horizontal="center" vertical="center" wrapText="1"/>
    </xf>
    <xf numFmtId="176" fontId="23" fillId="0" borderId="4" xfId="0" applyFont="1" applyBorder="1" applyAlignment="1">
      <alignment horizontal="center" vertical="center" wrapText="1"/>
    </xf>
    <xf numFmtId="176" fontId="23" fillId="0" borderId="4" xfId="0" applyFont="1" applyBorder="1" applyAlignment="1">
      <alignment vertical="center"/>
    </xf>
    <xf numFmtId="176" fontId="23" fillId="0" borderId="4" xfId="0" applyFont="1" applyFill="1" applyBorder="1" applyAlignment="1">
      <alignment horizontal="center" vertical="center" wrapText="1"/>
    </xf>
    <xf numFmtId="176" fontId="23" fillId="0" borderId="4" xfId="0" applyFont="1" applyFill="1" applyBorder="1" applyAlignment="1">
      <alignment vertical="center" wrapText="1"/>
    </xf>
    <xf numFmtId="176" fontId="25" fillId="0" borderId="1" xfId="0" applyFont="1" applyFill="1" applyBorder="1" applyAlignment="1">
      <alignment vertical="center" wrapText="1"/>
    </xf>
    <xf numFmtId="0" fontId="23" fillId="0" borderId="5" xfId="0" applyNumberFormat="1" applyFont="1" applyFill="1" applyBorder="1" applyAlignment="1">
      <alignment horizontal="center" vertical="center"/>
    </xf>
    <xf numFmtId="0" fontId="23" fillId="0" borderId="7" xfId="0" applyNumberFormat="1" applyFont="1" applyFill="1" applyBorder="1" applyAlignment="1">
      <alignment horizontal="center" vertical="center"/>
    </xf>
    <xf numFmtId="176" fontId="23" fillId="0" borderId="4" xfId="0" applyFont="1" applyBorder="1" applyAlignment="1">
      <alignment horizontal="center" vertical="center"/>
    </xf>
    <xf numFmtId="9" fontId="23" fillId="0" borderId="4" xfId="0" applyNumberFormat="1" applyFont="1" applyBorder="1" applyAlignment="1">
      <alignment horizontal="center" vertical="center"/>
    </xf>
    <xf numFmtId="49" fontId="23" fillId="0" borderId="4" xfId="0" applyNumberFormat="1" applyFont="1" applyFill="1" applyBorder="1" applyAlignment="1">
      <alignment horizontal="center" vertical="center" wrapText="1"/>
    </xf>
    <xf numFmtId="176" fontId="23" fillId="0" borderId="4" xfId="0" applyFont="1" applyBorder="1" applyAlignment="1">
      <alignment vertical="center" wrapText="1"/>
    </xf>
    <xf numFmtId="0" fontId="23" fillId="0" borderId="0" xfId="0" applyNumberFormat="1" applyFont="1" applyAlignment="1">
      <alignment horizontal="center" vertical="center"/>
    </xf>
    <xf numFmtId="176" fontId="23" fillId="0" borderId="0" xfId="0" applyFont="1" applyAlignment="1">
      <alignment horizontal="center" vertical="center"/>
    </xf>
    <xf numFmtId="176" fontId="23" fillId="0" borderId="0" xfId="0" applyFont="1" applyAlignment="1">
      <alignment vertical="center"/>
    </xf>
    <xf numFmtId="0" fontId="23" fillId="0" borderId="0" xfId="0" applyNumberFormat="1" applyFont="1" applyAlignment="1">
      <alignment vertical="center"/>
    </xf>
    <xf numFmtId="176" fontId="0" fillId="0" borderId="0" xfId="0" applyAlignment="1">
      <alignment vertical="center"/>
    </xf>
    <xf numFmtId="0" fontId="5" fillId="0" borderId="1" xfId="0" applyNumberFormat="1" applyFont="1" applyFill="1" applyBorder="1" applyAlignment="1" quotePrefix="1">
      <alignment horizontal="center" vertical="center" wrapText="1"/>
    </xf>
    <xf numFmtId="0" fontId="5" fillId="0" borderId="2" xfId="0" applyNumberFormat="1" applyFont="1" applyFill="1" applyBorder="1" applyAlignment="1" quotePrefix="1">
      <alignment horizontal="center" vertical="center" wrapText="1"/>
    </xf>
  </cellXfs>
  <cellStyles count="6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百分比 3" xfId="50"/>
    <cellStyle name="常规 10" xfId="51"/>
    <cellStyle name="常规 11" xfId="52"/>
    <cellStyle name="常规 12" xfId="53"/>
    <cellStyle name="常规 13" xfId="54"/>
    <cellStyle name="常规 14" xfId="55"/>
    <cellStyle name="常规 2" xfId="56"/>
    <cellStyle name="常规 3" xfId="57"/>
    <cellStyle name="常规 4" xfId="58"/>
    <cellStyle name="常规 5" xfId="59"/>
    <cellStyle name="常规 6" xfId="60"/>
    <cellStyle name="常规 7" xfId="61"/>
    <cellStyle name="常规 8" xfId="62"/>
    <cellStyle name="常规 9" xfId="63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externalLink" Target="externalLinks/externalLink4.xml"/><Relationship Id="rId12" Type="http://schemas.openxmlformats.org/officeDocument/2006/relationships/externalLink" Target="externalLinks/externalLink3.xml"/><Relationship Id="rId11" Type="http://schemas.openxmlformats.org/officeDocument/2006/relationships/externalLink" Target="externalLinks/externalLink2.xml"/><Relationship Id="rId10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6.3.28-2026.4.03&#39033;&#30446;&#21608;&#25253;&#27719;&#2463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26.3.30-2026.4.3&#39033;&#30446;&#21608;&#25253;&#27719;&#24635;-&#20132;&#20184;-&#29289;&#19994;&#32452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2026.3.30-2026.4.3&#39033;&#30446;&#21608;&#25253;&#27719;&#24635;-&#20132;&#20184;-AI&#22823;&#25968;&#25454;&#3245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2026.3.30-2025.4.03&#39033;&#30446;&#21608;&#25253;&#27719;&#24635;-&#20132;&#20184;-JD&#32452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项目汇总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项目汇总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项目汇总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项目汇总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R52"/>
  <sheetViews>
    <sheetView tabSelected="1" zoomScale="70" zoomScaleNormal="70" workbookViewId="0">
      <pane xSplit="5" ySplit="2" topLeftCell="F3" activePane="bottomRight" state="frozen"/>
      <selection/>
      <selection pane="topRight"/>
      <selection pane="bottomLeft"/>
      <selection pane="bottomRight" activeCell="Q24" sqref="Q24"/>
    </sheetView>
  </sheetViews>
  <sheetFormatPr defaultColWidth="9" defaultRowHeight="13.8"/>
  <cols>
    <col min="1" max="1" width="7.11111111111111" style="279" customWidth="1"/>
    <col min="2" max="2" width="15.4444444444444" customWidth="1"/>
    <col min="3" max="3" width="14.4444444444444" customWidth="1"/>
    <col min="4" max="4" width="21.8888888888889" style="279" customWidth="1"/>
    <col min="5" max="5" width="41.8888888888889" customWidth="1"/>
    <col min="6" max="6" width="21.2222222222222" customWidth="1"/>
    <col min="7" max="7" width="9.88888888888889" customWidth="1"/>
    <col min="8" max="8" width="11.4444444444444" customWidth="1"/>
    <col min="9" max="9" width="10.8888888888889" customWidth="1"/>
    <col min="10" max="10" width="15.3333333333333" style="280" customWidth="1"/>
    <col min="11" max="11" width="11.3333333333333" style="279" customWidth="1"/>
    <col min="12" max="12" width="20.6296296296296" customWidth="1"/>
    <col min="13" max="13" width="19.7777777777778" style="279" customWidth="1"/>
    <col min="14" max="14" width="20.1574074074074" style="279" customWidth="1"/>
    <col min="15" max="15" width="21.2685185185185" style="281" customWidth="1"/>
    <col min="16" max="16" width="19.2037037037037" customWidth="1"/>
    <col min="17" max="17" width="16.3518518518519" customWidth="1"/>
    <col min="18" max="18" width="85.2314814814815" customWidth="1"/>
  </cols>
  <sheetData>
    <row r="1" ht="37.5" customHeight="1" spans="1:18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/>
      <c r="R1" s="282"/>
    </row>
    <row r="2" ht="30" customHeight="1" spans="1:18">
      <c r="A2" s="283" t="s">
        <v>1</v>
      </c>
      <c r="B2" s="284" t="s">
        <v>2</v>
      </c>
      <c r="C2" s="284" t="s">
        <v>3</v>
      </c>
      <c r="D2" s="283" t="s">
        <v>4</v>
      </c>
      <c r="E2" s="284" t="s">
        <v>5</v>
      </c>
      <c r="F2" s="284" t="s">
        <v>6</v>
      </c>
      <c r="G2" s="284" t="s">
        <v>7</v>
      </c>
      <c r="H2" s="284" t="s">
        <v>8</v>
      </c>
      <c r="I2" s="284" t="s">
        <v>9</v>
      </c>
      <c r="J2" s="285" t="s">
        <v>10</v>
      </c>
      <c r="K2" s="286" t="s">
        <v>11</v>
      </c>
      <c r="L2" s="284" t="s">
        <v>12</v>
      </c>
      <c r="M2" s="283" t="s">
        <v>13</v>
      </c>
      <c r="N2" s="283" t="s">
        <v>14</v>
      </c>
      <c r="O2" s="287" t="s">
        <v>15</v>
      </c>
      <c r="P2" s="288" t="s">
        <v>16</v>
      </c>
      <c r="Q2" s="284" t="s">
        <v>17</v>
      </c>
      <c r="R2" s="284" t="s">
        <v>18</v>
      </c>
    </row>
    <row r="3" ht="35" customHeight="1" spans="1:18">
      <c r="A3" s="289">
        <v>1</v>
      </c>
      <c r="B3" s="290" t="s">
        <v>19</v>
      </c>
      <c r="C3" s="291" t="s">
        <v>20</v>
      </c>
      <c r="D3" s="289">
        <v>22220901</v>
      </c>
      <c r="E3" s="292" t="s">
        <v>21</v>
      </c>
      <c r="F3" s="293" t="s">
        <v>22</v>
      </c>
      <c r="G3" s="293" t="s">
        <v>23</v>
      </c>
      <c r="H3" s="293" t="s">
        <v>24</v>
      </c>
      <c r="I3" s="293" t="s">
        <v>25</v>
      </c>
      <c r="J3" s="294" t="s">
        <v>26</v>
      </c>
      <c r="K3" s="295" t="s">
        <v>27</v>
      </c>
      <c r="L3" s="293"/>
      <c r="M3" s="289">
        <v>12.5</v>
      </c>
      <c r="N3" s="296">
        <v>21</v>
      </c>
      <c r="O3" s="297" t="str">
        <f>N3-M3&amp;"("&amp;ROUND(((N3-M3)/M3*100),0)&amp;"%)"</f>
        <v>8.5(68%)</v>
      </c>
      <c r="P3" s="298"/>
      <c r="Q3" s="292"/>
      <c r="R3" s="293"/>
    </row>
    <row r="4" ht="23" customHeight="1" spans="1:18">
      <c r="A4" s="289">
        <v>2</v>
      </c>
      <c r="B4" s="299"/>
      <c r="C4" s="293"/>
      <c r="D4" s="289">
        <v>22250226</v>
      </c>
      <c r="E4" s="292" t="s">
        <v>28</v>
      </c>
      <c r="F4" s="293" t="s">
        <v>22</v>
      </c>
      <c r="G4" s="293" t="s">
        <v>29</v>
      </c>
      <c r="H4" s="293" t="s">
        <v>30</v>
      </c>
      <c r="I4" s="293" t="s">
        <v>25</v>
      </c>
      <c r="J4" s="300">
        <v>0.92</v>
      </c>
      <c r="K4" s="295" t="s">
        <v>31</v>
      </c>
      <c r="L4" s="293"/>
      <c r="M4" s="289">
        <v>10.5</v>
      </c>
      <c r="N4" s="296">
        <v>14.75</v>
      </c>
      <c r="O4" s="297" t="str">
        <f t="shared" ref="O4:O6" si="0">ROUND(N4-M4,2)&amp;"("&amp;ROUND(((N4-M4)/M4*100),0)&amp;"%)"</f>
        <v>4.25(40%)</v>
      </c>
      <c r="P4" s="298"/>
      <c r="Q4" s="292"/>
      <c r="R4" s="301" t="s">
        <v>32</v>
      </c>
    </row>
    <row r="5" ht="32" customHeight="1" spans="1:18">
      <c r="A5" s="289">
        <v>3</v>
      </c>
      <c r="B5" s="299"/>
      <c r="C5" s="293"/>
      <c r="D5" s="289">
        <v>22220202</v>
      </c>
      <c r="E5" s="292" t="s">
        <v>33</v>
      </c>
      <c r="F5" s="293" t="s">
        <v>34</v>
      </c>
      <c r="G5" s="291" t="s">
        <v>35</v>
      </c>
      <c r="H5" s="293" t="s">
        <v>24</v>
      </c>
      <c r="I5" s="293" t="s">
        <v>25</v>
      </c>
      <c r="J5" s="294" t="s">
        <v>26</v>
      </c>
      <c r="K5" s="295" t="s">
        <v>31</v>
      </c>
      <c r="L5" s="298"/>
      <c r="M5" s="289">
        <v>0</v>
      </c>
      <c r="N5" s="296">
        <v>0</v>
      </c>
      <c r="O5" s="297">
        <v>0</v>
      </c>
      <c r="P5" s="291"/>
      <c r="Q5" s="292"/>
      <c r="R5" s="302" t="s">
        <v>36</v>
      </c>
    </row>
    <row r="6" ht="23" customHeight="1" spans="1:18">
      <c r="A6" s="289">
        <v>4</v>
      </c>
      <c r="B6" s="299"/>
      <c r="C6" s="293"/>
      <c r="D6" s="289">
        <v>22220701</v>
      </c>
      <c r="E6" s="292" t="s">
        <v>37</v>
      </c>
      <c r="F6" s="293" t="s">
        <v>34</v>
      </c>
      <c r="G6" s="291" t="s">
        <v>35</v>
      </c>
      <c r="H6" s="293" t="s">
        <v>24</v>
      </c>
      <c r="I6" s="293" t="s">
        <v>25</v>
      </c>
      <c r="J6" s="294" t="s">
        <v>26</v>
      </c>
      <c r="K6" s="295" t="s">
        <v>31</v>
      </c>
      <c r="L6" s="298"/>
      <c r="M6" s="289">
        <v>0</v>
      </c>
      <c r="N6" s="296">
        <v>0</v>
      </c>
      <c r="O6" s="297">
        <v>0</v>
      </c>
      <c r="P6" s="291"/>
      <c r="Q6" s="292"/>
      <c r="R6" s="302" t="s">
        <v>38</v>
      </c>
    </row>
    <row r="7" ht="23" customHeight="1" spans="1:18">
      <c r="A7" s="289">
        <v>5</v>
      </c>
      <c r="B7" s="299"/>
      <c r="C7" s="291" t="s">
        <v>39</v>
      </c>
      <c r="D7" s="289">
        <v>22221201</v>
      </c>
      <c r="E7" s="292" t="s">
        <v>40</v>
      </c>
      <c r="F7" s="293" t="s">
        <v>41</v>
      </c>
      <c r="G7" s="291" t="s">
        <v>23</v>
      </c>
      <c r="H7" s="293" t="s">
        <v>24</v>
      </c>
      <c r="I7" s="293" t="s">
        <v>25</v>
      </c>
      <c r="J7" s="294">
        <v>0.99</v>
      </c>
      <c r="K7" s="295" t="s">
        <v>42</v>
      </c>
      <c r="L7" s="293"/>
      <c r="M7" s="289">
        <v>1</v>
      </c>
      <c r="N7" s="296">
        <v>1</v>
      </c>
      <c r="O7" s="297" t="str">
        <f t="shared" ref="O7:O15" si="1">N7-M7&amp;"("&amp;ROUND(((N7-M7)/M7*100),0)&amp;"%)"</f>
        <v>0(0%)</v>
      </c>
      <c r="P7" s="298"/>
      <c r="Q7" s="292"/>
      <c r="R7" s="301"/>
    </row>
    <row r="8" ht="23" customHeight="1" spans="1:18">
      <c r="A8" s="289">
        <v>6</v>
      </c>
      <c r="B8" s="299"/>
      <c r="C8" s="293"/>
      <c r="D8" s="289">
        <v>22250314</v>
      </c>
      <c r="E8" s="292" t="s">
        <v>43</v>
      </c>
      <c r="F8" s="293" t="s">
        <v>44</v>
      </c>
      <c r="G8" s="293" t="s">
        <v>29</v>
      </c>
      <c r="H8" s="293" t="s">
        <v>30</v>
      </c>
      <c r="I8" s="303" t="s">
        <v>45</v>
      </c>
      <c r="J8" s="304">
        <v>0.95</v>
      </c>
      <c r="K8" s="295" t="s">
        <v>46</v>
      </c>
      <c r="L8" s="293"/>
      <c r="M8" s="296">
        <v>7</v>
      </c>
      <c r="N8" s="296">
        <v>6</v>
      </c>
      <c r="O8" s="297" t="str">
        <f t="shared" si="1"/>
        <v>-1(-14%)</v>
      </c>
      <c r="P8" s="305" t="s">
        <v>47</v>
      </c>
      <c r="Q8" s="292"/>
      <c r="R8" s="301" t="s">
        <v>48</v>
      </c>
    </row>
    <row r="9" ht="23" customHeight="1" spans="1:18">
      <c r="A9" s="289">
        <v>7</v>
      </c>
      <c r="B9" s="299"/>
      <c r="C9" s="293"/>
      <c r="D9" s="296" t="s">
        <v>49</v>
      </c>
      <c r="E9" s="306" t="s">
        <v>50</v>
      </c>
      <c r="F9" s="301" t="s">
        <v>51</v>
      </c>
      <c r="G9" s="301" t="s">
        <v>29</v>
      </c>
      <c r="H9" s="301" t="s">
        <v>52</v>
      </c>
      <c r="I9" s="301" t="s">
        <v>25</v>
      </c>
      <c r="J9" s="294" t="s">
        <v>26</v>
      </c>
      <c r="K9" s="297" t="s">
        <v>46</v>
      </c>
      <c r="L9" s="301"/>
      <c r="M9" s="296">
        <v>7</v>
      </c>
      <c r="N9" s="296">
        <v>8</v>
      </c>
      <c r="O9" s="297" t="str">
        <f t="shared" si="1"/>
        <v>1(14%)</v>
      </c>
      <c r="P9" s="298"/>
      <c r="Q9" s="292"/>
      <c r="R9" s="301" t="s">
        <v>53</v>
      </c>
    </row>
    <row r="10" ht="23" customHeight="1" spans="1:18">
      <c r="A10" s="289">
        <v>8</v>
      </c>
      <c r="B10" s="299"/>
      <c r="C10" s="293"/>
      <c r="D10" s="296"/>
      <c r="E10" s="306" t="s">
        <v>54</v>
      </c>
      <c r="F10" s="301" t="s">
        <v>55</v>
      </c>
      <c r="G10" s="301" t="s">
        <v>35</v>
      </c>
      <c r="H10" s="293" t="s">
        <v>56</v>
      </c>
      <c r="I10" s="301" t="s">
        <v>25</v>
      </c>
      <c r="J10" s="304"/>
      <c r="K10" s="297" t="s">
        <v>42</v>
      </c>
      <c r="L10" s="301"/>
      <c r="M10" s="296">
        <v>13.5</v>
      </c>
      <c r="N10" s="296">
        <v>9</v>
      </c>
      <c r="O10" s="296" t="str">
        <f t="shared" si="1"/>
        <v>-4.5(-33%)</v>
      </c>
      <c r="P10" s="302"/>
      <c r="Q10" s="306"/>
      <c r="R10" s="302" t="s">
        <v>57</v>
      </c>
    </row>
    <row r="11" ht="23" customHeight="1" spans="1:18">
      <c r="A11" s="289">
        <v>9</v>
      </c>
      <c r="B11" s="299"/>
      <c r="C11" s="291" t="s">
        <v>58</v>
      </c>
      <c r="D11" s="296">
        <v>22240822</v>
      </c>
      <c r="E11" s="306" t="s">
        <v>59</v>
      </c>
      <c r="F11" s="301" t="s">
        <v>60</v>
      </c>
      <c r="G11" s="301" t="s">
        <v>29</v>
      </c>
      <c r="H11" s="293" t="s">
        <v>30</v>
      </c>
      <c r="I11" s="301" t="s">
        <v>25</v>
      </c>
      <c r="J11" s="304">
        <v>1</v>
      </c>
      <c r="K11" s="297" t="s">
        <v>31</v>
      </c>
      <c r="L11" s="301"/>
      <c r="M11" s="296">
        <v>6</v>
      </c>
      <c r="N11" s="296">
        <v>0.5</v>
      </c>
      <c r="O11" s="297" t="str">
        <f t="shared" si="1"/>
        <v>-5.5(-92%)</v>
      </c>
      <c r="P11" s="302"/>
      <c r="Q11" s="306"/>
      <c r="R11" s="301" t="s">
        <v>61</v>
      </c>
    </row>
    <row r="12" ht="23" customHeight="1" spans="1:18">
      <c r="A12" s="289">
        <v>10</v>
      </c>
      <c r="B12" s="299"/>
      <c r="C12" s="293"/>
      <c r="D12" s="296">
        <v>23251211</v>
      </c>
      <c r="E12" s="306" t="s">
        <v>62</v>
      </c>
      <c r="F12" s="301" t="s">
        <v>63</v>
      </c>
      <c r="G12" s="301" t="s">
        <v>29</v>
      </c>
      <c r="H12" s="301" t="s">
        <v>56</v>
      </c>
      <c r="I12" s="301" t="s">
        <v>25</v>
      </c>
      <c r="J12" s="304">
        <v>0.85</v>
      </c>
      <c r="K12" s="297" t="s">
        <v>64</v>
      </c>
      <c r="L12" s="301"/>
      <c r="M12" s="296">
        <v>6</v>
      </c>
      <c r="N12" s="296">
        <v>9</v>
      </c>
      <c r="O12" s="307" t="str">
        <f t="shared" si="1"/>
        <v>3(50%)</v>
      </c>
      <c r="P12" s="302"/>
      <c r="Q12" s="306"/>
      <c r="R12" s="301"/>
    </row>
    <row r="13" ht="23" customHeight="1" spans="1:18">
      <c r="A13" s="289">
        <v>11</v>
      </c>
      <c r="B13" s="299"/>
      <c r="C13" s="293"/>
      <c r="D13" s="289">
        <v>121018</v>
      </c>
      <c r="E13" s="292" t="s">
        <v>65</v>
      </c>
      <c r="F13" s="293" t="s">
        <v>66</v>
      </c>
      <c r="G13" s="293" t="s">
        <v>67</v>
      </c>
      <c r="H13" s="293" t="s">
        <v>68</v>
      </c>
      <c r="I13" s="293" t="s">
        <v>25</v>
      </c>
      <c r="J13" s="294" t="s">
        <v>26</v>
      </c>
      <c r="K13" s="295"/>
      <c r="L13" s="293"/>
      <c r="M13" s="296">
        <v>17.5</v>
      </c>
      <c r="N13" s="296">
        <v>19</v>
      </c>
      <c r="O13" s="307" t="str">
        <f t="shared" si="1"/>
        <v>1.5(9%)</v>
      </c>
      <c r="P13" s="291"/>
      <c r="Q13" s="292"/>
      <c r="R13" s="301"/>
    </row>
    <row r="14" ht="23" customHeight="1" spans="1:18">
      <c r="A14" s="289">
        <v>12</v>
      </c>
      <c r="B14" s="299"/>
      <c r="C14" s="291" t="s">
        <v>69</v>
      </c>
      <c r="D14" s="289">
        <v>222201001</v>
      </c>
      <c r="E14" s="292" t="s">
        <v>70</v>
      </c>
      <c r="F14" s="293" t="s">
        <v>71</v>
      </c>
      <c r="G14" s="291" t="s">
        <v>35</v>
      </c>
      <c r="H14" s="293" t="s">
        <v>24</v>
      </c>
      <c r="I14" s="293" t="s">
        <v>25</v>
      </c>
      <c r="J14" s="294" t="s">
        <v>26</v>
      </c>
      <c r="K14" s="295" t="s">
        <v>31</v>
      </c>
      <c r="L14" s="298"/>
      <c r="M14" s="296">
        <v>1</v>
      </c>
      <c r="N14" s="296">
        <v>0.5</v>
      </c>
      <c r="O14" s="307" t="str">
        <f t="shared" si="1"/>
        <v>-0.5(-50%)</v>
      </c>
      <c r="P14" s="291"/>
      <c r="Q14" s="292"/>
      <c r="R14" s="301" t="s">
        <v>72</v>
      </c>
    </row>
    <row r="15" ht="41" customHeight="1" spans="1:18">
      <c r="A15" s="289">
        <v>13</v>
      </c>
      <c r="B15" s="299"/>
      <c r="C15" s="293"/>
      <c r="D15" s="289">
        <v>22220905</v>
      </c>
      <c r="E15" s="292" t="s">
        <v>73</v>
      </c>
      <c r="F15" s="293" t="s">
        <v>71</v>
      </c>
      <c r="G15" s="291" t="s">
        <v>35</v>
      </c>
      <c r="H15" s="293" t="s">
        <v>24</v>
      </c>
      <c r="I15" s="293" t="s">
        <v>25</v>
      </c>
      <c r="J15" s="294" t="s">
        <v>26</v>
      </c>
      <c r="K15" s="295" t="s">
        <v>27</v>
      </c>
      <c r="L15" s="298"/>
      <c r="M15" s="296">
        <v>0</v>
      </c>
      <c r="N15" s="296">
        <v>2</v>
      </c>
      <c r="O15" s="307" t="s">
        <v>74</v>
      </c>
      <c r="P15" s="298"/>
      <c r="Q15" s="292"/>
      <c r="R15" s="301" t="s">
        <v>75</v>
      </c>
    </row>
    <row r="16" ht="23" customHeight="1" spans="1:18">
      <c r="A16" s="289">
        <v>14</v>
      </c>
      <c r="B16" s="299"/>
      <c r="C16" s="293"/>
      <c r="D16" s="289">
        <v>21250326</v>
      </c>
      <c r="E16" s="292" t="s">
        <v>76</v>
      </c>
      <c r="F16" s="293" t="s">
        <v>71</v>
      </c>
      <c r="G16" s="291" t="s">
        <v>29</v>
      </c>
      <c r="H16" s="293" t="s">
        <v>77</v>
      </c>
      <c r="I16" s="308" t="s">
        <v>78</v>
      </c>
      <c r="J16" s="304">
        <v>0.8</v>
      </c>
      <c r="K16" s="295" t="s">
        <v>79</v>
      </c>
      <c r="L16" s="291"/>
      <c r="M16" s="296">
        <v>18.5</v>
      </c>
      <c r="N16" s="296">
        <v>11</v>
      </c>
      <c r="O16" s="297" t="str">
        <f t="shared" ref="O15:O23" si="2">N16-M16&amp;"("&amp;ROUND(((N16-M16)/M16*100),0)&amp;"%)"</f>
        <v>-7.5(-41%)</v>
      </c>
      <c r="P16" s="298"/>
      <c r="Q16" s="292"/>
      <c r="R16" s="303" t="s">
        <v>80</v>
      </c>
    </row>
    <row r="17" ht="23" customHeight="1" spans="1:18">
      <c r="A17" s="289">
        <v>15</v>
      </c>
      <c r="B17" s="299"/>
      <c r="C17" s="293"/>
      <c r="D17" s="289" t="s">
        <v>81</v>
      </c>
      <c r="E17" s="292" t="s">
        <v>82</v>
      </c>
      <c r="F17" s="293" t="s">
        <v>83</v>
      </c>
      <c r="G17" s="291" t="s">
        <v>29</v>
      </c>
      <c r="H17" s="293" t="s">
        <v>84</v>
      </c>
      <c r="I17" s="293" t="s">
        <v>25</v>
      </c>
      <c r="J17" s="304">
        <v>1</v>
      </c>
      <c r="K17" s="295" t="s">
        <v>79</v>
      </c>
      <c r="L17" s="291"/>
      <c r="M17" s="296">
        <v>1.5</v>
      </c>
      <c r="N17" s="296">
        <v>0</v>
      </c>
      <c r="O17" s="297" t="str">
        <f>N17-M17&amp;"("&amp;ROUND(((N17-M17)/M17*100),0)&amp;"%)"</f>
        <v>-1.5(-100%)</v>
      </c>
      <c r="P17" s="298"/>
      <c r="Q17" s="292"/>
      <c r="R17" s="293" t="s">
        <v>85</v>
      </c>
    </row>
    <row r="18" ht="23" customHeight="1" spans="1:18">
      <c r="A18" s="289">
        <v>16</v>
      </c>
      <c r="B18" s="299"/>
      <c r="C18" s="291" t="s">
        <v>86</v>
      </c>
      <c r="D18" s="289" t="s">
        <v>87</v>
      </c>
      <c r="E18" s="292" t="s">
        <v>88</v>
      </c>
      <c r="F18" s="293" t="s">
        <v>89</v>
      </c>
      <c r="G18" s="293" t="s">
        <v>29</v>
      </c>
      <c r="H18" s="293" t="s">
        <v>30</v>
      </c>
      <c r="I18" s="293" t="s">
        <v>25</v>
      </c>
      <c r="J18" s="294" t="s">
        <v>26</v>
      </c>
      <c r="K18" s="295"/>
      <c r="L18" s="293"/>
      <c r="M18" s="296">
        <v>7</v>
      </c>
      <c r="N18" s="296">
        <v>5</v>
      </c>
      <c r="O18" s="307" t="str">
        <f t="shared" si="2"/>
        <v>-2(-29%)</v>
      </c>
      <c r="P18" s="298"/>
      <c r="Q18" s="292"/>
      <c r="R18" s="291" t="s">
        <v>90</v>
      </c>
    </row>
    <row r="19" ht="23" customHeight="1" spans="1:18">
      <c r="A19" s="289">
        <v>17</v>
      </c>
      <c r="B19" s="299"/>
      <c r="C19" s="293"/>
      <c r="D19" s="296"/>
      <c r="E19" s="292" t="s">
        <v>91</v>
      </c>
      <c r="F19" s="293" t="s">
        <v>89</v>
      </c>
      <c r="G19" s="293" t="s">
        <v>29</v>
      </c>
      <c r="H19" s="301" t="s">
        <v>52</v>
      </c>
      <c r="I19" s="293" t="s">
        <v>25</v>
      </c>
      <c r="J19" s="294" t="s">
        <v>26</v>
      </c>
      <c r="K19" s="295"/>
      <c r="L19" s="293"/>
      <c r="M19" s="296">
        <v>3</v>
      </c>
      <c r="N19" s="296">
        <v>5</v>
      </c>
      <c r="O19" s="307" t="str">
        <f t="shared" si="2"/>
        <v>2(67%)</v>
      </c>
      <c r="P19" s="298"/>
      <c r="Q19" s="292"/>
      <c r="R19" s="302"/>
    </row>
    <row r="20" ht="23" customHeight="1" spans="1:18">
      <c r="A20" s="289">
        <v>18</v>
      </c>
      <c r="B20" s="299"/>
      <c r="C20" s="291" t="s">
        <v>92</v>
      </c>
      <c r="D20" s="289" t="s">
        <v>93</v>
      </c>
      <c r="E20" s="292" t="s">
        <v>94</v>
      </c>
      <c r="F20" s="293" t="s">
        <v>95</v>
      </c>
      <c r="G20" s="293" t="s">
        <v>29</v>
      </c>
      <c r="H20" s="301" t="s">
        <v>52</v>
      </c>
      <c r="I20" s="293" t="s">
        <v>25</v>
      </c>
      <c r="J20" s="294" t="s">
        <v>26</v>
      </c>
      <c r="K20" s="295"/>
      <c r="L20" s="293"/>
      <c r="M20" s="296">
        <v>21.5</v>
      </c>
      <c r="N20" s="296">
        <v>18</v>
      </c>
      <c r="O20" s="307" t="str">
        <f t="shared" si="2"/>
        <v>-3.5(-16%)</v>
      </c>
      <c r="P20" s="302"/>
      <c r="Q20" s="306"/>
      <c r="R20" s="301"/>
    </row>
    <row r="21" ht="23" customHeight="1" spans="1:18">
      <c r="A21" s="289">
        <v>19</v>
      </c>
      <c r="B21" s="299"/>
      <c r="C21" s="293"/>
      <c r="D21" s="289"/>
      <c r="E21" s="292" t="s">
        <v>96</v>
      </c>
      <c r="F21" s="293" t="s">
        <v>44</v>
      </c>
      <c r="G21" s="293" t="s">
        <v>29</v>
      </c>
      <c r="H21" s="301" t="s">
        <v>52</v>
      </c>
      <c r="I21" s="293" t="s">
        <v>25</v>
      </c>
      <c r="J21" s="294" t="s">
        <v>26</v>
      </c>
      <c r="K21" s="295"/>
      <c r="L21" s="293"/>
      <c r="M21" s="296">
        <v>9.5</v>
      </c>
      <c r="N21" s="296">
        <v>12.75</v>
      </c>
      <c r="O21" s="297" t="str">
        <f t="shared" si="2"/>
        <v>3.25(34%)</v>
      </c>
      <c r="P21" s="302"/>
      <c r="Q21" s="306"/>
      <c r="R21" s="301" t="s">
        <v>97</v>
      </c>
    </row>
    <row r="22" ht="23" customHeight="1" spans="1:18">
      <c r="A22" s="289">
        <v>20</v>
      </c>
      <c r="B22" s="299"/>
      <c r="C22" s="293"/>
      <c r="D22" s="289"/>
      <c r="E22" s="292" t="s">
        <v>98</v>
      </c>
      <c r="F22" s="293" t="s">
        <v>55</v>
      </c>
      <c r="G22" s="293" t="s">
        <v>29</v>
      </c>
      <c r="H22" s="301" t="s">
        <v>52</v>
      </c>
      <c r="I22" s="293" t="s">
        <v>25</v>
      </c>
      <c r="J22" s="294" t="s">
        <v>26</v>
      </c>
      <c r="K22" s="295"/>
      <c r="L22" s="291"/>
      <c r="M22" s="296">
        <v>19</v>
      </c>
      <c r="N22" s="296">
        <v>27.5</v>
      </c>
      <c r="O22" s="297" t="str">
        <f t="shared" si="2"/>
        <v>8.5(45%)</v>
      </c>
      <c r="P22" s="298"/>
      <c r="Q22" s="292"/>
      <c r="R22" s="301"/>
    </row>
    <row r="23" ht="23" customHeight="1" spans="1:18">
      <c r="A23" s="289">
        <v>21</v>
      </c>
      <c r="B23" s="299"/>
      <c r="C23" s="293"/>
      <c r="D23" s="289"/>
      <c r="E23" s="292" t="s">
        <v>99</v>
      </c>
      <c r="F23" s="293" t="s">
        <v>63</v>
      </c>
      <c r="G23" s="293" t="s">
        <v>29</v>
      </c>
      <c r="H23" s="301" t="s">
        <v>52</v>
      </c>
      <c r="I23" s="293" t="s">
        <v>25</v>
      </c>
      <c r="J23" s="294" t="s">
        <v>26</v>
      </c>
      <c r="K23" s="295"/>
      <c r="L23" s="291"/>
      <c r="M23" s="296">
        <v>29.5</v>
      </c>
      <c r="N23" s="296">
        <v>41.5</v>
      </c>
      <c r="O23" s="297" t="str">
        <f t="shared" si="2"/>
        <v>12(41%)</v>
      </c>
      <c r="P23" s="298"/>
      <c r="Q23" s="292"/>
      <c r="R23" s="301"/>
    </row>
    <row r="24" ht="38.25" customHeight="1" spans="1:18">
      <c r="A24" s="309"/>
      <c r="B24" s="310"/>
      <c r="C24" s="311"/>
      <c r="D24" s="311"/>
      <c r="E24" s="311"/>
      <c r="F24" s="311"/>
      <c r="G24" s="311"/>
      <c r="H24" s="312"/>
      <c r="I24" s="312"/>
      <c r="J24" s="313"/>
      <c r="K24" s="313"/>
      <c r="L24" s="312" t="s">
        <v>100</v>
      </c>
      <c r="M24" s="313">
        <f>SUM(M3:M23)</f>
        <v>191.5</v>
      </c>
      <c r="N24" s="313">
        <f>SUM(N3:N23)</f>
        <v>211.5</v>
      </c>
      <c r="O24" s="313"/>
      <c r="P24" s="314" t="s">
        <v>101</v>
      </c>
      <c r="Q24" s="315">
        <f>N24/34/5</f>
        <v>1.24411764705882</v>
      </c>
      <c r="R24" s="316"/>
    </row>
    <row r="25" ht="29" customHeight="1" spans="1:18">
      <c r="A25" s="317">
        <v>22</v>
      </c>
      <c r="B25" s="318" t="s">
        <v>102</v>
      </c>
      <c r="C25" s="318" t="s">
        <v>103</v>
      </c>
      <c r="D25" s="319" t="s">
        <v>104</v>
      </c>
      <c r="E25" s="320" t="s">
        <v>105</v>
      </c>
      <c r="F25" s="321" t="s">
        <v>106</v>
      </c>
      <c r="G25" s="321" t="s">
        <v>29</v>
      </c>
      <c r="H25" s="321" t="s">
        <v>107</v>
      </c>
      <c r="I25" s="321" t="s">
        <v>25</v>
      </c>
      <c r="J25" s="322">
        <v>0.5</v>
      </c>
      <c r="K25" s="323"/>
      <c r="L25" s="321"/>
      <c r="M25" s="319">
        <v>9</v>
      </c>
      <c r="N25" s="319">
        <v>8</v>
      </c>
      <c r="O25" s="297" t="str">
        <f>N25-M25&amp;"("&amp;ROUND(((N25-M25)/M25*100),0)&amp;"%)"</f>
        <v>-1(-11%)</v>
      </c>
      <c r="P25" s="324"/>
      <c r="Q25" s="320"/>
      <c r="R25" s="321"/>
    </row>
    <row r="26" ht="29" customHeight="1" spans="1:18">
      <c r="A26" s="317"/>
      <c r="B26" s="318"/>
      <c r="C26" s="318"/>
      <c r="D26" s="319"/>
      <c r="E26" s="320" t="s">
        <v>108</v>
      </c>
      <c r="F26" s="321" t="s">
        <v>109</v>
      </c>
      <c r="G26" s="321" t="s">
        <v>110</v>
      </c>
      <c r="H26" s="293" t="s">
        <v>77</v>
      </c>
      <c r="I26" s="321" t="s">
        <v>25</v>
      </c>
      <c r="J26" s="322" t="s">
        <v>23</v>
      </c>
      <c r="K26" s="323"/>
      <c r="L26" s="321"/>
      <c r="M26" s="296">
        <v>15.5</v>
      </c>
      <c r="N26" s="296">
        <v>1.5</v>
      </c>
      <c r="O26" s="297" t="str">
        <f>N26-M26&amp;"("&amp;ROUND(((N26-M26)/M26*100),0)&amp;"%)"</f>
        <v>-14(-90%)</v>
      </c>
      <c r="P26" s="324"/>
      <c r="Q26" s="320"/>
      <c r="R26" s="321" t="s">
        <v>111</v>
      </c>
    </row>
    <row r="27" ht="25" customHeight="1" spans="1:18">
      <c r="A27" s="289">
        <v>23</v>
      </c>
      <c r="B27" s="318"/>
      <c r="C27" s="318"/>
      <c r="D27" s="289"/>
      <c r="E27" s="292" t="s">
        <v>112</v>
      </c>
      <c r="F27" s="293" t="s">
        <v>113</v>
      </c>
      <c r="G27" s="321" t="s">
        <v>110</v>
      </c>
      <c r="H27" s="293" t="s">
        <v>107</v>
      </c>
      <c r="I27" s="293" t="s">
        <v>25</v>
      </c>
      <c r="J27" s="294"/>
      <c r="K27" s="295"/>
      <c r="L27" s="291"/>
      <c r="M27" s="325">
        <v>19</v>
      </c>
      <c r="N27" s="325">
        <v>25.5</v>
      </c>
      <c r="O27" s="297" t="str">
        <f>N27-M27&amp;"("&amp;ROUND(((N27-M27)/M27*100),0)&amp;"%)"</f>
        <v>6.5(34%)</v>
      </c>
      <c r="P27" s="298"/>
      <c r="Q27" s="292"/>
      <c r="R27" s="301"/>
    </row>
    <row r="28" ht="25" customHeight="1" spans="1:18">
      <c r="A28" s="326"/>
      <c r="B28" s="327"/>
      <c r="C28" s="328"/>
      <c r="D28" s="326"/>
      <c r="E28" s="329" t="s">
        <v>114</v>
      </c>
      <c r="F28" s="293" t="s">
        <v>113</v>
      </c>
      <c r="G28" s="321" t="s">
        <v>110</v>
      </c>
      <c r="H28" s="330" t="s">
        <v>107</v>
      </c>
      <c r="I28" s="330" t="s">
        <v>25</v>
      </c>
      <c r="J28" s="331"/>
      <c r="K28" s="332"/>
      <c r="L28" s="333"/>
      <c r="M28" s="334"/>
      <c r="N28" s="334">
        <v>7</v>
      </c>
      <c r="O28" s="335">
        <v>7</v>
      </c>
      <c r="P28" s="336"/>
      <c r="Q28" s="329"/>
      <c r="R28" s="337"/>
    </row>
    <row r="29" ht="41" customHeight="1" spans="1:18">
      <c r="A29" s="309"/>
      <c r="B29" s="338"/>
      <c r="C29" s="311"/>
      <c r="D29" s="311"/>
      <c r="E29" s="311"/>
      <c r="F29" s="311"/>
      <c r="G29" s="311"/>
      <c r="H29" s="312"/>
      <c r="I29" s="312"/>
      <c r="J29" s="313"/>
      <c r="K29" s="313"/>
      <c r="L29" s="312" t="s">
        <v>100</v>
      </c>
      <c r="M29" s="313">
        <f>SUM(M25:M28)</f>
        <v>43.5</v>
      </c>
      <c r="N29" s="313">
        <v>42</v>
      </c>
      <c r="O29" s="313"/>
      <c r="P29" s="314" t="s">
        <v>101</v>
      </c>
      <c r="Q29" s="315">
        <f>N29/10/5</f>
        <v>0.84</v>
      </c>
      <c r="R29" s="316"/>
    </row>
    <row r="30" ht="23" customHeight="1" spans="1:18">
      <c r="A30" s="317">
        <v>24</v>
      </c>
      <c r="B30" s="318" t="s">
        <v>115</v>
      </c>
      <c r="C30" s="339" t="s">
        <v>103</v>
      </c>
      <c r="D30" s="319" t="s">
        <v>116</v>
      </c>
      <c r="E30" s="340" t="s">
        <v>117</v>
      </c>
      <c r="F30" s="321" t="s">
        <v>118</v>
      </c>
      <c r="G30" s="341" t="s">
        <v>29</v>
      </c>
      <c r="H30" s="321" t="s">
        <v>77</v>
      </c>
      <c r="I30" s="321" t="s">
        <v>25</v>
      </c>
      <c r="J30" s="322">
        <v>0.95</v>
      </c>
      <c r="K30" s="323" t="s">
        <v>31</v>
      </c>
      <c r="L30" s="321"/>
      <c r="M30" s="319">
        <v>23.8</v>
      </c>
      <c r="N30" s="319">
        <v>20</v>
      </c>
      <c r="O30" s="323" t="str">
        <f>ROUND(N30-M30,2)&amp;"("&amp;ROUND(((N30-M30)/M30)*100,0)&amp;"%)"</f>
        <v>-3.8(-16%)</v>
      </c>
      <c r="P30" s="342"/>
      <c r="Q30" s="320"/>
      <c r="R30" s="321"/>
    </row>
    <row r="31" ht="23" customHeight="1" spans="1:18">
      <c r="A31" s="317">
        <v>25</v>
      </c>
      <c r="B31" s="318"/>
      <c r="C31" s="291"/>
      <c r="D31" s="289">
        <v>21250418</v>
      </c>
      <c r="E31" s="306" t="s">
        <v>119</v>
      </c>
      <c r="F31" s="293" t="s">
        <v>120</v>
      </c>
      <c r="G31" s="293" t="s">
        <v>29</v>
      </c>
      <c r="H31" s="293" t="s">
        <v>84</v>
      </c>
      <c r="I31" s="293" t="s">
        <v>25</v>
      </c>
      <c r="J31" s="294" t="s">
        <v>26</v>
      </c>
      <c r="K31" s="289" t="s">
        <v>79</v>
      </c>
      <c r="L31" s="301"/>
      <c r="M31" s="296">
        <v>11.2</v>
      </c>
      <c r="N31" s="296">
        <v>13</v>
      </c>
      <c r="O31" s="323" t="str">
        <f>ROUND(N31-M31,2)&amp;"("&amp;ROUND(((N31-M31)/M31)*100,0)&amp;"%)"</f>
        <v>1.8(16%)</v>
      </c>
      <c r="P31" s="343"/>
      <c r="Q31" s="306"/>
      <c r="R31" s="302"/>
    </row>
    <row r="32" ht="23" customHeight="1" spans="1:18">
      <c r="A32" s="317">
        <v>26</v>
      </c>
      <c r="B32" s="318"/>
      <c r="C32" s="291"/>
      <c r="D32" s="296" t="s">
        <v>121</v>
      </c>
      <c r="E32" s="292" t="s">
        <v>122</v>
      </c>
      <c r="F32" s="301" t="s">
        <v>120</v>
      </c>
      <c r="G32" s="302" t="s">
        <v>29</v>
      </c>
      <c r="H32" s="301" t="s">
        <v>77</v>
      </c>
      <c r="I32" s="301" t="s">
        <v>25</v>
      </c>
      <c r="J32" s="304">
        <v>0.95</v>
      </c>
      <c r="K32" s="297" t="s">
        <v>31</v>
      </c>
      <c r="L32" s="301"/>
      <c r="M32" s="296">
        <v>1.2</v>
      </c>
      <c r="N32" s="296">
        <v>0</v>
      </c>
      <c r="O32" s="323" t="str">
        <f>ROUND(N32-M32,2)&amp;"("&amp;ROUND(((N32-M32)/M32)*100,0)&amp;"%)"</f>
        <v>-1.2(-100%)</v>
      </c>
      <c r="P32" s="343"/>
      <c r="Q32" s="306"/>
      <c r="R32" s="302"/>
    </row>
    <row r="33" ht="23" customHeight="1" spans="1:18">
      <c r="A33" s="317">
        <v>27</v>
      </c>
      <c r="B33" s="318"/>
      <c r="C33" s="291"/>
      <c r="D33" s="296" t="s">
        <v>123</v>
      </c>
      <c r="E33" s="306" t="s">
        <v>124</v>
      </c>
      <c r="F33" s="301" t="s">
        <v>120</v>
      </c>
      <c r="G33" s="302" t="s">
        <v>29</v>
      </c>
      <c r="H33" s="301" t="s">
        <v>30</v>
      </c>
      <c r="I33" s="301" t="s">
        <v>25</v>
      </c>
      <c r="J33" s="304">
        <v>0.95</v>
      </c>
      <c r="K33" s="297"/>
      <c r="L33" s="301"/>
      <c r="M33" s="296">
        <v>9</v>
      </c>
      <c r="N33" s="296">
        <v>15</v>
      </c>
      <c r="O33" s="323" t="str">
        <f>ROUND(N33-M33,2)&amp;"("&amp;ROUND(((N33-M33)/M33)*100,0)&amp;"%)"</f>
        <v>6(67%)</v>
      </c>
      <c r="P33" s="343"/>
      <c r="Q33" s="306"/>
      <c r="R33" s="302" t="s">
        <v>125</v>
      </c>
    </row>
    <row r="34" ht="23" customHeight="1" spans="1:18">
      <c r="A34" s="317">
        <v>28</v>
      </c>
      <c r="B34" s="318"/>
      <c r="C34" s="291"/>
      <c r="D34" s="289" t="s">
        <v>126</v>
      </c>
      <c r="E34" s="292" t="s">
        <v>127</v>
      </c>
      <c r="F34" s="301" t="s">
        <v>120</v>
      </c>
      <c r="G34" s="293" t="s">
        <v>29</v>
      </c>
      <c r="H34" s="293" t="s">
        <v>24</v>
      </c>
      <c r="I34" s="301" t="s">
        <v>25</v>
      </c>
      <c r="J34" s="304">
        <v>0.3</v>
      </c>
      <c r="K34" s="289" t="s">
        <v>79</v>
      </c>
      <c r="L34" s="292"/>
      <c r="M34" s="289">
        <v>0.3</v>
      </c>
      <c r="N34" s="289">
        <v>0</v>
      </c>
      <c r="O34" s="323" t="str">
        <f>ROUND(N34-M34,2)&amp;"("&amp;ROUND(((N34-M34)/M34)*100,0)&amp;"%)"</f>
        <v>-0.3(-100%)</v>
      </c>
      <c r="P34" s="292"/>
      <c r="Q34" s="306"/>
      <c r="R34" s="302"/>
    </row>
    <row r="35" ht="23" customHeight="1" spans="1:18">
      <c r="A35" s="317">
        <v>29</v>
      </c>
      <c r="B35" s="318"/>
      <c r="C35" s="291"/>
      <c r="D35" s="289" t="s">
        <v>128</v>
      </c>
      <c r="E35" s="292" t="s">
        <v>129</v>
      </c>
      <c r="F35" s="293" t="s">
        <v>120</v>
      </c>
      <c r="G35" s="293" t="s">
        <v>29</v>
      </c>
      <c r="H35" s="301" t="s">
        <v>52</v>
      </c>
      <c r="I35" s="293" t="s">
        <v>25</v>
      </c>
      <c r="J35" s="294" t="s">
        <v>130</v>
      </c>
      <c r="K35" s="295" t="s">
        <v>79</v>
      </c>
      <c r="L35" s="291"/>
      <c r="M35" s="289"/>
      <c r="N35" s="289"/>
      <c r="O35" s="323"/>
      <c r="P35" s="298"/>
      <c r="Q35" s="292"/>
      <c r="R35" s="302"/>
    </row>
    <row r="36" ht="23" customHeight="1" spans="1:18">
      <c r="A36" s="317">
        <v>30</v>
      </c>
      <c r="B36" s="318"/>
      <c r="C36" s="291"/>
      <c r="D36" s="289">
        <v>21250417</v>
      </c>
      <c r="E36" s="292" t="s">
        <v>131</v>
      </c>
      <c r="F36" s="293" t="s">
        <v>132</v>
      </c>
      <c r="G36" s="293" t="s">
        <v>29</v>
      </c>
      <c r="H36" s="301" t="s">
        <v>24</v>
      </c>
      <c r="I36" s="293" t="s">
        <v>25</v>
      </c>
      <c r="J36" s="294" t="s">
        <v>26</v>
      </c>
      <c r="K36" s="289" t="s">
        <v>79</v>
      </c>
      <c r="L36" s="292"/>
      <c r="M36" s="289"/>
      <c r="N36" s="289"/>
      <c r="O36" s="323"/>
      <c r="P36" s="292"/>
      <c r="Q36" s="292"/>
      <c r="R36" s="302"/>
    </row>
    <row r="37" ht="23" customHeight="1" spans="1:18">
      <c r="A37" s="317">
        <v>31</v>
      </c>
      <c r="B37" s="318"/>
      <c r="C37" s="291"/>
      <c r="D37" s="289"/>
      <c r="E37" s="306" t="s">
        <v>133</v>
      </c>
      <c r="F37" s="301"/>
      <c r="G37" s="302" t="s">
        <v>35</v>
      </c>
      <c r="H37" s="301" t="s">
        <v>68</v>
      </c>
      <c r="I37" s="293"/>
      <c r="J37" s="294"/>
      <c r="K37" s="295"/>
      <c r="L37" s="291"/>
      <c r="M37" s="289"/>
      <c r="N37" s="289"/>
      <c r="O37" s="323"/>
      <c r="P37" s="298"/>
      <c r="Q37" s="292"/>
      <c r="R37" s="302" t="s">
        <v>134</v>
      </c>
    </row>
    <row r="38" ht="23" customHeight="1" spans="1:18">
      <c r="A38" s="317">
        <v>32</v>
      </c>
      <c r="B38" s="318"/>
      <c r="C38" s="291"/>
      <c r="D38" s="289"/>
      <c r="E38" s="306" t="s">
        <v>135</v>
      </c>
      <c r="F38" s="293"/>
      <c r="G38" s="293" t="s">
        <v>136</v>
      </c>
      <c r="H38" s="293" t="s">
        <v>137</v>
      </c>
      <c r="I38" s="293"/>
      <c r="J38" s="294"/>
      <c r="K38" s="295"/>
      <c r="L38" s="291"/>
      <c r="M38" s="289"/>
      <c r="N38" s="289"/>
      <c r="O38" s="323"/>
      <c r="P38" s="298"/>
      <c r="Q38" s="292"/>
      <c r="R38" s="302"/>
    </row>
    <row r="39" ht="23" customHeight="1" spans="1:18">
      <c r="A39" s="317">
        <v>33</v>
      </c>
      <c r="B39" s="318"/>
      <c r="C39" s="344" t="s">
        <v>93</v>
      </c>
      <c r="D39" s="345"/>
      <c r="E39" s="292" t="s">
        <v>138</v>
      </c>
      <c r="F39" s="293" t="s">
        <v>139</v>
      </c>
      <c r="G39" s="293" t="s">
        <v>29</v>
      </c>
      <c r="H39" s="301"/>
      <c r="I39" s="301"/>
      <c r="J39" s="304"/>
      <c r="K39" s="297"/>
      <c r="L39" s="301"/>
      <c r="M39" s="296"/>
      <c r="N39" s="296"/>
      <c r="O39" s="323"/>
      <c r="P39" s="343"/>
      <c r="Q39" s="306"/>
      <c r="R39" s="302"/>
    </row>
    <row r="40" ht="47" customHeight="1" spans="1:18">
      <c r="A40" s="309"/>
      <c r="B40" s="338"/>
      <c r="C40" s="311"/>
      <c r="D40" s="311"/>
      <c r="E40" s="311"/>
      <c r="F40" s="311"/>
      <c r="G40" s="311"/>
      <c r="H40" s="312"/>
      <c r="I40" s="312"/>
      <c r="J40" s="313"/>
      <c r="K40" s="313"/>
      <c r="L40" s="312" t="s">
        <v>100</v>
      </c>
      <c r="M40" s="313">
        <f>SUM(M30:M39)</f>
        <v>45.5</v>
      </c>
      <c r="N40" s="313">
        <v>48</v>
      </c>
      <c r="O40" s="313"/>
      <c r="P40" s="314" t="s">
        <v>101</v>
      </c>
      <c r="Q40" s="315">
        <f>N40/7/5</f>
        <v>1.37142857142857</v>
      </c>
      <c r="R40" s="316"/>
    </row>
    <row r="41" ht="28" customHeight="1" spans="1:18">
      <c r="A41" s="317">
        <v>34</v>
      </c>
      <c r="B41" s="318" t="s">
        <v>140</v>
      </c>
      <c r="C41" s="346" t="s">
        <v>103</v>
      </c>
      <c r="D41" s="317">
        <v>22210906</v>
      </c>
      <c r="E41" s="340" t="s">
        <v>141</v>
      </c>
      <c r="F41" s="346" t="s">
        <v>60</v>
      </c>
      <c r="G41" s="346" t="s">
        <v>23</v>
      </c>
      <c r="H41" s="346" t="s">
        <v>77</v>
      </c>
      <c r="I41" s="346" t="s">
        <v>25</v>
      </c>
      <c r="J41" s="347" t="s">
        <v>23</v>
      </c>
      <c r="K41" s="317"/>
      <c r="L41" s="346"/>
      <c r="M41" s="317">
        <v>50</v>
      </c>
      <c r="N41" s="319">
        <v>45.5</v>
      </c>
      <c r="O41" s="348" t="str">
        <f>N41-M41&amp;"("&amp;ROUND(((N41-M41)/M41*100),0)&amp;"%)"</f>
        <v>-4.5(-9%)</v>
      </c>
      <c r="P41" s="349"/>
      <c r="Q41" s="340"/>
      <c r="R41" s="339"/>
    </row>
    <row r="42" ht="40" customHeight="1" spans="1:18">
      <c r="A42" s="309"/>
      <c r="B42" s="310"/>
      <c r="C42" s="311"/>
      <c r="D42" s="311"/>
      <c r="E42" s="311"/>
      <c r="F42" s="311"/>
      <c r="G42" s="311"/>
      <c r="H42" s="312" t="s">
        <v>142</v>
      </c>
      <c r="I42" s="312"/>
      <c r="J42" s="313">
        <f>M42</f>
        <v>50</v>
      </c>
      <c r="K42" s="313"/>
      <c r="L42" s="312" t="s">
        <v>143</v>
      </c>
      <c r="M42" s="313">
        <f>SUM(M41:M41)</f>
        <v>50</v>
      </c>
      <c r="N42" s="313">
        <f>SUM(N41)</f>
        <v>45.5</v>
      </c>
      <c r="O42" s="313"/>
      <c r="P42" s="314" t="s">
        <v>101</v>
      </c>
      <c r="Q42" s="315">
        <f>N42/22/5</f>
        <v>0.413636363636364</v>
      </c>
      <c r="R42" s="316"/>
    </row>
    <row r="43" ht="43.2" customHeight="1" spans="1:18">
      <c r="A43" s="350"/>
      <c r="B43" s="351"/>
      <c r="C43" s="351"/>
      <c r="D43" s="350"/>
      <c r="E43" s="352"/>
      <c r="F43" s="351"/>
    </row>
    <row r="44" ht="43.2" customHeight="1" spans="1:18">
      <c r="A44" s="350"/>
      <c r="B44" s="351"/>
      <c r="C44" s="351"/>
      <c r="D44" s="350"/>
      <c r="E44" s="352"/>
      <c r="F44" s="351"/>
    </row>
    <row r="45" ht="15.6" spans="1:18">
      <c r="A45" s="353"/>
      <c r="B45" s="352"/>
      <c r="C45" s="352"/>
      <c r="D45" s="353"/>
      <c r="E45" s="352"/>
      <c r="F45" s="352"/>
    </row>
    <row r="46" ht="15.6" customHeight="1" spans="1:18">
      <c r="A46" s="353"/>
      <c r="B46" s="352"/>
      <c r="C46" s="352"/>
      <c r="D46" s="353"/>
      <c r="E46" s="352"/>
      <c r="F46" s="352"/>
    </row>
    <row r="47" ht="15.6" spans="1:18">
      <c r="A47" s="353"/>
      <c r="B47" s="352"/>
      <c r="C47" s="352"/>
      <c r="D47" s="353"/>
      <c r="E47" s="352"/>
      <c r="F47" s="352"/>
    </row>
    <row r="48" ht="15.6" spans="1:18">
      <c r="A48" s="353"/>
      <c r="B48" s="352"/>
      <c r="C48" s="352"/>
      <c r="D48" s="353"/>
      <c r="E48" s="352"/>
      <c r="F48" s="352"/>
    </row>
    <row r="49" ht="15.6" spans="1:6">
      <c r="A49" s="353"/>
      <c r="B49" s="352"/>
      <c r="C49" s="352"/>
      <c r="D49" s="353"/>
      <c r="E49" s="352"/>
      <c r="F49" s="352"/>
    </row>
    <row r="50" ht="15.6" spans="1:6">
      <c r="A50" s="353"/>
      <c r="B50" s="352"/>
      <c r="C50" s="352"/>
      <c r="D50" s="353"/>
      <c r="E50" s="352"/>
      <c r="F50" s="352"/>
    </row>
    <row r="51" spans="1:6">
      <c r="A51" s="44"/>
      <c r="B51" s="354"/>
      <c r="C51" s="354"/>
      <c r="D51" s="44"/>
      <c r="E51" s="354"/>
      <c r="F51" s="354"/>
    </row>
    <row r="52" spans="1:6">
      <c r="A52" s="44"/>
      <c r="B52" s="354"/>
      <c r="C52" s="354"/>
      <c r="D52" s="44"/>
      <c r="E52" s="354"/>
      <c r="F52" s="354"/>
    </row>
  </sheetData>
  <mergeCells count="27">
    <mergeCell ref="A1:R1"/>
    <mergeCell ref="C24:G24"/>
    <mergeCell ref="H24:I24"/>
    <mergeCell ref="J24:K24"/>
    <mergeCell ref="C29:G29"/>
    <mergeCell ref="H29:I29"/>
    <mergeCell ref="J29:K29"/>
    <mergeCell ref="C39:D39"/>
    <mergeCell ref="C40:G40"/>
    <mergeCell ref="H40:I40"/>
    <mergeCell ref="J40:K40"/>
    <mergeCell ref="C42:G42"/>
    <mergeCell ref="H42:I42"/>
    <mergeCell ref="J42:K42"/>
    <mergeCell ref="B3:B24"/>
    <mergeCell ref="B25:B29"/>
    <mergeCell ref="B30:B40"/>
    <mergeCell ref="B41:B42"/>
    <mergeCell ref="C3:C6"/>
    <mergeCell ref="C7:C10"/>
    <mergeCell ref="C11:C13"/>
    <mergeCell ref="C14:C17"/>
    <mergeCell ref="C18:C19"/>
    <mergeCell ref="C20:C23"/>
    <mergeCell ref="C25:C27"/>
    <mergeCell ref="C30:C38"/>
    <mergeCell ref="D20:D23"/>
  </mergeCells>
  <dataValidations count="7">
    <dataValidation type="list" allowBlank="1" showInputMessage="1" showErrorMessage="1" sqref="H8 H41 H12:H13">
      <formula1>"售前,立项,需求,开发,发布,实施,验收"</formula1>
    </dataValidation>
    <dataValidation type="list" allowBlank="1" showInputMessage="1" showErrorMessage="1" sqref="H9 H30 H19:H23 H32:H33 H35:H37">
      <formula1>"售前,立项,需求,开发,发布,实施,验收,上线运行,维护"</formula1>
    </dataValidation>
    <dataValidation type="list" allowBlank="1" showInputMessage="1" showErrorMessage="1" sqref="H25 H31 H39">
      <formula1>"售前,立项,需求,设计,开发,发布,实施,验收"</formula1>
    </dataValidation>
    <dataValidation type="list" allowBlank="1" showInputMessage="1" showErrorMessage="1" sqref="H28 H34 H3:H7 H10:H11 H14:H18 H26:H27">
      <formula1>"售前,立项,需求,开发,发布,实施,验收,上线运行"</formula1>
    </dataValidation>
    <dataValidation type="list" allowBlank="1" showInputMessage="1" showErrorMessage="1" sqref="I28 I41 I3:I23 I25:I27 I30:I33 I35:I39">
      <formula1>"长期项目,正常,提前,延迟,严重延迟"</formula1>
    </dataValidation>
    <dataValidation type="list" allowBlank="1" showInputMessage="1" showErrorMessage="1" sqref="I34">
      <formula1>"长期项目,正常,提前,延迟,严重延迟,暂停"</formula1>
    </dataValidation>
    <dataValidation type="list" allowBlank="1" showInputMessage="1" showErrorMessage="1" sqref="H38">
      <formula1>"售前,立项,需求,设计,开发,发布,实施,验收,挂起,暂停"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Z50"/>
  <sheetViews>
    <sheetView workbookViewId="0">
      <pane ySplit="1" topLeftCell="A2" activePane="bottomLeft" state="frozen"/>
      <selection/>
      <selection pane="bottomLeft" activeCell="L19" sqref="L19"/>
    </sheetView>
  </sheetViews>
  <sheetFormatPr defaultColWidth="9.11111111111111" defaultRowHeight="13.2"/>
  <cols>
    <col min="1" max="1" width="22.4444444444444" style="1" customWidth="1"/>
    <col min="2" max="2" width="11.6666666666667" style="1" customWidth="1"/>
    <col min="3" max="5" width="9.11111111111111" style="1"/>
    <col min="6" max="6" width="19.5555555555556" style="1" customWidth="1"/>
    <col min="7" max="7" width="9.11111111111111" style="1"/>
    <col min="8" max="8" width="59.6666666666667" style="1" customWidth="1"/>
    <col min="9" max="11" width="9.11111111111111" style="1"/>
    <col min="12" max="12" width="19.5555555555556" style="2" customWidth="1"/>
    <col min="13" max="16384" width="9.11111111111111" style="1"/>
  </cols>
  <sheetData>
    <row r="1" ht="69.6" spans="1:26">
      <c r="A1" s="3" t="s">
        <v>144</v>
      </c>
      <c r="B1" s="4" t="s">
        <v>6</v>
      </c>
      <c r="C1" s="3" t="s">
        <v>145</v>
      </c>
      <c r="D1" s="3" t="s">
        <v>146</v>
      </c>
      <c r="E1" s="4" t="s">
        <v>147</v>
      </c>
      <c r="F1" s="3" t="s">
        <v>148</v>
      </c>
      <c r="G1" s="3" t="s">
        <v>1</v>
      </c>
      <c r="H1" s="5" t="s">
        <v>149</v>
      </c>
      <c r="I1" s="3" t="s">
        <v>150</v>
      </c>
      <c r="J1" s="6" t="s">
        <v>151</v>
      </c>
      <c r="K1" s="3" t="s">
        <v>152</v>
      </c>
      <c r="L1" s="7" t="s">
        <v>153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6" spans="1:26">
      <c r="A2" s="3" t="s">
        <v>154</v>
      </c>
      <c r="B2" s="17" t="s">
        <v>22</v>
      </c>
      <c r="C2" s="355" t="s">
        <v>155</v>
      </c>
      <c r="D2" s="13"/>
      <c r="E2" s="30" t="s">
        <v>156</v>
      </c>
      <c r="F2" s="13" t="s">
        <v>77</v>
      </c>
      <c r="G2" s="13">
        <v>1</v>
      </c>
      <c r="H2" s="60" t="s">
        <v>157</v>
      </c>
      <c r="I2" s="15" t="s">
        <v>22</v>
      </c>
      <c r="J2" s="16">
        <v>1</v>
      </c>
      <c r="K2" s="13"/>
      <c r="L2" s="17">
        <v>0.5</v>
      </c>
    </row>
    <row r="3" ht="15.6" spans="1:26">
      <c r="A3" s="3"/>
      <c r="B3" s="17"/>
      <c r="C3" s="13"/>
      <c r="D3" s="13"/>
      <c r="E3" s="30"/>
      <c r="F3" s="13"/>
      <c r="G3" s="13">
        <v>2</v>
      </c>
      <c r="H3" s="60" t="s">
        <v>158</v>
      </c>
      <c r="I3" s="15" t="s">
        <v>22</v>
      </c>
      <c r="J3" s="16">
        <v>1</v>
      </c>
      <c r="K3" s="13"/>
      <c r="L3" s="17">
        <v>0.5</v>
      </c>
    </row>
    <row r="4" ht="30" spans="1:26">
      <c r="A4" s="3"/>
      <c r="B4" s="17"/>
      <c r="C4" s="13"/>
      <c r="D4" s="13"/>
      <c r="E4" s="30"/>
      <c r="F4" s="13"/>
      <c r="G4" s="13">
        <v>3</v>
      </c>
      <c r="H4" s="60" t="s">
        <v>159</v>
      </c>
      <c r="I4" s="15" t="s">
        <v>22</v>
      </c>
      <c r="J4" s="16">
        <v>1</v>
      </c>
      <c r="K4" s="13"/>
      <c r="L4" s="17">
        <v>0.25</v>
      </c>
    </row>
    <row r="5" ht="15.6" spans="1:26">
      <c r="A5" s="3"/>
      <c r="B5" s="17"/>
      <c r="C5" s="13"/>
      <c r="D5" s="13"/>
      <c r="E5" s="30"/>
      <c r="F5" s="13"/>
      <c r="G5" s="13">
        <v>4</v>
      </c>
      <c r="H5" s="60" t="s">
        <v>160</v>
      </c>
      <c r="I5" s="15" t="s">
        <v>22</v>
      </c>
      <c r="J5" s="16">
        <v>1</v>
      </c>
      <c r="K5" s="13"/>
      <c r="L5" s="17">
        <v>0.25</v>
      </c>
    </row>
    <row r="6" ht="15.6" spans="1:26">
      <c r="A6" s="3"/>
      <c r="B6" s="17"/>
      <c r="C6" s="13"/>
      <c r="D6" s="13"/>
      <c r="E6" s="30"/>
      <c r="F6" s="13"/>
      <c r="G6" s="13">
        <v>5</v>
      </c>
      <c r="H6" s="60" t="s">
        <v>161</v>
      </c>
      <c r="I6" s="15" t="s">
        <v>22</v>
      </c>
      <c r="J6" s="16">
        <v>1</v>
      </c>
      <c r="K6" s="13"/>
      <c r="L6" s="17">
        <v>0.5</v>
      </c>
    </row>
    <row r="7" ht="15.6" spans="1:26">
      <c r="A7" s="3"/>
      <c r="B7" s="17"/>
      <c r="C7" s="13"/>
      <c r="D7" s="13"/>
      <c r="E7" s="30"/>
      <c r="F7" s="13"/>
      <c r="G7" s="13">
        <v>6</v>
      </c>
      <c r="H7" s="60" t="s">
        <v>162</v>
      </c>
      <c r="I7" s="15" t="s">
        <v>22</v>
      </c>
      <c r="J7" s="16">
        <v>1</v>
      </c>
      <c r="K7" s="13"/>
      <c r="L7" s="17">
        <v>3</v>
      </c>
    </row>
    <row r="8" ht="15.6" spans="1:26">
      <c r="A8" s="3"/>
      <c r="B8" s="17"/>
      <c r="C8" s="13"/>
      <c r="D8" s="13"/>
      <c r="E8" s="30"/>
      <c r="F8" s="13"/>
      <c r="G8" s="13">
        <v>7</v>
      </c>
      <c r="H8" s="14" t="s">
        <v>163</v>
      </c>
      <c r="I8" s="259" t="s">
        <v>164</v>
      </c>
      <c r="J8" s="16">
        <v>1</v>
      </c>
      <c r="K8" s="13"/>
      <c r="L8" s="17">
        <v>2</v>
      </c>
    </row>
    <row r="9" ht="15.6" spans="1:26">
      <c r="A9" s="3"/>
      <c r="B9" s="17"/>
      <c r="C9" s="13"/>
      <c r="D9" s="13"/>
      <c r="E9" s="30"/>
      <c r="F9" s="13"/>
      <c r="G9" s="13">
        <v>8</v>
      </c>
      <c r="H9" s="14" t="s">
        <v>165</v>
      </c>
      <c r="I9" s="259" t="s">
        <v>166</v>
      </c>
      <c r="J9" s="16">
        <v>1</v>
      </c>
      <c r="K9" s="13"/>
      <c r="L9" s="17">
        <v>1</v>
      </c>
    </row>
    <row r="10" ht="30" spans="1:26">
      <c r="A10" s="3"/>
      <c r="B10" s="17"/>
      <c r="C10" s="13"/>
      <c r="D10" s="13"/>
      <c r="E10" s="30"/>
      <c r="F10" s="13"/>
      <c r="G10" s="13">
        <v>9</v>
      </c>
      <c r="H10" s="14" t="s">
        <v>167</v>
      </c>
      <c r="I10" s="259" t="s">
        <v>166</v>
      </c>
      <c r="J10" s="16">
        <v>1</v>
      </c>
      <c r="K10" s="13"/>
      <c r="L10" s="17">
        <v>1</v>
      </c>
    </row>
    <row r="11" ht="15.6" spans="1:26">
      <c r="A11" s="3"/>
      <c r="B11" s="17"/>
      <c r="C11" s="13"/>
      <c r="D11" s="13"/>
      <c r="E11" s="30"/>
      <c r="F11" s="13"/>
      <c r="G11" s="13">
        <v>10</v>
      </c>
      <c r="H11" s="14" t="s">
        <v>168</v>
      </c>
      <c r="I11" s="259" t="s">
        <v>169</v>
      </c>
      <c r="J11" s="16">
        <v>1</v>
      </c>
      <c r="K11" s="13"/>
      <c r="L11" s="17">
        <v>3</v>
      </c>
    </row>
    <row r="12" ht="15.6" spans="1:26">
      <c r="A12" s="3"/>
      <c r="B12" s="17"/>
      <c r="C12" s="13"/>
      <c r="D12" s="13"/>
      <c r="E12" s="30"/>
      <c r="F12" s="13"/>
      <c r="G12" s="13">
        <v>11</v>
      </c>
      <c r="H12" s="14" t="s">
        <v>170</v>
      </c>
      <c r="I12" s="259" t="s">
        <v>169</v>
      </c>
      <c r="J12" s="16">
        <v>1</v>
      </c>
      <c r="K12" s="13"/>
      <c r="L12" s="17">
        <v>1</v>
      </c>
    </row>
    <row r="13" ht="15.6" spans="1:26">
      <c r="A13" s="3"/>
      <c r="B13" s="17"/>
      <c r="C13" s="13"/>
      <c r="D13" s="13"/>
      <c r="E13" s="30"/>
      <c r="F13" s="13"/>
      <c r="G13" s="13">
        <v>12</v>
      </c>
      <c r="H13" s="14" t="s">
        <v>171</v>
      </c>
      <c r="I13" s="259" t="s">
        <v>169</v>
      </c>
      <c r="J13" s="16">
        <v>1</v>
      </c>
      <c r="K13" s="13"/>
      <c r="L13" s="17">
        <v>1</v>
      </c>
    </row>
    <row r="14" ht="15.6" spans="1:26">
      <c r="A14" s="3"/>
      <c r="B14" s="17"/>
      <c r="C14" s="13"/>
      <c r="D14" s="13"/>
      <c r="E14" s="30"/>
      <c r="F14" s="13"/>
      <c r="G14" s="13">
        <v>13</v>
      </c>
      <c r="H14" s="260" t="s">
        <v>172</v>
      </c>
      <c r="I14" s="259" t="s">
        <v>173</v>
      </c>
      <c r="J14" s="16">
        <v>1</v>
      </c>
      <c r="K14" s="13"/>
      <c r="L14" s="17">
        <v>4</v>
      </c>
    </row>
    <row r="15" ht="15" spans="1:26">
      <c r="A15" s="3"/>
      <c r="B15" s="17"/>
      <c r="C15" s="13"/>
      <c r="D15" s="13"/>
      <c r="E15" s="30"/>
      <c r="F15" s="13"/>
      <c r="G15" s="13">
        <v>14</v>
      </c>
      <c r="H15" s="260" t="s">
        <v>174</v>
      </c>
      <c r="I15" s="130" t="s">
        <v>106</v>
      </c>
      <c r="J15" s="104">
        <v>1</v>
      </c>
      <c r="K15" s="102"/>
      <c r="L15" s="105">
        <v>1</v>
      </c>
    </row>
    <row r="16" ht="15" spans="1:26">
      <c r="A16" s="3"/>
      <c r="B16" s="17"/>
      <c r="C16" s="13"/>
      <c r="D16" s="13"/>
      <c r="E16" s="30"/>
      <c r="F16" s="13"/>
      <c r="G16" s="13">
        <v>15</v>
      </c>
      <c r="H16" s="260" t="s">
        <v>174</v>
      </c>
      <c r="I16" s="130" t="s">
        <v>175</v>
      </c>
      <c r="J16" s="104">
        <v>1</v>
      </c>
      <c r="K16" s="102"/>
      <c r="L16" s="105">
        <v>1</v>
      </c>
    </row>
    <row r="17" ht="15" spans="1:12">
      <c r="A17" s="3"/>
      <c r="B17" s="17"/>
      <c r="C17" s="13"/>
      <c r="D17" s="13"/>
      <c r="E17" s="30"/>
      <c r="F17" s="13"/>
      <c r="G17" s="13">
        <v>16</v>
      </c>
      <c r="H17" s="260" t="s">
        <v>176</v>
      </c>
      <c r="I17" s="130" t="s">
        <v>113</v>
      </c>
      <c r="J17" s="104">
        <v>1</v>
      </c>
      <c r="K17" s="104"/>
      <c r="L17" s="105">
        <v>1</v>
      </c>
    </row>
    <row r="18" ht="15" spans="1:12">
      <c r="A18" s="3"/>
      <c r="B18" s="17"/>
      <c r="C18" s="13"/>
      <c r="D18" s="13"/>
      <c r="E18" s="34" t="s">
        <v>177</v>
      </c>
      <c r="F18" s="34"/>
      <c r="G18" s="34"/>
      <c r="H18" s="34"/>
      <c r="I18" s="34"/>
      <c r="J18" s="35"/>
      <c r="K18" s="36"/>
      <c r="L18" s="37">
        <v>21</v>
      </c>
    </row>
    <row r="19" ht="15.6" spans="1:12">
      <c r="A19" s="3"/>
      <c r="B19" s="17"/>
      <c r="C19" s="13"/>
      <c r="D19" s="13"/>
      <c r="E19" s="30" t="s">
        <v>178</v>
      </c>
      <c r="F19" s="30" t="s">
        <v>77</v>
      </c>
      <c r="G19" s="30">
        <v>1</v>
      </c>
      <c r="H19" s="38"/>
      <c r="I19" s="13"/>
      <c r="J19" s="39"/>
      <c r="K19" s="30"/>
      <c r="L19" s="40"/>
    </row>
    <row r="20" ht="15.6" spans="1:12">
      <c r="A20" s="3"/>
      <c r="B20" s="17"/>
      <c r="C20" s="13"/>
      <c r="D20" s="13"/>
      <c r="E20" s="30"/>
      <c r="F20" s="30"/>
      <c r="G20" s="30">
        <v>2</v>
      </c>
      <c r="H20" s="38"/>
      <c r="I20" s="30"/>
      <c r="J20" s="39"/>
      <c r="K20" s="30"/>
      <c r="L20" s="40"/>
    </row>
    <row r="21" ht="90" spans="1:12">
      <c r="A21" s="3" t="s">
        <v>179</v>
      </c>
      <c r="B21" s="17" t="s">
        <v>22</v>
      </c>
      <c r="C21" s="16">
        <v>0.92</v>
      </c>
      <c r="D21" s="13"/>
      <c r="E21" s="30" t="s">
        <v>156</v>
      </c>
      <c r="F21" s="11" t="s">
        <v>180</v>
      </c>
      <c r="G21" s="13">
        <v>1</v>
      </c>
      <c r="H21" s="14" t="s">
        <v>181</v>
      </c>
      <c r="I21" s="15" t="s">
        <v>164</v>
      </c>
      <c r="J21" s="16">
        <v>1</v>
      </c>
      <c r="K21" s="30"/>
      <c r="L21" s="17">
        <v>2</v>
      </c>
    </row>
    <row r="22" ht="15.6" spans="1:12">
      <c r="A22" s="3"/>
      <c r="B22" s="17"/>
      <c r="C22" s="16"/>
      <c r="D22" s="13"/>
      <c r="E22" s="30"/>
      <c r="F22" s="27"/>
      <c r="G22" s="13">
        <v>2</v>
      </c>
      <c r="H22" s="23" t="s">
        <v>182</v>
      </c>
      <c r="I22" s="15" t="s">
        <v>164</v>
      </c>
      <c r="J22" s="16">
        <v>0.2</v>
      </c>
      <c r="K22" s="30"/>
      <c r="L22" s="17">
        <v>1</v>
      </c>
    </row>
    <row r="23" ht="30.6" customHeight="1" spans="1:12">
      <c r="A23" s="3"/>
      <c r="B23" s="17"/>
      <c r="C23" s="13"/>
      <c r="D23" s="13"/>
      <c r="E23" s="30"/>
      <c r="F23" s="261" t="s">
        <v>183</v>
      </c>
      <c r="G23" s="59">
        <v>1</v>
      </c>
      <c r="H23" s="23" t="s">
        <v>184</v>
      </c>
      <c r="I23" s="59" t="s">
        <v>71</v>
      </c>
      <c r="J23" s="61">
        <v>1</v>
      </c>
      <c r="K23" s="62"/>
      <c r="L23" s="57">
        <v>2</v>
      </c>
    </row>
    <row r="24" ht="30.6" customHeight="1" spans="1:12">
      <c r="A24" s="3"/>
      <c r="B24" s="17"/>
      <c r="C24" s="13"/>
      <c r="D24" s="13"/>
      <c r="E24" s="30"/>
      <c r="F24" s="262"/>
      <c r="G24" s="59">
        <v>2</v>
      </c>
      <c r="H24" s="25"/>
      <c r="I24" s="59" t="s">
        <v>83</v>
      </c>
      <c r="J24" s="61">
        <v>1</v>
      </c>
      <c r="K24" s="62"/>
      <c r="L24" s="57">
        <v>2</v>
      </c>
    </row>
    <row r="25" ht="30.6" customHeight="1" spans="1:12">
      <c r="A25" s="3"/>
      <c r="B25" s="17"/>
      <c r="C25" s="13"/>
      <c r="D25" s="13"/>
      <c r="E25" s="30"/>
      <c r="F25" s="263"/>
      <c r="G25" s="59">
        <v>3</v>
      </c>
      <c r="H25" s="28"/>
      <c r="I25" s="59" t="s">
        <v>185</v>
      </c>
      <c r="J25" s="61">
        <v>1</v>
      </c>
      <c r="K25" s="62"/>
      <c r="L25" s="57">
        <v>4.75</v>
      </c>
    </row>
    <row r="26" ht="45" customHeight="1" spans="1:12">
      <c r="A26" s="3"/>
      <c r="B26" s="17"/>
      <c r="C26" s="13"/>
      <c r="D26" s="13"/>
      <c r="E26" s="30"/>
      <c r="F26" s="261" t="s">
        <v>186</v>
      </c>
      <c r="G26" s="59">
        <v>1</v>
      </c>
      <c r="H26" s="264"/>
      <c r="I26" s="59"/>
      <c r="J26" s="61"/>
      <c r="K26" s="62"/>
      <c r="L26" s="57"/>
    </row>
    <row r="27" ht="42" customHeight="1" spans="1:12">
      <c r="A27" s="3"/>
      <c r="B27" s="17"/>
      <c r="C27" s="13"/>
      <c r="D27" s="13"/>
      <c r="E27" s="30"/>
      <c r="F27" s="262"/>
      <c r="G27" s="59">
        <v>2</v>
      </c>
      <c r="H27" s="264"/>
      <c r="I27" s="59"/>
      <c r="J27" s="61"/>
      <c r="K27" s="62"/>
      <c r="L27" s="57"/>
    </row>
    <row r="28" ht="30" spans="1:12">
      <c r="A28" s="3"/>
      <c r="B28" s="17"/>
      <c r="C28" s="13"/>
      <c r="D28" s="13"/>
      <c r="E28" s="30"/>
      <c r="F28" s="15" t="s">
        <v>187</v>
      </c>
      <c r="G28" s="59">
        <v>1</v>
      </c>
      <c r="H28" s="265" t="s">
        <v>188</v>
      </c>
      <c r="I28" s="15" t="s">
        <v>166</v>
      </c>
      <c r="J28" s="61">
        <v>1</v>
      </c>
      <c r="K28" s="62"/>
      <c r="L28" s="57">
        <v>3</v>
      </c>
    </row>
    <row r="29" ht="15" spans="1:12">
      <c r="A29" s="3"/>
      <c r="B29" s="17"/>
      <c r="C29" s="13"/>
      <c r="D29" s="13"/>
      <c r="E29" s="30"/>
      <c r="F29" s="15"/>
      <c r="G29" s="59"/>
      <c r="H29" s="60"/>
      <c r="I29" s="15"/>
      <c r="J29" s="61"/>
      <c r="K29" s="62"/>
      <c r="L29" s="57"/>
    </row>
    <row r="30" ht="15" spans="1:12">
      <c r="A30" s="3"/>
      <c r="B30" s="17"/>
      <c r="C30" s="13"/>
      <c r="D30" s="13"/>
      <c r="E30" s="30"/>
      <c r="F30" s="15"/>
      <c r="G30" s="59"/>
      <c r="H30" s="60"/>
      <c r="I30" s="15"/>
      <c r="J30" s="61"/>
      <c r="K30" s="62"/>
      <c r="L30" s="57"/>
    </row>
    <row r="31" ht="15" spans="1:12">
      <c r="A31" s="3"/>
      <c r="B31" s="17"/>
      <c r="C31" s="13"/>
      <c r="D31" s="13"/>
      <c r="E31" s="34" t="s">
        <v>177</v>
      </c>
      <c r="F31" s="34"/>
      <c r="G31" s="34"/>
      <c r="H31" s="34"/>
      <c r="I31" s="34"/>
      <c r="J31" s="35"/>
      <c r="K31" s="36"/>
      <c r="L31" s="37">
        <f>SUM(L21:L30)</f>
        <v>14.75</v>
      </c>
    </row>
    <row r="32" ht="15.6" spans="1:12">
      <c r="A32" s="3"/>
      <c r="B32" s="17"/>
      <c r="C32" s="13"/>
      <c r="D32" s="13"/>
      <c r="E32" s="30" t="s">
        <v>178</v>
      </c>
      <c r="F32" s="30" t="s">
        <v>77</v>
      </c>
      <c r="G32" s="30">
        <v>1</v>
      </c>
      <c r="H32" s="38"/>
      <c r="I32" s="13"/>
      <c r="J32" s="39"/>
      <c r="K32" s="30"/>
      <c r="L32" s="40"/>
    </row>
    <row r="33" ht="15" spans="1:12">
      <c r="A33" s="3"/>
      <c r="B33" s="17"/>
      <c r="C33" s="13"/>
      <c r="D33" s="13"/>
      <c r="E33" s="30"/>
      <c r="F33" s="30"/>
      <c r="G33" s="30">
        <v>2</v>
      </c>
      <c r="H33" s="14"/>
      <c r="I33" s="30"/>
      <c r="J33" s="39"/>
      <c r="K33" s="30"/>
      <c r="L33" s="40"/>
    </row>
    <row r="34" ht="15" spans="1:12">
      <c r="A34" s="266" t="s">
        <v>189</v>
      </c>
      <c r="B34" s="17" t="s">
        <v>34</v>
      </c>
      <c r="C34" s="13"/>
      <c r="D34" s="13"/>
      <c r="E34" s="30" t="s">
        <v>156</v>
      </c>
      <c r="F34" s="13" t="s">
        <v>190</v>
      </c>
      <c r="G34" s="13">
        <v>1</v>
      </c>
      <c r="H34" s="267"/>
      <c r="I34" s="149"/>
      <c r="J34" s="16"/>
      <c r="K34" s="30"/>
      <c r="L34" s="40"/>
    </row>
    <row r="35" ht="15" spans="1:12">
      <c r="A35" s="3"/>
      <c r="B35" s="17"/>
      <c r="C35" s="13"/>
      <c r="D35" s="13"/>
      <c r="E35" s="30"/>
      <c r="F35" s="13"/>
      <c r="G35" s="13">
        <v>2</v>
      </c>
      <c r="H35" s="260"/>
      <c r="I35" s="149"/>
      <c r="J35" s="16"/>
      <c r="K35" s="30"/>
      <c r="L35" s="40"/>
    </row>
    <row r="36" ht="15" spans="1:12">
      <c r="A36" s="3"/>
      <c r="B36" s="17"/>
      <c r="C36" s="13"/>
      <c r="D36" s="13"/>
      <c r="E36" s="34" t="s">
        <v>177</v>
      </c>
      <c r="F36" s="34"/>
      <c r="G36" s="34"/>
      <c r="H36" s="34"/>
      <c r="I36" s="34"/>
      <c r="J36" s="35"/>
      <c r="K36" s="36"/>
      <c r="L36" s="37">
        <f>SUM(L34:L35)</f>
        <v>0</v>
      </c>
    </row>
    <row r="37" ht="15.6" spans="1:12">
      <c r="A37" s="3"/>
      <c r="B37" s="17"/>
      <c r="C37" s="13"/>
      <c r="D37" s="13"/>
      <c r="E37" s="30" t="s">
        <v>178</v>
      </c>
      <c r="F37" s="30"/>
      <c r="G37" s="30"/>
      <c r="H37" s="38"/>
      <c r="I37" s="13"/>
      <c r="J37" s="39"/>
      <c r="K37" s="30"/>
      <c r="L37" s="40"/>
    </row>
    <row r="38" ht="15" spans="1:12">
      <c r="A38" s="3"/>
      <c r="B38" s="17"/>
      <c r="C38" s="13"/>
      <c r="D38" s="13"/>
      <c r="E38" s="30"/>
      <c r="F38" s="30"/>
      <c r="G38" s="30"/>
      <c r="H38" s="14"/>
      <c r="I38" s="30"/>
      <c r="J38" s="39"/>
      <c r="K38" s="30"/>
      <c r="L38" s="40"/>
    </row>
    <row r="39" ht="34.8" customHeight="1" spans="1:12">
      <c r="A39" s="3" t="s">
        <v>191</v>
      </c>
      <c r="B39" s="17" t="s">
        <v>34</v>
      </c>
      <c r="C39" s="13"/>
      <c r="D39" s="13"/>
      <c r="E39" s="30" t="s">
        <v>156</v>
      </c>
      <c r="F39" s="13" t="s">
        <v>190</v>
      </c>
      <c r="G39" s="13">
        <v>1</v>
      </c>
      <c r="H39" s="241"/>
      <c r="I39" s="15"/>
      <c r="J39" s="16"/>
      <c r="K39" s="30"/>
      <c r="L39" s="40"/>
    </row>
    <row r="40" ht="15" spans="1:12">
      <c r="A40" s="3"/>
      <c r="B40" s="17"/>
      <c r="C40" s="13"/>
      <c r="D40" s="13"/>
      <c r="E40" s="30"/>
      <c r="F40" s="13"/>
      <c r="G40" s="13">
        <v>2</v>
      </c>
      <c r="H40" s="14"/>
      <c r="I40" s="15"/>
      <c r="J40" s="16"/>
      <c r="K40" s="30"/>
      <c r="L40" s="40"/>
    </row>
    <row r="41" ht="15" spans="1:12">
      <c r="A41" s="3"/>
      <c r="B41" s="17"/>
      <c r="C41" s="13"/>
      <c r="D41" s="13"/>
      <c r="E41" s="30"/>
      <c r="F41" s="13"/>
      <c r="G41" s="13">
        <v>3</v>
      </c>
      <c r="H41" s="14"/>
      <c r="I41" s="15"/>
      <c r="J41" s="16"/>
      <c r="K41" s="30"/>
      <c r="L41" s="40"/>
    </row>
    <row r="42" ht="15" spans="1:12">
      <c r="A42" s="3"/>
      <c r="B42" s="17"/>
      <c r="C42" s="13"/>
      <c r="D42" s="13"/>
      <c r="E42" s="34" t="s">
        <v>177</v>
      </c>
      <c r="F42" s="34"/>
      <c r="G42" s="34"/>
      <c r="H42" s="34"/>
      <c r="I42" s="34"/>
      <c r="J42" s="35"/>
      <c r="K42" s="36"/>
      <c r="L42" s="37">
        <v>0</v>
      </c>
    </row>
    <row r="43" ht="15.6" spans="1:12">
      <c r="A43" s="3"/>
      <c r="B43" s="17"/>
      <c r="C43" s="13"/>
      <c r="D43" s="13"/>
      <c r="E43" s="30" t="s">
        <v>178</v>
      </c>
      <c r="F43" s="30"/>
      <c r="G43" s="30"/>
      <c r="H43" s="38"/>
      <c r="I43" s="13"/>
      <c r="J43" s="39"/>
      <c r="K43" s="30"/>
      <c r="L43" s="40"/>
    </row>
    <row r="44" ht="15" spans="1:12">
      <c r="A44" s="3"/>
      <c r="B44" s="17"/>
      <c r="C44" s="13"/>
      <c r="D44" s="13"/>
      <c r="E44" s="30"/>
      <c r="F44" s="30"/>
      <c r="G44" s="30"/>
      <c r="H44" s="14"/>
      <c r="I44" s="30"/>
      <c r="J44" s="39"/>
      <c r="K44" s="30"/>
      <c r="L44" s="40"/>
    </row>
    <row r="45" spans="1:12">
      <c r="A45" s="3" t="s">
        <v>94</v>
      </c>
      <c r="B45" s="268" t="s">
        <v>95</v>
      </c>
      <c r="C45" s="268"/>
      <c r="D45" s="269"/>
      <c r="E45" s="270" t="s">
        <v>156</v>
      </c>
      <c r="F45" s="243" t="s">
        <v>192</v>
      </c>
      <c r="G45" s="243">
        <v>1</v>
      </c>
      <c r="H45" s="244" t="s">
        <v>193</v>
      </c>
      <c r="I45" s="245" t="s">
        <v>95</v>
      </c>
      <c r="J45" s="246">
        <v>1</v>
      </c>
      <c r="K45" s="247"/>
      <c r="L45" s="248">
        <v>3</v>
      </c>
    </row>
    <row r="46" spans="1:12">
      <c r="A46" s="3"/>
      <c r="B46" s="271"/>
      <c r="C46" s="271"/>
      <c r="D46" s="271"/>
      <c r="E46" s="272"/>
      <c r="F46" s="243"/>
      <c r="G46" s="243"/>
      <c r="H46" s="244"/>
      <c r="I46" s="245" t="s">
        <v>194</v>
      </c>
      <c r="J46" s="246">
        <v>1</v>
      </c>
      <c r="K46" s="247"/>
      <c r="L46" s="248">
        <v>5</v>
      </c>
    </row>
    <row r="47" spans="1:12">
      <c r="A47" s="3"/>
      <c r="B47" s="271"/>
      <c r="C47" s="271"/>
      <c r="D47" s="271"/>
      <c r="E47" s="272"/>
      <c r="F47" s="243"/>
      <c r="G47" s="243"/>
      <c r="H47" s="244"/>
      <c r="I47" s="245" t="s">
        <v>195</v>
      </c>
      <c r="J47" s="246">
        <v>1</v>
      </c>
      <c r="K47" s="247"/>
      <c r="L47" s="248">
        <v>4</v>
      </c>
    </row>
    <row r="48" spans="1:12">
      <c r="A48" s="3"/>
      <c r="B48" s="271"/>
      <c r="C48" s="271"/>
      <c r="D48" s="271"/>
      <c r="E48" s="272"/>
      <c r="F48" s="247" t="s">
        <v>196</v>
      </c>
      <c r="G48" s="243">
        <v>1</v>
      </c>
      <c r="H48" s="244" t="s">
        <v>197</v>
      </c>
      <c r="I48" s="245" t="s">
        <v>198</v>
      </c>
      <c r="J48" s="246">
        <v>1</v>
      </c>
      <c r="K48" s="247"/>
      <c r="L48" s="249">
        <v>3</v>
      </c>
    </row>
    <row r="49" spans="1:12">
      <c r="A49" s="3"/>
      <c r="B49" s="273"/>
      <c r="C49" s="273"/>
      <c r="D49" s="273"/>
      <c r="E49" s="274"/>
      <c r="F49" s="247"/>
      <c r="G49" s="243"/>
      <c r="H49" s="244"/>
      <c r="I49" s="245" t="s">
        <v>199</v>
      </c>
      <c r="J49" s="246">
        <v>1</v>
      </c>
      <c r="K49" s="247"/>
      <c r="L49" s="249">
        <v>3</v>
      </c>
    </row>
    <row r="50" spans="1:12">
      <c r="E50" s="275" t="s">
        <v>177</v>
      </c>
      <c r="F50" s="275"/>
      <c r="G50" s="275"/>
      <c r="H50" s="275"/>
      <c r="I50" s="275"/>
      <c r="J50" s="276"/>
      <c r="K50" s="277"/>
      <c r="L50" s="278">
        <f>SUM(L45:L49)</f>
        <v>18</v>
      </c>
    </row>
  </sheetData>
  <autoFilter xmlns:etc="http://www.wps.cn/officeDocument/2017/etCustomData" ref="A1:L44" etc:filterBottomFollowUsedRange="0">
    <extLst/>
  </autoFilter>
  <mergeCells count="52">
    <mergeCell ref="E18:H18"/>
    <mergeCell ref="E31:H31"/>
    <mergeCell ref="E36:H36"/>
    <mergeCell ref="E42:H42"/>
    <mergeCell ref="E50:H50"/>
    <mergeCell ref="A2:A20"/>
    <mergeCell ref="A21:A33"/>
    <mergeCell ref="A34:A38"/>
    <mergeCell ref="A39:A44"/>
    <mergeCell ref="A45:A49"/>
    <mergeCell ref="B2:B20"/>
    <mergeCell ref="B21:B33"/>
    <mergeCell ref="B34:B38"/>
    <mergeCell ref="B39:B44"/>
    <mergeCell ref="B45:B49"/>
    <mergeCell ref="C2:C20"/>
    <mergeCell ref="C21:C33"/>
    <mergeCell ref="C34:C38"/>
    <mergeCell ref="C39:C44"/>
    <mergeCell ref="C45:C49"/>
    <mergeCell ref="D2:D20"/>
    <mergeCell ref="D21:D33"/>
    <mergeCell ref="D34:D38"/>
    <mergeCell ref="D39:D44"/>
    <mergeCell ref="D45:D49"/>
    <mergeCell ref="E2:E14"/>
    <mergeCell ref="E19:E20"/>
    <mergeCell ref="E21:E30"/>
    <mergeCell ref="E32:E33"/>
    <mergeCell ref="E34:E35"/>
    <mergeCell ref="E37:E38"/>
    <mergeCell ref="E39:E41"/>
    <mergeCell ref="E43:E44"/>
    <mergeCell ref="E45:E49"/>
    <mergeCell ref="F2:F14"/>
    <mergeCell ref="F19:F20"/>
    <mergeCell ref="F21:F22"/>
    <mergeCell ref="F23:F25"/>
    <mergeCell ref="F26:F27"/>
    <mergeCell ref="F28:F30"/>
    <mergeCell ref="F32:F33"/>
    <mergeCell ref="F34:F35"/>
    <mergeCell ref="F37:F38"/>
    <mergeCell ref="F39:F41"/>
    <mergeCell ref="F43:F44"/>
    <mergeCell ref="F45:F47"/>
    <mergeCell ref="F48:F49"/>
    <mergeCell ref="G45:G47"/>
    <mergeCell ref="G48:G49"/>
    <mergeCell ref="H23:H25"/>
    <mergeCell ref="H45:H47"/>
    <mergeCell ref="H48:H49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Z60"/>
  <sheetViews>
    <sheetView workbookViewId="0">
      <pane ySplit="1" topLeftCell="A43" activePane="bottomLeft" state="frozen"/>
      <selection/>
      <selection pane="bottomLeft" activeCell="L53" sqref="L53"/>
    </sheetView>
  </sheetViews>
  <sheetFormatPr defaultColWidth="9.11111111111111" defaultRowHeight="13.2"/>
  <cols>
    <col min="1" max="1" width="22.4444444444444" style="1" customWidth="1"/>
    <col min="2" max="2" width="11.6666666666667" style="1" customWidth="1"/>
    <col min="3" max="7" width="9.11111111111111" style="1"/>
    <col min="8" max="8" width="59.6666666666667" style="1" customWidth="1"/>
    <col min="9" max="11" width="9.11111111111111" style="1"/>
    <col min="12" max="12" width="19.5555555555556" style="2" customWidth="1"/>
    <col min="13" max="16384" width="9.11111111111111" style="1"/>
  </cols>
  <sheetData>
    <row r="1" ht="69.6" spans="1:26">
      <c r="A1" s="3" t="s">
        <v>144</v>
      </c>
      <c r="B1" s="4" t="s">
        <v>6</v>
      </c>
      <c r="C1" s="3" t="s">
        <v>145</v>
      </c>
      <c r="D1" s="3" t="s">
        <v>146</v>
      </c>
      <c r="E1" s="4" t="s">
        <v>147</v>
      </c>
      <c r="F1" s="3" t="s">
        <v>148</v>
      </c>
      <c r="G1" s="3" t="s">
        <v>1</v>
      </c>
      <c r="H1" s="5" t="s">
        <v>149</v>
      </c>
      <c r="I1" s="3" t="s">
        <v>150</v>
      </c>
      <c r="J1" s="6" t="s">
        <v>151</v>
      </c>
      <c r="K1" s="3" t="s">
        <v>152</v>
      </c>
      <c r="L1" s="7" t="s">
        <v>153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60" spans="1:26">
      <c r="A2" s="3" t="s">
        <v>200</v>
      </c>
      <c r="B2" s="17" t="s">
        <v>44</v>
      </c>
      <c r="C2" s="13"/>
      <c r="D2" s="13"/>
      <c r="E2" s="239" t="s">
        <v>156</v>
      </c>
      <c r="F2" s="239" t="s">
        <v>190</v>
      </c>
      <c r="G2" s="13">
        <v>1</v>
      </c>
      <c r="H2" s="14" t="s">
        <v>201</v>
      </c>
      <c r="I2" s="15" t="s">
        <v>83</v>
      </c>
      <c r="J2" s="16">
        <v>1</v>
      </c>
      <c r="K2" s="30"/>
      <c r="L2" s="40">
        <v>0.75</v>
      </c>
    </row>
    <row r="3" ht="45" spans="1:26">
      <c r="A3" s="3"/>
      <c r="B3" s="17"/>
      <c r="C3" s="13"/>
      <c r="D3" s="13"/>
      <c r="E3" s="240"/>
      <c r="F3" s="240"/>
      <c r="G3" s="13">
        <v>2</v>
      </c>
      <c r="H3" s="241" t="s">
        <v>202</v>
      </c>
      <c r="I3" s="15" t="s">
        <v>44</v>
      </c>
      <c r="J3" s="16">
        <v>1</v>
      </c>
      <c r="K3" s="30"/>
      <c r="L3" s="40">
        <v>4</v>
      </c>
    </row>
    <row r="4" ht="15" spans="1:26">
      <c r="A4" s="3"/>
      <c r="B4" s="17"/>
      <c r="C4" s="13"/>
      <c r="D4" s="13"/>
      <c r="E4" s="240"/>
      <c r="F4" s="240"/>
      <c r="G4" s="13">
        <v>3</v>
      </c>
      <c r="H4" s="241" t="s">
        <v>203</v>
      </c>
      <c r="I4" s="15" t="s">
        <v>204</v>
      </c>
      <c r="J4" s="16">
        <v>1</v>
      </c>
      <c r="K4" s="30"/>
      <c r="L4" s="40">
        <v>1</v>
      </c>
    </row>
    <row r="5" ht="15" spans="1:26">
      <c r="A5" s="3"/>
      <c r="B5" s="17"/>
      <c r="C5" s="13"/>
      <c r="D5" s="13"/>
      <c r="E5" s="240"/>
      <c r="F5" s="242"/>
      <c r="G5" s="243">
        <v>1</v>
      </c>
      <c r="H5" s="244" t="s">
        <v>205</v>
      </c>
      <c r="I5" s="245" t="s">
        <v>95</v>
      </c>
      <c r="J5" s="246">
        <v>1</v>
      </c>
      <c r="K5" s="247"/>
      <c r="L5" s="248">
        <v>1</v>
      </c>
    </row>
    <row r="6" ht="15" spans="1:26">
      <c r="A6" s="3"/>
      <c r="B6" s="17"/>
      <c r="C6" s="13"/>
      <c r="D6" s="13"/>
      <c r="E6" s="240"/>
      <c r="F6" s="242"/>
      <c r="G6" s="243"/>
      <c r="H6" s="244"/>
      <c r="I6" s="245" t="s">
        <v>194</v>
      </c>
      <c r="J6" s="246">
        <v>1</v>
      </c>
      <c r="K6" s="247"/>
      <c r="L6" s="248">
        <v>1</v>
      </c>
    </row>
    <row r="7" ht="15" spans="1:26">
      <c r="A7" s="3"/>
      <c r="B7" s="17"/>
      <c r="C7" s="13"/>
      <c r="D7" s="13"/>
      <c r="E7" s="240"/>
      <c r="F7" s="242"/>
      <c r="G7" s="243"/>
      <c r="H7" s="244"/>
      <c r="I7" s="245" t="s">
        <v>195</v>
      </c>
      <c r="J7" s="246">
        <v>1</v>
      </c>
      <c r="K7" s="247"/>
      <c r="L7" s="248">
        <v>1</v>
      </c>
    </row>
    <row r="8" ht="15" spans="1:26">
      <c r="A8" s="3"/>
      <c r="B8" s="17"/>
      <c r="C8" s="13"/>
      <c r="D8" s="13"/>
      <c r="E8" s="240"/>
      <c r="F8" s="242"/>
      <c r="G8" s="243">
        <v>1</v>
      </c>
      <c r="H8" s="244" t="s">
        <v>206</v>
      </c>
      <c r="I8" s="245" t="s">
        <v>198</v>
      </c>
      <c r="J8" s="246">
        <v>1</v>
      </c>
      <c r="K8" s="247"/>
      <c r="L8" s="249">
        <v>2</v>
      </c>
    </row>
    <row r="9" ht="15" spans="1:26">
      <c r="A9" s="3"/>
      <c r="B9" s="17"/>
      <c r="C9" s="13"/>
      <c r="D9" s="13"/>
      <c r="E9" s="250"/>
      <c r="F9" s="251"/>
      <c r="G9" s="243"/>
      <c r="H9" s="244"/>
      <c r="I9" s="245" t="s">
        <v>199</v>
      </c>
      <c r="J9" s="246">
        <v>1</v>
      </c>
      <c r="K9" s="247"/>
      <c r="L9" s="249">
        <v>2</v>
      </c>
    </row>
    <row r="10" ht="15" spans="1:26">
      <c r="A10" s="3"/>
      <c r="B10" s="17"/>
      <c r="C10" s="13"/>
      <c r="D10" s="13"/>
      <c r="E10" s="34" t="s">
        <v>177</v>
      </c>
      <c r="F10" s="34"/>
      <c r="G10" s="34"/>
      <c r="H10" s="34"/>
      <c r="I10" s="34"/>
      <c r="J10" s="35"/>
      <c r="K10" s="36"/>
      <c r="L10" s="37">
        <v>12.75</v>
      </c>
    </row>
    <row r="11" ht="15" spans="1:26">
      <c r="A11" s="3"/>
      <c r="B11" s="17"/>
      <c r="C11" s="13"/>
      <c r="D11" s="13"/>
      <c r="E11" s="30" t="s">
        <v>178</v>
      </c>
      <c r="F11" s="30"/>
      <c r="G11" s="30"/>
      <c r="H11" s="14"/>
      <c r="I11" s="13"/>
      <c r="J11" s="39"/>
      <c r="K11" s="30"/>
      <c r="L11" s="40"/>
    </row>
    <row r="12" ht="15" spans="1:26">
      <c r="A12" s="3"/>
      <c r="B12" s="17"/>
      <c r="C12" s="13"/>
      <c r="D12" s="13"/>
      <c r="E12" s="30"/>
      <c r="F12" s="30"/>
      <c r="G12" s="30"/>
      <c r="H12" s="14"/>
      <c r="I12" s="30"/>
      <c r="J12" s="39"/>
      <c r="K12" s="30"/>
      <c r="L12" s="40"/>
    </row>
    <row r="13" ht="15" spans="1:26">
      <c r="A13" s="3" t="s">
        <v>43</v>
      </c>
      <c r="B13" s="17" t="s">
        <v>44</v>
      </c>
      <c r="C13" s="13"/>
      <c r="D13" s="13"/>
      <c r="E13" s="30" t="s">
        <v>156</v>
      </c>
      <c r="F13" s="13" t="s">
        <v>190</v>
      </c>
      <c r="G13" s="13">
        <v>1</v>
      </c>
      <c r="H13" s="241" t="s">
        <v>207</v>
      </c>
      <c r="I13" s="15" t="s">
        <v>173</v>
      </c>
      <c r="J13" s="16">
        <v>1</v>
      </c>
      <c r="K13" s="30"/>
      <c r="L13" s="40">
        <v>1</v>
      </c>
    </row>
    <row r="14" ht="75" spans="1:26">
      <c r="A14" s="3"/>
      <c r="B14" s="17"/>
      <c r="C14" s="13"/>
      <c r="D14" s="13"/>
      <c r="E14" s="30"/>
      <c r="F14" s="13"/>
      <c r="G14" s="13">
        <v>2</v>
      </c>
      <c r="H14" s="14" t="s">
        <v>208</v>
      </c>
      <c r="I14" s="15" t="s">
        <v>204</v>
      </c>
      <c r="J14" s="16">
        <v>1</v>
      </c>
      <c r="K14" s="30"/>
      <c r="L14" s="40">
        <v>4</v>
      </c>
    </row>
    <row r="15" ht="30" spans="1:26">
      <c r="A15" s="3"/>
      <c r="B15" s="17"/>
      <c r="C15" s="13"/>
      <c r="D15" s="13"/>
      <c r="E15" s="30"/>
      <c r="F15" s="13"/>
      <c r="G15" s="13">
        <v>3</v>
      </c>
      <c r="H15" s="14" t="s">
        <v>209</v>
      </c>
      <c r="I15" s="15" t="s">
        <v>44</v>
      </c>
      <c r="J15" s="16">
        <v>1</v>
      </c>
      <c r="K15" s="30"/>
      <c r="L15" s="40">
        <v>1</v>
      </c>
    </row>
    <row r="16" ht="15" spans="1:26">
      <c r="A16" s="3"/>
      <c r="B16" s="17"/>
      <c r="C16" s="13"/>
      <c r="D16" s="13"/>
      <c r="E16" s="34" t="s">
        <v>177</v>
      </c>
      <c r="F16" s="34"/>
      <c r="G16" s="34"/>
      <c r="H16" s="34"/>
      <c r="I16" s="34"/>
      <c r="J16" s="35"/>
      <c r="K16" s="36"/>
      <c r="L16" s="37">
        <f>SUM(L13:L15)</f>
        <v>6</v>
      </c>
    </row>
    <row r="17" ht="15" spans="1:12">
      <c r="A17" s="3"/>
      <c r="B17" s="17"/>
      <c r="C17" s="13"/>
      <c r="D17" s="13"/>
      <c r="E17" s="30" t="s">
        <v>178</v>
      </c>
      <c r="F17" s="30"/>
      <c r="G17" s="30"/>
      <c r="H17" s="14"/>
      <c r="I17" s="13"/>
      <c r="J17" s="39"/>
      <c r="K17" s="30"/>
      <c r="L17" s="40"/>
    </row>
    <row r="18" ht="15" spans="1:12">
      <c r="A18" s="3"/>
      <c r="B18" s="17"/>
      <c r="C18" s="13"/>
      <c r="D18" s="13"/>
      <c r="E18" s="30"/>
      <c r="F18" s="30"/>
      <c r="G18" s="30"/>
      <c r="H18" s="14"/>
      <c r="I18" s="30"/>
      <c r="J18" s="39"/>
      <c r="K18" s="30"/>
      <c r="L18" s="40"/>
    </row>
    <row r="19" ht="15.6" spans="1:12">
      <c r="A19" s="3" t="s">
        <v>210</v>
      </c>
      <c r="B19" s="17" t="s">
        <v>41</v>
      </c>
      <c r="C19" s="13"/>
      <c r="D19" s="13"/>
      <c r="E19" s="30" t="s">
        <v>156</v>
      </c>
      <c r="F19" s="13" t="s">
        <v>77</v>
      </c>
      <c r="G19" s="13">
        <v>1</v>
      </c>
      <c r="H19" s="14" t="s">
        <v>211</v>
      </c>
      <c r="I19" s="15" t="s">
        <v>41</v>
      </c>
      <c r="J19" s="16">
        <v>1</v>
      </c>
      <c r="K19" s="13"/>
      <c r="L19" s="17">
        <v>1</v>
      </c>
    </row>
    <row r="20" ht="15.6" spans="1:12">
      <c r="A20" s="3"/>
      <c r="B20" s="17"/>
      <c r="C20" s="13"/>
      <c r="D20" s="13"/>
      <c r="E20" s="30"/>
      <c r="F20" s="13"/>
      <c r="G20" s="13">
        <v>2</v>
      </c>
      <c r="H20" s="22"/>
      <c r="I20" s="15"/>
      <c r="J20" s="16"/>
      <c r="K20" s="13"/>
      <c r="L20" s="17"/>
    </row>
    <row r="21" ht="15" spans="1:12">
      <c r="A21" s="3"/>
      <c r="B21" s="17"/>
      <c r="C21" s="13"/>
      <c r="D21" s="13"/>
      <c r="E21" s="34" t="s">
        <v>177</v>
      </c>
      <c r="F21" s="34"/>
      <c r="G21" s="34"/>
      <c r="H21" s="34"/>
      <c r="I21" s="34"/>
      <c r="J21" s="35"/>
      <c r="K21" s="36"/>
      <c r="L21" s="37">
        <f>SUM(L19:L20)</f>
        <v>1</v>
      </c>
    </row>
    <row r="22" ht="15" spans="1:12">
      <c r="A22" s="3"/>
      <c r="B22" s="17"/>
      <c r="C22" s="13"/>
      <c r="D22" s="13"/>
      <c r="E22" s="30" t="s">
        <v>178</v>
      </c>
      <c r="F22" s="30" t="s">
        <v>77</v>
      </c>
      <c r="G22" s="30">
        <v>1</v>
      </c>
      <c r="H22" s="14"/>
      <c r="I22" s="13"/>
      <c r="J22" s="39"/>
      <c r="K22" s="30"/>
      <c r="L22" s="40"/>
    </row>
    <row r="23" ht="15" spans="1:12">
      <c r="A23" s="3"/>
      <c r="B23" s="17"/>
      <c r="C23" s="13"/>
      <c r="D23" s="13"/>
      <c r="E23" s="30"/>
      <c r="F23" s="30"/>
      <c r="G23" s="30">
        <v>2</v>
      </c>
      <c r="H23" s="14"/>
      <c r="I23" s="30"/>
      <c r="J23" s="39"/>
      <c r="K23" s="30"/>
      <c r="L23" s="40"/>
    </row>
    <row r="24" ht="60" spans="1:12">
      <c r="A24" s="3" t="s">
        <v>212</v>
      </c>
      <c r="B24" s="17" t="s">
        <v>51</v>
      </c>
      <c r="C24" s="13"/>
      <c r="D24" s="13"/>
      <c r="E24" s="30" t="s">
        <v>156</v>
      </c>
      <c r="F24" s="11" t="s">
        <v>190</v>
      </c>
      <c r="G24" s="13">
        <v>1</v>
      </c>
      <c r="H24" s="252" t="s">
        <v>213</v>
      </c>
      <c r="I24" s="15" t="s">
        <v>51</v>
      </c>
      <c r="J24" s="16">
        <v>1</v>
      </c>
      <c r="K24" s="30"/>
      <c r="L24" s="17">
        <v>0.5</v>
      </c>
    </row>
    <row r="25" ht="165" spans="1:12">
      <c r="A25" s="3"/>
      <c r="B25" s="17"/>
      <c r="C25" s="13"/>
      <c r="D25" s="13"/>
      <c r="E25" s="30"/>
      <c r="F25" s="20"/>
      <c r="G25" s="13">
        <v>2</v>
      </c>
      <c r="H25" s="252" t="s">
        <v>214</v>
      </c>
      <c r="I25" s="15" t="s">
        <v>215</v>
      </c>
      <c r="J25" s="16">
        <v>1</v>
      </c>
      <c r="K25" s="30"/>
      <c r="L25" s="17">
        <v>2.5</v>
      </c>
    </row>
    <row r="26" ht="30" spans="1:12">
      <c r="A26" s="3"/>
      <c r="B26" s="17"/>
      <c r="C26" s="13"/>
      <c r="D26" s="13"/>
      <c r="E26" s="30"/>
      <c r="F26" s="11" t="s">
        <v>77</v>
      </c>
      <c r="G26" s="13">
        <v>3</v>
      </c>
      <c r="H26" s="14" t="s">
        <v>216</v>
      </c>
      <c r="I26" s="15" t="s">
        <v>51</v>
      </c>
      <c r="J26" s="16">
        <v>1</v>
      </c>
      <c r="K26" s="30"/>
      <c r="L26" s="17">
        <v>4.5</v>
      </c>
    </row>
    <row r="27" ht="15.6" spans="1:12">
      <c r="A27" s="3"/>
      <c r="B27" s="17"/>
      <c r="C27" s="13"/>
      <c r="D27" s="13"/>
      <c r="E27" s="30"/>
      <c r="F27" s="20"/>
      <c r="G27" s="13">
        <v>4</v>
      </c>
      <c r="H27" s="241" t="s">
        <v>217</v>
      </c>
      <c r="I27" s="15" t="s">
        <v>215</v>
      </c>
      <c r="J27" s="16">
        <v>0.1</v>
      </c>
      <c r="K27" s="30"/>
      <c r="L27" s="17">
        <v>0.5</v>
      </c>
    </row>
    <row r="28" ht="15.6" spans="1:12">
      <c r="A28" s="3"/>
      <c r="B28" s="17"/>
      <c r="C28" s="13"/>
      <c r="D28" s="13"/>
      <c r="E28" s="34" t="s">
        <v>177</v>
      </c>
      <c r="F28" s="34"/>
      <c r="G28" s="34"/>
      <c r="H28" s="34"/>
      <c r="I28" s="34"/>
      <c r="J28" s="35"/>
      <c r="K28" s="36"/>
      <c r="L28" s="253">
        <f>SUM(L24:L27)</f>
        <v>8</v>
      </c>
    </row>
    <row r="29" ht="15" spans="1:12">
      <c r="A29" s="3"/>
      <c r="B29" s="17"/>
      <c r="C29" s="13"/>
      <c r="D29" s="13"/>
      <c r="E29" s="30" t="s">
        <v>178</v>
      </c>
      <c r="F29" s="30"/>
      <c r="G29" s="30"/>
      <c r="H29" s="14"/>
      <c r="I29" s="13"/>
      <c r="J29" s="39"/>
      <c r="K29" s="30"/>
      <c r="L29" s="40"/>
    </row>
    <row r="30" ht="15" spans="1:12">
      <c r="A30" s="3"/>
      <c r="B30" s="17"/>
      <c r="C30" s="13"/>
      <c r="D30" s="13"/>
      <c r="E30" s="30"/>
      <c r="F30" s="30"/>
      <c r="G30" s="30"/>
      <c r="H30" s="14"/>
      <c r="I30" s="30"/>
      <c r="J30" s="39"/>
      <c r="K30" s="30"/>
      <c r="L30" s="40"/>
    </row>
    <row r="31" ht="15" spans="1:12">
      <c r="A31" s="3" t="s">
        <v>54</v>
      </c>
      <c r="B31" s="17" t="s">
        <v>55</v>
      </c>
      <c r="C31" s="13"/>
      <c r="D31" s="13"/>
      <c r="E31" s="21" t="s">
        <v>156</v>
      </c>
      <c r="F31" s="20" t="s">
        <v>77</v>
      </c>
      <c r="G31" s="11">
        <v>1</v>
      </c>
      <c r="H31" s="241" t="s">
        <v>218</v>
      </c>
      <c r="I31" s="254" t="s">
        <v>219</v>
      </c>
      <c r="J31" s="16">
        <v>1</v>
      </c>
      <c r="K31" s="30"/>
      <c r="L31" s="40">
        <v>2.5</v>
      </c>
    </row>
    <row r="32" ht="30" spans="1:12">
      <c r="A32" s="3"/>
      <c r="B32" s="17"/>
      <c r="C32" s="13"/>
      <c r="D32" s="13"/>
      <c r="E32" s="21"/>
      <c r="F32" s="20"/>
      <c r="G32" s="13">
        <v>2</v>
      </c>
      <c r="H32" s="241" t="s">
        <v>220</v>
      </c>
      <c r="I32" s="15" t="s">
        <v>221</v>
      </c>
      <c r="J32" s="255">
        <v>0.8</v>
      </c>
      <c r="K32" s="30"/>
      <c r="L32" s="40">
        <v>3</v>
      </c>
    </row>
    <row r="33" ht="15" spans="1:12">
      <c r="A33" s="3"/>
      <c r="B33" s="17"/>
      <c r="C33" s="13"/>
      <c r="D33" s="13"/>
      <c r="E33" s="21"/>
      <c r="F33" s="20"/>
      <c r="G33" s="13">
        <v>3</v>
      </c>
      <c r="H33" s="241" t="s">
        <v>222</v>
      </c>
      <c r="I33" s="15" t="s">
        <v>223</v>
      </c>
      <c r="J33" s="255">
        <v>0.8</v>
      </c>
      <c r="K33" s="30"/>
      <c r="L33" s="40">
        <v>1</v>
      </c>
    </row>
    <row r="34" ht="30" spans="1:12">
      <c r="A34" s="3"/>
      <c r="B34" s="17"/>
      <c r="C34" s="13"/>
      <c r="D34" s="13"/>
      <c r="E34" s="32"/>
      <c r="F34" s="27"/>
      <c r="G34" s="13">
        <v>4</v>
      </c>
      <c r="H34" s="241" t="s">
        <v>224</v>
      </c>
      <c r="I34" s="15" t="s">
        <v>55</v>
      </c>
      <c r="J34" s="16">
        <v>1</v>
      </c>
      <c r="K34" s="30"/>
      <c r="L34" s="40">
        <v>2.5</v>
      </c>
    </row>
    <row r="35" ht="15" spans="1:12">
      <c r="A35" s="3"/>
      <c r="B35" s="17"/>
      <c r="C35" s="13"/>
      <c r="D35" s="13"/>
      <c r="E35" s="34" t="s">
        <v>177</v>
      </c>
      <c r="F35" s="34"/>
      <c r="G35" s="34"/>
      <c r="H35" s="34"/>
      <c r="I35" s="34"/>
      <c r="J35" s="35"/>
      <c r="K35" s="36"/>
      <c r="L35" s="37">
        <f>SUM(L31:L34)</f>
        <v>9</v>
      </c>
    </row>
    <row r="36" ht="15" spans="1:12">
      <c r="A36" s="3"/>
      <c r="B36" s="17"/>
      <c r="C36" s="13"/>
      <c r="D36" s="13"/>
      <c r="E36" s="30"/>
      <c r="F36" s="30"/>
      <c r="G36" s="30"/>
      <c r="H36" s="14"/>
      <c r="I36" s="13"/>
      <c r="J36" s="39"/>
      <c r="K36" s="30"/>
      <c r="L36" s="40"/>
    </row>
    <row r="37" ht="15" spans="1:12">
      <c r="A37" s="3"/>
      <c r="B37" s="17"/>
      <c r="C37" s="13"/>
      <c r="D37" s="13"/>
      <c r="E37" s="30"/>
      <c r="F37" s="30"/>
      <c r="G37" s="30"/>
      <c r="H37" s="14"/>
      <c r="I37" s="30"/>
      <c r="J37" s="39"/>
      <c r="K37" s="30"/>
      <c r="L37" s="40"/>
    </row>
    <row r="38" ht="15" spans="1:12">
      <c r="A38" s="3" t="s">
        <v>98</v>
      </c>
      <c r="B38" s="17" t="s">
        <v>55</v>
      </c>
      <c r="C38" s="13"/>
      <c r="D38" s="13"/>
      <c r="E38" s="12" t="s">
        <v>156</v>
      </c>
      <c r="F38" s="11" t="s">
        <v>190</v>
      </c>
      <c r="G38" s="13">
        <v>1</v>
      </c>
      <c r="H38" s="241" t="s">
        <v>225</v>
      </c>
      <c r="I38" s="15" t="s">
        <v>223</v>
      </c>
      <c r="J38" s="16">
        <v>1</v>
      </c>
      <c r="K38" s="30"/>
      <c r="L38" s="40">
        <v>4</v>
      </c>
    </row>
    <row r="39" ht="15" spans="1:12">
      <c r="A39" s="3"/>
      <c r="B39" s="17"/>
      <c r="C39" s="13"/>
      <c r="D39" s="13"/>
      <c r="E39" s="21"/>
      <c r="F39" s="20"/>
      <c r="G39" s="13">
        <v>2</v>
      </c>
      <c r="H39" s="241" t="s">
        <v>226</v>
      </c>
      <c r="I39" s="15" t="s">
        <v>227</v>
      </c>
      <c r="J39" s="16">
        <v>1</v>
      </c>
      <c r="K39" s="30"/>
      <c r="L39" s="40">
        <v>3</v>
      </c>
    </row>
    <row r="40" ht="15" spans="1:12">
      <c r="A40" s="3"/>
      <c r="B40" s="17"/>
      <c r="C40" s="13"/>
      <c r="D40" s="13"/>
      <c r="E40" s="21"/>
      <c r="F40" s="20"/>
      <c r="G40" s="13">
        <v>3</v>
      </c>
      <c r="H40" s="241" t="s">
        <v>228</v>
      </c>
      <c r="I40" s="15" t="s">
        <v>55</v>
      </c>
      <c r="J40" s="16">
        <v>1</v>
      </c>
      <c r="K40" s="30"/>
      <c r="L40" s="40">
        <v>2.5</v>
      </c>
    </row>
    <row r="41" ht="15" spans="1:12">
      <c r="A41" s="3"/>
      <c r="B41" s="17"/>
      <c r="C41" s="13"/>
      <c r="D41" s="13"/>
      <c r="E41" s="21"/>
      <c r="F41" s="20"/>
      <c r="G41" s="13">
        <v>4</v>
      </c>
      <c r="H41" s="241" t="s">
        <v>229</v>
      </c>
      <c r="I41" s="15" t="s">
        <v>230</v>
      </c>
      <c r="J41" s="16">
        <v>1</v>
      </c>
      <c r="K41" s="30"/>
      <c r="L41" s="40">
        <v>5</v>
      </c>
    </row>
    <row r="42" ht="60" spans="1:12">
      <c r="A42" s="3"/>
      <c r="B42" s="17"/>
      <c r="C42" s="13"/>
      <c r="D42" s="13"/>
      <c r="E42" s="21"/>
      <c r="F42" s="20"/>
      <c r="G42" s="13">
        <v>5</v>
      </c>
      <c r="H42" s="241" t="s">
        <v>231</v>
      </c>
      <c r="I42" s="15" t="s">
        <v>232</v>
      </c>
      <c r="J42" s="16">
        <v>1</v>
      </c>
      <c r="K42" s="30"/>
      <c r="L42" s="40">
        <v>5</v>
      </c>
    </row>
    <row r="43" ht="15" spans="1:12">
      <c r="A43" s="3"/>
      <c r="B43" s="17"/>
      <c r="C43" s="13"/>
      <c r="D43" s="13"/>
      <c r="E43" s="21"/>
      <c r="F43" s="20"/>
      <c r="G43" s="13">
        <v>6</v>
      </c>
      <c r="H43" s="241" t="s">
        <v>233</v>
      </c>
      <c r="I43" s="15" t="s">
        <v>234</v>
      </c>
      <c r="J43" s="16">
        <v>1</v>
      </c>
      <c r="K43" s="30"/>
      <c r="L43" s="40">
        <v>5</v>
      </c>
    </row>
    <row r="44" ht="30" spans="1:12">
      <c r="A44" s="3"/>
      <c r="B44" s="17"/>
      <c r="C44" s="13"/>
      <c r="D44" s="13"/>
      <c r="E44" s="21"/>
      <c r="F44" s="20"/>
      <c r="G44" s="13">
        <v>7</v>
      </c>
      <c r="H44" s="241" t="s">
        <v>235</v>
      </c>
      <c r="I44" s="15" t="s">
        <v>221</v>
      </c>
      <c r="J44" s="16">
        <v>0.7</v>
      </c>
      <c r="K44" s="30"/>
      <c r="L44" s="40">
        <v>3</v>
      </c>
    </row>
    <row r="45" ht="15" spans="1:12">
      <c r="A45" s="3"/>
      <c r="B45" s="17"/>
      <c r="C45" s="13"/>
      <c r="D45" s="13"/>
      <c r="E45" s="34" t="s">
        <v>177</v>
      </c>
      <c r="F45" s="34"/>
      <c r="G45" s="34"/>
      <c r="H45" s="34"/>
      <c r="I45" s="34"/>
      <c r="J45" s="35"/>
      <c r="K45" s="36"/>
      <c r="L45" s="37">
        <f>SUM(L38:L44)</f>
        <v>27.5</v>
      </c>
    </row>
    <row r="46" ht="15" spans="1:12">
      <c r="A46" s="3"/>
      <c r="B46" s="17"/>
      <c r="C46" s="13"/>
      <c r="D46" s="13"/>
      <c r="E46" s="30" t="s">
        <v>178</v>
      </c>
      <c r="F46" s="30"/>
      <c r="G46" s="30"/>
      <c r="H46" s="14"/>
      <c r="I46" s="13"/>
      <c r="J46" s="39"/>
      <c r="K46" s="30"/>
      <c r="L46" s="40"/>
    </row>
    <row r="47" ht="15" spans="1:12">
      <c r="A47" s="3"/>
      <c r="B47" s="17"/>
      <c r="C47" s="13"/>
      <c r="D47" s="13"/>
      <c r="E47" s="30"/>
      <c r="F47" s="30"/>
      <c r="G47" s="30"/>
      <c r="H47" s="14"/>
      <c r="I47" s="30"/>
      <c r="J47" s="39"/>
      <c r="K47" s="30"/>
      <c r="L47" s="40"/>
    </row>
    <row r="48" ht="15" spans="1:12">
      <c r="A48" s="9" t="s">
        <v>99</v>
      </c>
      <c r="B48" s="17"/>
      <c r="C48" s="13"/>
      <c r="D48" s="13"/>
      <c r="E48" s="21"/>
      <c r="F48" s="20"/>
      <c r="G48" s="13">
        <v>1</v>
      </c>
      <c r="H48" s="241" t="s">
        <v>236</v>
      </c>
      <c r="I48" s="15" t="s">
        <v>227</v>
      </c>
      <c r="J48" s="16">
        <v>1</v>
      </c>
      <c r="K48" s="30"/>
      <c r="L48" s="40">
        <v>2</v>
      </c>
    </row>
    <row r="49" ht="15" spans="1:12">
      <c r="A49" s="18"/>
      <c r="B49" s="17"/>
      <c r="C49" s="13"/>
      <c r="D49" s="13"/>
      <c r="E49" s="21"/>
      <c r="F49" s="20"/>
      <c r="G49" s="13">
        <v>2</v>
      </c>
      <c r="H49" s="241" t="s">
        <v>237</v>
      </c>
      <c r="I49" s="15" t="s">
        <v>238</v>
      </c>
      <c r="J49" s="16">
        <v>1</v>
      </c>
      <c r="K49" s="30"/>
      <c r="L49" s="40">
        <v>5</v>
      </c>
    </row>
    <row r="50" ht="30" spans="1:12">
      <c r="A50" s="18"/>
      <c r="B50" s="17"/>
      <c r="C50" s="13"/>
      <c r="D50" s="13"/>
      <c r="E50" s="21"/>
      <c r="F50" s="20"/>
      <c r="G50" s="13">
        <v>3</v>
      </c>
      <c r="H50" s="241" t="s">
        <v>239</v>
      </c>
      <c r="I50" s="15" t="s">
        <v>240</v>
      </c>
      <c r="J50" s="16">
        <v>1</v>
      </c>
      <c r="K50" s="30"/>
      <c r="L50" s="40">
        <v>5</v>
      </c>
    </row>
    <row r="51" ht="15" spans="1:12">
      <c r="A51" s="18"/>
      <c r="B51" s="17"/>
      <c r="C51" s="13"/>
      <c r="D51" s="13"/>
      <c r="E51" s="21"/>
      <c r="F51" s="20"/>
      <c r="G51" s="13">
        <v>4</v>
      </c>
      <c r="H51" s="241" t="s">
        <v>241</v>
      </c>
      <c r="I51" s="15" t="s">
        <v>242</v>
      </c>
      <c r="J51" s="16">
        <v>1</v>
      </c>
      <c r="K51" s="30"/>
      <c r="L51" s="40">
        <v>5</v>
      </c>
    </row>
    <row r="52" ht="45" spans="1:12">
      <c r="A52" s="18"/>
      <c r="B52" s="17"/>
      <c r="C52" s="13"/>
      <c r="D52" s="13"/>
      <c r="E52" s="21"/>
      <c r="F52" s="20"/>
      <c r="G52" s="13">
        <v>5</v>
      </c>
      <c r="H52" s="241" t="s">
        <v>243</v>
      </c>
      <c r="I52" s="254" t="s">
        <v>244</v>
      </c>
      <c r="J52" s="16">
        <v>0.9</v>
      </c>
      <c r="K52" s="30"/>
      <c r="L52" s="40">
        <v>7</v>
      </c>
    </row>
    <row r="53" ht="15" spans="1:12">
      <c r="A53" s="18"/>
      <c r="B53" s="17"/>
      <c r="C53" s="13"/>
      <c r="D53" s="13"/>
      <c r="E53" s="21"/>
      <c r="F53" s="20"/>
      <c r="G53" s="13">
        <v>6</v>
      </c>
      <c r="H53" s="256" t="s">
        <v>245</v>
      </c>
      <c r="I53" s="15" t="s">
        <v>246</v>
      </c>
      <c r="J53" s="16">
        <v>1</v>
      </c>
      <c r="K53" s="30"/>
      <c r="L53" s="40">
        <v>4</v>
      </c>
    </row>
    <row r="54" ht="30" spans="1:12">
      <c r="A54" s="18"/>
      <c r="B54" s="17"/>
      <c r="C54" s="13"/>
      <c r="D54" s="13"/>
      <c r="E54" s="21"/>
      <c r="F54" s="20"/>
      <c r="G54" s="13">
        <v>7</v>
      </c>
      <c r="H54" s="256" t="s">
        <v>247</v>
      </c>
      <c r="I54" s="15" t="s">
        <v>248</v>
      </c>
      <c r="J54" s="16"/>
      <c r="K54" s="30"/>
      <c r="L54" s="40">
        <v>5</v>
      </c>
    </row>
    <row r="55" ht="15" spans="1:12">
      <c r="A55" s="18"/>
      <c r="B55" s="17"/>
      <c r="C55" s="13"/>
      <c r="D55" s="13"/>
      <c r="E55" s="21"/>
      <c r="F55" s="20"/>
      <c r="G55" s="13">
        <v>8</v>
      </c>
      <c r="H55" s="256" t="s">
        <v>249</v>
      </c>
      <c r="I55" s="15" t="s">
        <v>219</v>
      </c>
      <c r="J55" s="16"/>
      <c r="K55" s="30"/>
      <c r="L55" s="40">
        <v>2.5</v>
      </c>
    </row>
    <row r="56" ht="15" spans="1:12">
      <c r="A56" s="18"/>
      <c r="B56" s="17"/>
      <c r="C56" s="13"/>
      <c r="D56" s="13"/>
      <c r="E56" s="21"/>
      <c r="F56" s="20"/>
      <c r="G56" s="13">
        <v>12</v>
      </c>
      <c r="H56" s="257" t="s">
        <v>250</v>
      </c>
      <c r="I56" s="15" t="s">
        <v>221</v>
      </c>
      <c r="J56" s="16">
        <v>1</v>
      </c>
      <c r="K56" s="30"/>
      <c r="L56" s="40">
        <v>2</v>
      </c>
    </row>
    <row r="57" ht="15" spans="1:12">
      <c r="A57" s="18"/>
      <c r="B57" s="17"/>
      <c r="C57" s="13"/>
      <c r="D57" s="13"/>
      <c r="E57" s="21"/>
      <c r="F57" s="20"/>
      <c r="G57" s="13">
        <v>13</v>
      </c>
      <c r="H57" s="241" t="s">
        <v>251</v>
      </c>
      <c r="I57" s="15" t="s">
        <v>63</v>
      </c>
      <c r="J57" s="16"/>
      <c r="K57" s="30"/>
      <c r="L57" s="40">
        <v>4</v>
      </c>
    </row>
    <row r="58" ht="15" spans="1:12">
      <c r="A58" s="18"/>
      <c r="B58" s="17"/>
      <c r="C58" s="13"/>
      <c r="D58" s="13"/>
      <c r="E58" s="34" t="s">
        <v>177</v>
      </c>
      <c r="F58" s="34"/>
      <c r="G58" s="34"/>
      <c r="H58" s="34"/>
      <c r="I58" s="34"/>
      <c r="J58" s="35"/>
      <c r="K58" s="36"/>
      <c r="L58" s="37">
        <f>SUM(L48:L57)</f>
        <v>41.5</v>
      </c>
    </row>
    <row r="59" ht="15.6" spans="1:12">
      <c r="A59" s="18"/>
      <c r="B59" s="17"/>
      <c r="C59" s="13"/>
      <c r="D59" s="13"/>
      <c r="E59" s="30" t="s">
        <v>178</v>
      </c>
      <c r="F59" s="30"/>
      <c r="G59" s="30"/>
      <c r="H59" s="38"/>
      <c r="I59" s="13"/>
      <c r="J59" s="39"/>
      <c r="K59" s="30"/>
      <c r="L59" s="40"/>
    </row>
    <row r="60" ht="15" spans="1:12">
      <c r="A60" s="258"/>
      <c r="B60" s="17"/>
      <c r="C60" s="13"/>
      <c r="D60" s="13"/>
      <c r="E60" s="30"/>
      <c r="F60" s="30"/>
      <c r="G60" s="30"/>
      <c r="H60" s="14"/>
      <c r="I60" s="30"/>
      <c r="J60" s="39"/>
      <c r="K60" s="30"/>
      <c r="L60" s="40"/>
    </row>
  </sheetData>
  <mergeCells count="68">
    <mergeCell ref="E10:H10"/>
    <mergeCell ref="E16:H16"/>
    <mergeCell ref="E21:H21"/>
    <mergeCell ref="E28:H28"/>
    <mergeCell ref="E35:H35"/>
    <mergeCell ref="E45:H45"/>
    <mergeCell ref="E58:H58"/>
    <mergeCell ref="A2:A12"/>
    <mergeCell ref="A13:A18"/>
    <mergeCell ref="A19:A23"/>
    <mergeCell ref="A24:A30"/>
    <mergeCell ref="A31:A37"/>
    <mergeCell ref="A38:A47"/>
    <mergeCell ref="A48:A60"/>
    <mergeCell ref="B2:B12"/>
    <mergeCell ref="B13:B18"/>
    <mergeCell ref="B19:B23"/>
    <mergeCell ref="B24:B30"/>
    <mergeCell ref="B31:B37"/>
    <mergeCell ref="B38:B47"/>
    <mergeCell ref="B48:B60"/>
    <mergeCell ref="C2:C12"/>
    <mergeCell ref="C13:C18"/>
    <mergeCell ref="C19:C23"/>
    <mergeCell ref="C24:C30"/>
    <mergeCell ref="C31:C37"/>
    <mergeCell ref="C38:C47"/>
    <mergeCell ref="C48:C60"/>
    <mergeCell ref="D2:D12"/>
    <mergeCell ref="D13:D18"/>
    <mergeCell ref="D19:D23"/>
    <mergeCell ref="D24:D30"/>
    <mergeCell ref="D31:D37"/>
    <mergeCell ref="D38:D47"/>
    <mergeCell ref="D48:D60"/>
    <mergeCell ref="E2:E9"/>
    <mergeCell ref="E11:E12"/>
    <mergeCell ref="E13:E15"/>
    <mergeCell ref="E17:E18"/>
    <mergeCell ref="E19:E20"/>
    <mergeCell ref="E22:E23"/>
    <mergeCell ref="E24:E27"/>
    <mergeCell ref="E29:E30"/>
    <mergeCell ref="E31:E34"/>
    <mergeCell ref="E36:E37"/>
    <mergeCell ref="E38:E44"/>
    <mergeCell ref="E46:E47"/>
    <mergeCell ref="E48:E57"/>
    <mergeCell ref="E59:E60"/>
    <mergeCell ref="F2:F9"/>
    <mergeCell ref="F11:F12"/>
    <mergeCell ref="F13:F15"/>
    <mergeCell ref="F17:F18"/>
    <mergeCell ref="F19:F20"/>
    <mergeCell ref="F22:F23"/>
    <mergeCell ref="F24:F25"/>
    <mergeCell ref="F26:F27"/>
    <mergeCell ref="F29:F30"/>
    <mergeCell ref="F31:F34"/>
    <mergeCell ref="F36:F37"/>
    <mergeCell ref="F38:F44"/>
    <mergeCell ref="F46:F47"/>
    <mergeCell ref="F48:F57"/>
    <mergeCell ref="F59:F60"/>
    <mergeCell ref="G5:G7"/>
    <mergeCell ref="G8:G9"/>
    <mergeCell ref="H5:H7"/>
    <mergeCell ref="H8:H9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Z31"/>
  <sheetViews>
    <sheetView workbookViewId="0">
      <pane ySplit="1" topLeftCell="A2" activePane="bottomLeft" state="frozen"/>
      <selection/>
      <selection pane="bottomLeft" activeCell="A20" sqref="A20:J31"/>
    </sheetView>
  </sheetViews>
  <sheetFormatPr defaultColWidth="8.71296296296296" defaultRowHeight="13.2"/>
  <cols>
    <col min="1" max="1" width="22.4259259259259" style="211" customWidth="1"/>
    <col min="2" max="2" width="11.7222222222222" style="211" customWidth="1"/>
    <col min="3" max="7" width="9.14814814814815" style="211"/>
    <col min="8" max="8" width="59.7222222222222" style="211" customWidth="1"/>
    <col min="9" max="11" width="9.14814814814815" style="211"/>
    <col min="12" max="12" width="19.5740740740741" style="212" customWidth="1"/>
    <col min="13" max="16384" width="9.14814814814815" style="211"/>
  </cols>
  <sheetData>
    <row r="1" ht="69.6" spans="1:26">
      <c r="A1" s="213" t="s">
        <v>144</v>
      </c>
      <c r="B1" s="214" t="s">
        <v>6</v>
      </c>
      <c r="C1" s="213" t="s">
        <v>145</v>
      </c>
      <c r="D1" s="213" t="s">
        <v>146</v>
      </c>
      <c r="E1" s="214" t="s">
        <v>147</v>
      </c>
      <c r="F1" s="213" t="s">
        <v>148</v>
      </c>
      <c r="G1" s="213" t="s">
        <v>1</v>
      </c>
      <c r="H1" s="215" t="s">
        <v>149</v>
      </c>
      <c r="I1" s="213" t="s">
        <v>150</v>
      </c>
      <c r="J1" s="216" t="s">
        <v>151</v>
      </c>
      <c r="K1" s="213" t="s">
        <v>152</v>
      </c>
      <c r="L1" s="217" t="s">
        <v>153</v>
      </c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</row>
    <row r="2" ht="15.6" spans="1:26">
      <c r="A2" s="213" t="s">
        <v>252</v>
      </c>
      <c r="B2" s="219" t="s">
        <v>253</v>
      </c>
      <c r="C2" s="220">
        <v>0.98</v>
      </c>
      <c r="D2" s="221"/>
      <c r="E2" s="222" t="s">
        <v>156</v>
      </c>
      <c r="F2" s="221" t="s">
        <v>77</v>
      </c>
      <c r="G2" s="221">
        <v>1</v>
      </c>
      <c r="H2" s="223" t="s">
        <v>254</v>
      </c>
      <c r="I2" s="15"/>
      <c r="J2" s="220"/>
      <c r="K2" s="221"/>
      <c r="L2" s="219"/>
    </row>
    <row r="3" ht="28" customHeight="1" spans="1:26">
      <c r="A3" s="213"/>
      <c r="B3" s="219"/>
      <c r="C3" s="221"/>
      <c r="D3" s="221"/>
      <c r="E3" s="34" t="s">
        <v>177</v>
      </c>
      <c r="F3" s="34"/>
      <c r="G3" s="34"/>
      <c r="H3" s="34"/>
      <c r="I3" s="34"/>
      <c r="J3" s="35"/>
      <c r="K3" s="36"/>
      <c r="L3" s="37">
        <f>SUM(L2)</f>
        <v>0</v>
      </c>
    </row>
    <row r="4" ht="30" customHeight="1" spans="1:26">
      <c r="A4" s="213"/>
      <c r="B4" s="219"/>
      <c r="C4" s="221"/>
      <c r="D4" s="221"/>
      <c r="E4" s="222" t="s">
        <v>178</v>
      </c>
      <c r="F4" s="222" t="s">
        <v>77</v>
      </c>
      <c r="G4" s="222">
        <v>1</v>
      </c>
      <c r="H4" s="224" t="s">
        <v>254</v>
      </c>
      <c r="I4" s="221"/>
      <c r="J4" s="225"/>
      <c r="K4" s="222"/>
      <c r="L4" s="226"/>
    </row>
    <row r="5" ht="15.6" spans="1:26">
      <c r="A5" s="213" t="s">
        <v>255</v>
      </c>
      <c r="B5" s="219" t="s">
        <v>60</v>
      </c>
      <c r="C5" s="220">
        <v>1</v>
      </c>
      <c r="D5" s="221"/>
      <c r="E5" s="222" t="s">
        <v>156</v>
      </c>
      <c r="F5" s="221" t="s">
        <v>190</v>
      </c>
      <c r="G5" s="221">
        <v>1</v>
      </c>
      <c r="H5" s="223" t="s">
        <v>256</v>
      </c>
      <c r="I5" s="15" t="s">
        <v>257</v>
      </c>
      <c r="J5" s="220">
        <v>0.99</v>
      </c>
      <c r="K5" s="222"/>
      <c r="L5" s="219">
        <v>3</v>
      </c>
    </row>
    <row r="6" ht="15.6" spans="1:26">
      <c r="A6" s="213"/>
      <c r="B6" s="219"/>
      <c r="C6" s="220"/>
      <c r="D6" s="221"/>
      <c r="E6" s="222"/>
      <c r="F6" s="221"/>
      <c r="G6" s="221">
        <v>2</v>
      </c>
      <c r="H6" s="223" t="s">
        <v>258</v>
      </c>
      <c r="I6" s="15" t="s">
        <v>253</v>
      </c>
      <c r="J6" s="220">
        <v>1</v>
      </c>
      <c r="K6" s="222"/>
      <c r="L6" s="219">
        <v>1</v>
      </c>
    </row>
    <row r="7" ht="15.6" spans="1:26">
      <c r="A7" s="213"/>
      <c r="B7" s="219"/>
      <c r="C7" s="220"/>
      <c r="D7" s="221"/>
      <c r="E7" s="222"/>
      <c r="F7" s="221"/>
      <c r="G7" s="221">
        <v>3</v>
      </c>
      <c r="H7" s="223" t="s">
        <v>259</v>
      </c>
      <c r="I7" s="15" t="s">
        <v>244</v>
      </c>
      <c r="J7" s="220">
        <v>0.85</v>
      </c>
      <c r="K7" s="222"/>
      <c r="L7" s="219">
        <v>1</v>
      </c>
    </row>
    <row r="8" ht="15.6" spans="1:26">
      <c r="A8" s="213"/>
      <c r="B8" s="219"/>
      <c r="C8" s="220"/>
      <c r="D8" s="221"/>
      <c r="E8" s="222"/>
      <c r="F8" s="221"/>
      <c r="G8" s="221">
        <v>4</v>
      </c>
      <c r="H8" s="223"/>
      <c r="I8" s="15" t="s">
        <v>260</v>
      </c>
      <c r="J8" s="220"/>
      <c r="K8" s="222"/>
      <c r="L8" s="219">
        <v>1</v>
      </c>
    </row>
    <row r="9" ht="15.6" spans="1:26">
      <c r="A9" s="213"/>
      <c r="B9" s="219"/>
      <c r="C9" s="220"/>
      <c r="D9" s="221"/>
      <c r="E9" s="222"/>
      <c r="F9" s="221"/>
      <c r="G9" s="221">
        <v>5</v>
      </c>
      <c r="H9" s="223" t="s">
        <v>261</v>
      </c>
      <c r="I9" s="15" t="s">
        <v>248</v>
      </c>
      <c r="J9" s="220">
        <v>0.8</v>
      </c>
      <c r="K9" s="222"/>
      <c r="L9" s="219">
        <v>2</v>
      </c>
    </row>
    <row r="10" ht="15.6" spans="1:26">
      <c r="A10" s="213"/>
      <c r="B10" s="219"/>
      <c r="C10" s="220"/>
      <c r="D10" s="221"/>
      <c r="E10" s="222"/>
      <c r="F10" s="221"/>
      <c r="G10" s="221">
        <v>6</v>
      </c>
      <c r="H10" s="223" t="s">
        <v>262</v>
      </c>
      <c r="I10" s="15" t="s">
        <v>263</v>
      </c>
      <c r="J10" s="220">
        <v>1</v>
      </c>
      <c r="K10" s="222"/>
      <c r="L10" s="219">
        <v>0.5</v>
      </c>
    </row>
    <row r="11" ht="27" customHeight="1" spans="1:26">
      <c r="A11" s="213"/>
      <c r="B11" s="219"/>
      <c r="C11" s="220"/>
      <c r="D11" s="221"/>
      <c r="E11" s="34" t="s">
        <v>177</v>
      </c>
      <c r="F11" s="34"/>
      <c r="G11" s="34"/>
      <c r="H11" s="34"/>
      <c r="I11" s="34"/>
      <c r="J11" s="35"/>
      <c r="K11" s="36"/>
      <c r="L11" s="37">
        <f>SUM(L10)</f>
        <v>0.5</v>
      </c>
    </row>
    <row r="12" ht="15.6" spans="1:26">
      <c r="A12" s="213"/>
      <c r="B12" s="219"/>
      <c r="C12" s="220"/>
      <c r="D12" s="221"/>
      <c r="E12" s="222" t="s">
        <v>178</v>
      </c>
      <c r="F12" s="222" t="s">
        <v>190</v>
      </c>
      <c r="G12" s="222">
        <v>1</v>
      </c>
      <c r="H12" s="224" t="s">
        <v>264</v>
      </c>
      <c r="I12" s="221" t="s">
        <v>257</v>
      </c>
      <c r="J12" s="225"/>
      <c r="K12" s="222"/>
      <c r="L12" s="226"/>
    </row>
    <row r="13" ht="15" spans="1:26">
      <c r="A13" s="227"/>
      <c r="B13" s="228"/>
      <c r="C13" s="229"/>
      <c r="D13" s="230"/>
      <c r="E13" s="231"/>
      <c r="F13" s="231"/>
      <c r="G13" s="222">
        <v>2</v>
      </c>
      <c r="H13" s="232" t="s">
        <v>265</v>
      </c>
      <c r="I13" s="15" t="s">
        <v>244</v>
      </c>
      <c r="J13" s="220"/>
      <c r="K13" s="222"/>
      <c r="L13" s="226"/>
    </row>
    <row r="14" ht="15" spans="1:26">
      <c r="A14" s="227" t="s">
        <v>266</v>
      </c>
      <c r="B14" s="228" t="s">
        <v>63</v>
      </c>
      <c r="C14" s="229">
        <v>0.85</v>
      </c>
      <c r="D14" s="230"/>
      <c r="E14" s="231" t="s">
        <v>156</v>
      </c>
      <c r="F14" s="230" t="s">
        <v>77</v>
      </c>
      <c r="G14" s="221">
        <v>1</v>
      </c>
      <c r="H14" s="232" t="s">
        <v>258</v>
      </c>
      <c r="I14" s="15" t="s">
        <v>219</v>
      </c>
      <c r="J14" s="220">
        <v>0.95</v>
      </c>
      <c r="K14" s="222"/>
      <c r="L14" s="226">
        <v>1</v>
      </c>
    </row>
    <row r="15" ht="15" spans="1:26">
      <c r="A15" s="233"/>
      <c r="B15" s="234"/>
      <c r="C15" s="235"/>
      <c r="D15" s="236"/>
      <c r="E15" s="237"/>
      <c r="F15" s="236"/>
      <c r="G15" s="221">
        <v>2</v>
      </c>
      <c r="H15" s="232" t="s">
        <v>267</v>
      </c>
      <c r="I15" s="15" t="s">
        <v>248</v>
      </c>
      <c r="J15" s="220"/>
      <c r="K15" s="222"/>
      <c r="L15" s="226">
        <v>3</v>
      </c>
    </row>
    <row r="16" ht="15" spans="1:26">
      <c r="A16" s="233"/>
      <c r="B16" s="234"/>
      <c r="C16" s="235"/>
      <c r="D16" s="236"/>
      <c r="E16" s="237"/>
      <c r="F16" s="236"/>
      <c r="G16" s="221">
        <v>3</v>
      </c>
      <c r="H16" s="232" t="s">
        <v>268</v>
      </c>
      <c r="I16" s="15" t="s">
        <v>246</v>
      </c>
      <c r="J16" s="220"/>
      <c r="K16" s="222"/>
      <c r="L16" s="226">
        <v>4</v>
      </c>
    </row>
    <row r="17" ht="15" spans="1:12">
      <c r="A17" s="233"/>
      <c r="B17" s="234"/>
      <c r="C17" s="235"/>
      <c r="D17" s="236"/>
      <c r="E17" s="237"/>
      <c r="F17" s="236"/>
      <c r="G17" s="221">
        <v>4</v>
      </c>
      <c r="H17" s="232" t="s">
        <v>269</v>
      </c>
      <c r="I17" s="15" t="s">
        <v>232</v>
      </c>
      <c r="J17" s="220"/>
      <c r="K17" s="222"/>
      <c r="L17" s="226">
        <v>1</v>
      </c>
    </row>
    <row r="18" ht="15" spans="1:12">
      <c r="A18" s="233"/>
      <c r="B18" s="234"/>
      <c r="C18" s="235"/>
      <c r="D18" s="236"/>
      <c r="E18" s="34" t="s">
        <v>177</v>
      </c>
      <c r="F18" s="34"/>
      <c r="G18" s="34"/>
      <c r="H18" s="34"/>
      <c r="I18" s="34"/>
      <c r="J18" s="35"/>
      <c r="K18" s="36"/>
      <c r="L18" s="37">
        <f>SUM(L14:L17)</f>
        <v>9</v>
      </c>
    </row>
    <row r="19" ht="15" spans="1:12">
      <c r="A19" s="233"/>
      <c r="B19" s="234"/>
      <c r="C19" s="235"/>
      <c r="D19" s="236"/>
      <c r="E19" s="231" t="s">
        <v>178</v>
      </c>
      <c r="F19" s="230" t="s">
        <v>77</v>
      </c>
      <c r="G19" s="221">
        <v>1</v>
      </c>
      <c r="H19" s="232" t="s">
        <v>270</v>
      </c>
      <c r="I19" s="15" t="s">
        <v>219</v>
      </c>
      <c r="J19" s="238"/>
      <c r="K19" s="222"/>
      <c r="L19" s="226"/>
    </row>
    <row r="20" ht="27" customHeight="1" spans="1:12">
      <c r="A20" s="213" t="s">
        <v>271</v>
      </c>
      <c r="B20" s="219" t="s">
        <v>66</v>
      </c>
      <c r="C20" s="221"/>
      <c r="D20" s="221"/>
      <c r="E20" s="222" t="s">
        <v>156</v>
      </c>
      <c r="F20" s="221" t="s">
        <v>68</v>
      </c>
      <c r="G20" s="221">
        <v>1</v>
      </c>
      <c r="H20" s="223" t="s">
        <v>272</v>
      </c>
      <c r="I20" s="15" t="s">
        <v>273</v>
      </c>
      <c r="J20" s="220">
        <v>1</v>
      </c>
      <c r="K20" s="222"/>
      <c r="L20" s="226">
        <v>2</v>
      </c>
    </row>
    <row r="21" ht="15" spans="1:12">
      <c r="A21" s="213"/>
      <c r="B21" s="219"/>
      <c r="C21" s="221"/>
      <c r="D21" s="221"/>
      <c r="E21" s="222"/>
      <c r="F21" s="221"/>
      <c r="G21" s="221"/>
      <c r="H21" s="223"/>
      <c r="I21" s="15" t="s">
        <v>41</v>
      </c>
      <c r="J21" s="220"/>
      <c r="K21" s="222"/>
      <c r="L21" s="226">
        <v>4</v>
      </c>
    </row>
    <row r="22" ht="15" spans="1:12">
      <c r="A22" s="213"/>
      <c r="B22" s="219"/>
      <c r="C22" s="221"/>
      <c r="D22" s="221"/>
      <c r="E22" s="222"/>
      <c r="F22" s="221"/>
      <c r="G22" s="221"/>
      <c r="H22" s="223"/>
      <c r="I22" s="15" t="s">
        <v>60</v>
      </c>
      <c r="J22" s="220"/>
      <c r="K22" s="222"/>
      <c r="L22" s="226">
        <v>1</v>
      </c>
    </row>
    <row r="23" ht="15" spans="1:12">
      <c r="A23" s="213"/>
      <c r="B23" s="219"/>
      <c r="C23" s="221"/>
      <c r="D23" s="221"/>
      <c r="E23" s="222"/>
      <c r="F23" s="221"/>
      <c r="G23" s="221"/>
      <c r="H23" s="223"/>
      <c r="I23" s="15" t="s">
        <v>253</v>
      </c>
      <c r="J23" s="220"/>
      <c r="K23" s="222"/>
      <c r="L23" s="226">
        <v>1</v>
      </c>
    </row>
    <row r="24" ht="15" spans="1:12">
      <c r="A24" s="213"/>
      <c r="B24" s="219"/>
      <c r="C24" s="221"/>
      <c r="D24" s="221"/>
      <c r="E24" s="222"/>
      <c r="F24" s="221"/>
      <c r="G24" s="221">
        <v>2</v>
      </c>
      <c r="H24" s="223" t="s">
        <v>274</v>
      </c>
      <c r="I24" s="15" t="s">
        <v>275</v>
      </c>
      <c r="J24" s="220">
        <v>1</v>
      </c>
      <c r="K24" s="222"/>
      <c r="L24" s="226">
        <v>5</v>
      </c>
    </row>
    <row r="25" ht="15" spans="1:12">
      <c r="A25" s="213"/>
      <c r="B25" s="219"/>
      <c r="C25" s="221"/>
      <c r="D25" s="221"/>
      <c r="E25" s="222"/>
      <c r="F25" s="221"/>
      <c r="G25" s="221">
        <v>3</v>
      </c>
      <c r="H25" s="223" t="s">
        <v>276</v>
      </c>
      <c r="I25" s="15" t="s">
        <v>253</v>
      </c>
      <c r="J25" s="220">
        <v>1</v>
      </c>
      <c r="K25" s="222"/>
      <c r="L25" s="226">
        <v>1.5</v>
      </c>
    </row>
    <row r="26" ht="15" spans="1:12">
      <c r="A26" s="213"/>
      <c r="B26" s="219"/>
      <c r="C26" s="221"/>
      <c r="D26" s="221"/>
      <c r="E26" s="222"/>
      <c r="F26" s="221"/>
      <c r="G26" s="221">
        <v>4</v>
      </c>
      <c r="H26" s="223" t="s">
        <v>277</v>
      </c>
      <c r="I26" s="15" t="s">
        <v>60</v>
      </c>
      <c r="J26" s="220">
        <v>1</v>
      </c>
      <c r="K26" s="222"/>
      <c r="L26" s="226">
        <v>3</v>
      </c>
    </row>
    <row r="27" ht="15" spans="1:12">
      <c r="A27" s="213"/>
      <c r="B27" s="219"/>
      <c r="C27" s="221"/>
      <c r="D27" s="221"/>
      <c r="E27" s="222"/>
      <c r="F27" s="221"/>
      <c r="G27" s="221"/>
      <c r="H27" s="223"/>
      <c r="I27" s="15" t="s">
        <v>253</v>
      </c>
      <c r="J27" s="220"/>
      <c r="K27" s="222"/>
      <c r="L27" s="226">
        <v>1.5</v>
      </c>
    </row>
    <row r="28" ht="15" spans="1:12">
      <c r="A28" s="213"/>
      <c r="B28" s="219"/>
      <c r="C28" s="221"/>
      <c r="D28" s="221"/>
      <c r="E28" s="34" t="s">
        <v>177</v>
      </c>
      <c r="F28" s="34"/>
      <c r="G28" s="34"/>
      <c r="H28" s="34"/>
      <c r="I28" s="34"/>
      <c r="J28" s="35"/>
      <c r="K28" s="36"/>
      <c r="L28" s="37">
        <f>SUM(L20:L27)</f>
        <v>19</v>
      </c>
    </row>
    <row r="29" ht="15" spans="1:12">
      <c r="A29" s="213"/>
      <c r="B29" s="219"/>
      <c r="C29" s="221"/>
      <c r="D29" s="221"/>
      <c r="E29" s="222" t="s">
        <v>178</v>
      </c>
      <c r="F29" s="222" t="s">
        <v>68</v>
      </c>
      <c r="G29" s="221">
        <v>1</v>
      </c>
      <c r="H29" s="232" t="s">
        <v>278</v>
      </c>
      <c r="I29" s="15" t="s">
        <v>60</v>
      </c>
      <c r="J29" s="225"/>
      <c r="K29" s="222"/>
      <c r="L29" s="226"/>
    </row>
    <row r="30" ht="15" spans="1:12">
      <c r="A30" s="213"/>
      <c r="B30" s="219"/>
      <c r="C30" s="221"/>
      <c r="D30" s="221"/>
      <c r="E30" s="222"/>
      <c r="F30" s="222"/>
      <c r="G30" s="221">
        <v>2</v>
      </c>
      <c r="H30" s="223" t="s">
        <v>279</v>
      </c>
      <c r="I30" s="15" t="s">
        <v>253</v>
      </c>
      <c r="J30" s="225"/>
      <c r="K30" s="222"/>
      <c r="L30" s="226"/>
    </row>
    <row r="31" ht="15" spans="1:12">
      <c r="A31" s="213"/>
      <c r="B31" s="219"/>
      <c r="C31" s="221"/>
      <c r="D31" s="221"/>
      <c r="E31" s="222"/>
      <c r="F31" s="222"/>
      <c r="G31" s="221">
        <v>3</v>
      </c>
      <c r="H31" s="223" t="s">
        <v>280</v>
      </c>
      <c r="I31" s="15" t="s">
        <v>253</v>
      </c>
      <c r="J31" s="225"/>
      <c r="K31" s="222"/>
      <c r="L31" s="226"/>
    </row>
  </sheetData>
  <mergeCells count="39">
    <mergeCell ref="E3:H3"/>
    <mergeCell ref="E11:H11"/>
    <mergeCell ref="E18:H18"/>
    <mergeCell ref="E28:H28"/>
    <mergeCell ref="A2:A4"/>
    <mergeCell ref="A5:A13"/>
    <mergeCell ref="A14:A19"/>
    <mergeCell ref="A20:A31"/>
    <mergeCell ref="B2:B4"/>
    <mergeCell ref="B5:B13"/>
    <mergeCell ref="B14:B19"/>
    <mergeCell ref="B20:B31"/>
    <mergeCell ref="C2:C4"/>
    <mergeCell ref="C5:C13"/>
    <mergeCell ref="C14:C19"/>
    <mergeCell ref="C20:C31"/>
    <mergeCell ref="D2:D4"/>
    <mergeCell ref="D5:D13"/>
    <mergeCell ref="D14:D19"/>
    <mergeCell ref="D20:D31"/>
    <mergeCell ref="E5:E10"/>
    <mergeCell ref="E12:E13"/>
    <mergeCell ref="E14:E17"/>
    <mergeCell ref="E20:E27"/>
    <mergeCell ref="E29:E31"/>
    <mergeCell ref="F5:F10"/>
    <mergeCell ref="F12:F13"/>
    <mergeCell ref="F14:F17"/>
    <mergeCell ref="F20:F27"/>
    <mergeCell ref="F29:F31"/>
    <mergeCell ref="G20:G23"/>
    <mergeCell ref="G26:G27"/>
    <mergeCell ref="H7:H8"/>
    <mergeCell ref="H20:H23"/>
    <mergeCell ref="H26:H27"/>
    <mergeCell ref="J7:J8"/>
    <mergeCell ref="J14:J17"/>
    <mergeCell ref="J20:J23"/>
    <mergeCell ref="J26:J27"/>
  </mergeCells>
  <pageMargins left="0.699305555555556" right="0.699305555555556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Z27"/>
  <sheetViews>
    <sheetView workbookViewId="0">
      <pane ySplit="1" topLeftCell="A2" activePane="bottomLeft" state="frozen"/>
      <selection/>
      <selection pane="bottomLeft" activeCell="A16" sqref="A16:H21"/>
    </sheetView>
  </sheetViews>
  <sheetFormatPr defaultColWidth="9.13888888888889" defaultRowHeight="13.2"/>
  <cols>
    <col min="1" max="1" width="22.4259259259259" style="1" customWidth="1"/>
    <col min="2" max="2" width="11.712962962963" style="1" customWidth="1"/>
    <col min="3" max="3" width="12.5" style="1"/>
    <col min="4" max="7" width="9.13888888888889" style="1"/>
    <col min="8" max="8" width="59.712962962963" style="1" customWidth="1"/>
    <col min="9" max="11" width="9.13888888888889" style="1"/>
    <col min="12" max="12" width="19.5740740740741" style="2" customWidth="1"/>
    <col min="13" max="16384" width="9.13888888888889" style="1"/>
  </cols>
  <sheetData>
    <row r="1" ht="51.75" customHeight="1" spans="1:26">
      <c r="A1" s="3" t="s">
        <v>144</v>
      </c>
      <c r="B1" s="4" t="s">
        <v>6</v>
      </c>
      <c r="C1" s="3" t="s">
        <v>145</v>
      </c>
      <c r="D1" s="3" t="s">
        <v>146</v>
      </c>
      <c r="E1" s="4" t="s">
        <v>147</v>
      </c>
      <c r="F1" s="3" t="s">
        <v>148</v>
      </c>
      <c r="G1" s="3" t="s">
        <v>1</v>
      </c>
      <c r="H1" s="5" t="s">
        <v>149</v>
      </c>
      <c r="I1" s="3" t="s">
        <v>150</v>
      </c>
      <c r="J1" s="6" t="s">
        <v>151</v>
      </c>
      <c r="K1" s="3" t="s">
        <v>152</v>
      </c>
      <c r="L1" s="7" t="s">
        <v>153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" spans="1:26">
      <c r="A2" s="158" t="s">
        <v>281</v>
      </c>
      <c r="B2" s="159" t="s">
        <v>71</v>
      </c>
      <c r="C2" s="160" t="s">
        <v>282</v>
      </c>
      <c r="D2" s="161"/>
      <c r="E2" s="162" t="s">
        <v>156</v>
      </c>
      <c r="F2" s="161" t="s">
        <v>77</v>
      </c>
      <c r="G2" s="27">
        <v>1</v>
      </c>
      <c r="H2" s="84" t="s">
        <v>283</v>
      </c>
      <c r="I2" s="163" t="s">
        <v>83</v>
      </c>
      <c r="J2" s="86">
        <v>1</v>
      </c>
      <c r="K2" s="164"/>
      <c r="L2" s="165">
        <v>0.25</v>
      </c>
    </row>
    <row r="3" ht="15" spans="1:26">
      <c r="A3" s="166"/>
      <c r="B3" s="167"/>
      <c r="C3" s="168"/>
      <c r="D3" s="164"/>
      <c r="E3" s="169"/>
      <c r="F3" s="164"/>
      <c r="G3" s="13">
        <v>2</v>
      </c>
      <c r="H3" s="88"/>
      <c r="I3" s="163" t="s">
        <v>185</v>
      </c>
      <c r="J3" s="86">
        <v>1</v>
      </c>
      <c r="K3" s="164"/>
      <c r="L3" s="165">
        <v>0.25</v>
      </c>
    </row>
    <row r="4" ht="15" spans="1:26">
      <c r="A4" s="166"/>
      <c r="B4" s="167"/>
      <c r="C4" s="168"/>
      <c r="D4" s="164"/>
      <c r="E4" s="170"/>
      <c r="F4" s="171"/>
      <c r="G4" s="11">
        <v>3</v>
      </c>
      <c r="H4" s="172"/>
      <c r="I4" s="163"/>
      <c r="J4" s="86"/>
      <c r="K4" s="163"/>
      <c r="L4" s="165"/>
    </row>
    <row r="5" ht="15" spans="1:26">
      <c r="A5" s="166"/>
      <c r="B5" s="167"/>
      <c r="C5" s="168"/>
      <c r="D5" s="164"/>
      <c r="E5" s="173" t="s">
        <v>177</v>
      </c>
      <c r="F5" s="174"/>
      <c r="G5" s="174"/>
      <c r="H5" s="175"/>
      <c r="I5" s="176"/>
      <c r="J5" s="177"/>
      <c r="K5" s="178"/>
      <c r="L5" s="179">
        <f>SUM(L2:L4)</f>
        <v>0.5</v>
      </c>
    </row>
    <row r="6" ht="15.6" spans="1:26">
      <c r="A6" s="166"/>
      <c r="B6" s="167"/>
      <c r="C6" s="168"/>
      <c r="D6" s="164"/>
      <c r="E6" s="162" t="s">
        <v>178</v>
      </c>
      <c r="F6" s="180" t="s">
        <v>77</v>
      </c>
      <c r="G6" s="27">
        <v>1</v>
      </c>
      <c r="H6" s="181"/>
      <c r="I6" s="164"/>
      <c r="J6" s="182"/>
      <c r="K6" s="169"/>
      <c r="L6" s="165"/>
    </row>
    <row r="7" ht="15.6" spans="1:26">
      <c r="A7" s="166"/>
      <c r="B7" s="167"/>
      <c r="C7" s="168"/>
      <c r="D7" s="164"/>
      <c r="E7" s="169"/>
      <c r="F7" s="183"/>
      <c r="G7" s="13">
        <v>2</v>
      </c>
      <c r="H7" s="184"/>
      <c r="I7" s="169"/>
      <c r="J7" s="182"/>
      <c r="K7" s="169"/>
      <c r="L7" s="165"/>
    </row>
    <row r="8" ht="120" spans="1:26">
      <c r="A8" s="158" t="s">
        <v>284</v>
      </c>
      <c r="B8" s="159" t="s">
        <v>71</v>
      </c>
      <c r="C8" s="160" t="s">
        <v>285</v>
      </c>
      <c r="D8" s="161"/>
      <c r="E8" s="162" t="s">
        <v>156</v>
      </c>
      <c r="F8" s="161" t="s">
        <v>77</v>
      </c>
      <c r="G8" s="13">
        <v>1</v>
      </c>
      <c r="H8" s="185" t="s">
        <v>286</v>
      </c>
      <c r="I8" s="186" t="s">
        <v>83</v>
      </c>
      <c r="J8" s="86">
        <v>1</v>
      </c>
      <c r="K8" s="164"/>
      <c r="L8" s="165">
        <v>2</v>
      </c>
    </row>
    <row r="9" ht="15" spans="1:26">
      <c r="A9" s="158"/>
      <c r="B9" s="159"/>
      <c r="C9" s="160"/>
      <c r="D9" s="161"/>
      <c r="E9" s="162"/>
      <c r="F9" s="161"/>
      <c r="G9" s="13">
        <v>2</v>
      </c>
      <c r="H9" s="187"/>
      <c r="I9" s="186"/>
      <c r="J9" s="86"/>
      <c r="K9" s="164"/>
      <c r="L9" s="165"/>
    </row>
    <row r="10" ht="18" customHeight="1" spans="1:26">
      <c r="A10" s="158"/>
      <c r="B10" s="159"/>
      <c r="C10" s="160"/>
      <c r="D10" s="161"/>
      <c r="E10" s="162"/>
      <c r="F10" s="161"/>
      <c r="G10" s="13">
        <v>3</v>
      </c>
      <c r="H10" s="188"/>
      <c r="I10" s="186"/>
      <c r="J10" s="86"/>
      <c r="K10" s="164"/>
      <c r="L10" s="165"/>
    </row>
    <row r="11" ht="15" spans="1:26">
      <c r="A11" s="158"/>
      <c r="B11" s="159"/>
      <c r="C11" s="160"/>
      <c r="D11" s="161"/>
      <c r="E11" s="162"/>
      <c r="F11" s="161"/>
      <c r="G11" s="13">
        <v>4</v>
      </c>
      <c r="H11" s="189"/>
      <c r="I11" s="186"/>
      <c r="J11" s="86"/>
      <c r="K11" s="164"/>
      <c r="L11" s="165"/>
    </row>
    <row r="12" ht="15" spans="1:26">
      <c r="A12" s="158"/>
      <c r="B12" s="159"/>
      <c r="C12" s="160"/>
      <c r="D12" s="161"/>
      <c r="E12" s="162"/>
      <c r="F12" s="161"/>
      <c r="G12" s="13">
        <v>5</v>
      </c>
      <c r="H12" s="190"/>
      <c r="I12" s="186"/>
      <c r="J12" s="86"/>
      <c r="K12" s="164"/>
      <c r="L12" s="165"/>
    </row>
    <row r="13" ht="15" spans="1:26">
      <c r="A13" s="158"/>
      <c r="B13" s="159"/>
      <c r="C13" s="160"/>
      <c r="D13" s="161"/>
      <c r="E13" s="191" t="s">
        <v>177</v>
      </c>
      <c r="F13" s="191"/>
      <c r="G13" s="191"/>
      <c r="H13" s="191"/>
      <c r="I13" s="191"/>
      <c r="J13" s="177"/>
      <c r="K13" s="178"/>
      <c r="L13" s="179">
        <f>SUM(L8:L12)</f>
        <v>2</v>
      </c>
    </row>
    <row r="14" ht="15" spans="1:26">
      <c r="A14" s="158"/>
      <c r="B14" s="159"/>
      <c r="C14" s="160"/>
      <c r="D14" s="161"/>
      <c r="E14" s="169" t="s">
        <v>178</v>
      </c>
      <c r="F14" s="169" t="s">
        <v>77</v>
      </c>
      <c r="G14" s="13">
        <v>1</v>
      </c>
      <c r="H14" s="192"/>
      <c r="I14" s="186"/>
      <c r="J14" s="193"/>
      <c r="K14" s="169"/>
      <c r="L14" s="165"/>
    </row>
    <row r="15" ht="15" spans="1:26">
      <c r="A15" s="158"/>
      <c r="B15" s="159"/>
      <c r="C15" s="160"/>
      <c r="D15" s="161"/>
      <c r="E15" s="169"/>
      <c r="F15" s="169"/>
      <c r="G15" s="13">
        <v>2</v>
      </c>
      <c r="H15" s="192"/>
      <c r="I15" s="186"/>
      <c r="J15" s="193"/>
      <c r="K15" s="169"/>
      <c r="L15" s="165"/>
    </row>
    <row r="16" ht="32" customHeight="1" spans="1:26">
      <c r="A16" s="166" t="s">
        <v>287</v>
      </c>
      <c r="B16" s="167" t="s">
        <v>71</v>
      </c>
      <c r="C16" s="168" t="s">
        <v>288</v>
      </c>
      <c r="D16" s="164"/>
      <c r="E16" s="170" t="s">
        <v>156</v>
      </c>
      <c r="F16" s="171" t="s">
        <v>77</v>
      </c>
      <c r="G16" s="13">
        <v>1</v>
      </c>
      <c r="H16" s="194" t="s">
        <v>289</v>
      </c>
      <c r="I16" s="186" t="s">
        <v>290</v>
      </c>
      <c r="J16" s="86">
        <v>1</v>
      </c>
      <c r="K16" s="164"/>
      <c r="L16" s="165">
        <v>3</v>
      </c>
    </row>
    <row r="17" ht="27" customHeight="1" spans="1:12">
      <c r="A17" s="166"/>
      <c r="B17" s="167"/>
      <c r="C17" s="168"/>
      <c r="D17" s="164"/>
      <c r="E17" s="170"/>
      <c r="F17" s="171"/>
      <c r="G17" s="13">
        <v>2</v>
      </c>
      <c r="H17" s="84" t="s">
        <v>291</v>
      </c>
      <c r="I17" s="186" t="s">
        <v>71</v>
      </c>
      <c r="J17" s="86">
        <v>0.7</v>
      </c>
      <c r="K17" s="164"/>
      <c r="L17" s="165">
        <v>3</v>
      </c>
    </row>
    <row r="18" ht="27" customHeight="1" spans="1:12">
      <c r="A18" s="166"/>
      <c r="B18" s="167"/>
      <c r="C18" s="168"/>
      <c r="D18" s="164"/>
      <c r="E18" s="170"/>
      <c r="F18" s="171"/>
      <c r="G18" s="13">
        <v>3</v>
      </c>
      <c r="H18" s="195"/>
      <c r="I18" s="186" t="s">
        <v>292</v>
      </c>
      <c r="J18" s="86">
        <v>0.7</v>
      </c>
      <c r="K18" s="164"/>
      <c r="L18" s="165">
        <v>5</v>
      </c>
    </row>
    <row r="19" ht="15" spans="1:12">
      <c r="A19" s="166"/>
      <c r="B19" s="167"/>
      <c r="C19" s="168"/>
      <c r="D19" s="164"/>
      <c r="E19" s="191" t="s">
        <v>177</v>
      </c>
      <c r="F19" s="191"/>
      <c r="G19" s="191"/>
      <c r="H19" s="191"/>
      <c r="I19" s="191"/>
      <c r="J19" s="177"/>
      <c r="K19" s="178"/>
      <c r="L19" s="179">
        <f>SUM(L16:L18)</f>
        <v>11</v>
      </c>
    </row>
    <row r="20" ht="15" spans="1:12">
      <c r="A20" s="166"/>
      <c r="B20" s="167"/>
      <c r="C20" s="168"/>
      <c r="D20" s="164"/>
      <c r="E20" s="169" t="s">
        <v>178</v>
      </c>
      <c r="F20" s="169" t="s">
        <v>77</v>
      </c>
      <c r="G20" s="13">
        <v>1</v>
      </c>
      <c r="H20" s="192"/>
      <c r="I20" s="186"/>
      <c r="J20" s="193"/>
      <c r="K20" s="169"/>
      <c r="L20" s="165"/>
    </row>
    <row r="21" ht="15" spans="1:12">
      <c r="A21" s="166"/>
      <c r="B21" s="167"/>
      <c r="C21" s="168"/>
      <c r="D21" s="164"/>
      <c r="E21" s="169"/>
      <c r="F21" s="169"/>
      <c r="G21" s="13">
        <v>2</v>
      </c>
      <c r="H21" s="196"/>
      <c r="I21" s="186"/>
      <c r="J21" s="193"/>
      <c r="K21" s="169"/>
      <c r="L21" s="165"/>
    </row>
    <row r="22" ht="15" spans="1:12">
      <c r="A22" s="197" t="s">
        <v>293</v>
      </c>
      <c r="B22" s="198" t="s">
        <v>83</v>
      </c>
      <c r="C22" s="199" t="s">
        <v>282</v>
      </c>
      <c r="D22" s="200"/>
      <c r="E22" s="201" t="s">
        <v>156</v>
      </c>
      <c r="F22" s="200" t="s">
        <v>77</v>
      </c>
      <c r="G22" s="13">
        <v>1</v>
      </c>
      <c r="H22" s="202"/>
      <c r="I22" s="186"/>
      <c r="J22" s="86"/>
      <c r="K22" s="203"/>
      <c r="L22" s="79"/>
    </row>
    <row r="23" ht="15" spans="1:12">
      <c r="A23" s="197"/>
      <c r="B23" s="198"/>
      <c r="C23" s="199"/>
      <c r="D23" s="200"/>
      <c r="E23" s="201"/>
      <c r="F23" s="200"/>
      <c r="G23" s="13">
        <v>2</v>
      </c>
      <c r="H23" s="204"/>
      <c r="I23" s="186"/>
      <c r="J23" s="86"/>
      <c r="K23" s="203"/>
      <c r="L23" s="79"/>
    </row>
    <row r="24" ht="15" spans="1:12">
      <c r="A24" s="197"/>
      <c r="B24" s="198"/>
      <c r="C24" s="199"/>
      <c r="D24" s="200"/>
      <c r="E24" s="201"/>
      <c r="F24" s="200"/>
      <c r="G24" s="13">
        <v>3</v>
      </c>
      <c r="H24" s="205"/>
      <c r="I24" s="186"/>
      <c r="J24" s="77"/>
      <c r="K24" s="203"/>
      <c r="L24" s="79"/>
    </row>
    <row r="25" ht="15" spans="1:12">
      <c r="A25" s="197"/>
      <c r="B25" s="198"/>
      <c r="C25" s="199"/>
      <c r="D25" s="200"/>
      <c r="E25" s="206" t="s">
        <v>177</v>
      </c>
      <c r="F25" s="174"/>
      <c r="G25" s="174"/>
      <c r="H25" s="207"/>
      <c r="I25" s="35"/>
      <c r="J25" s="35"/>
      <c r="K25" s="208"/>
      <c r="L25" s="37">
        <f>SUM(L22:L24)</f>
        <v>0</v>
      </c>
    </row>
    <row r="26" ht="15" spans="1:12">
      <c r="A26" s="197"/>
      <c r="B26" s="198"/>
      <c r="C26" s="199"/>
      <c r="D26" s="200"/>
      <c r="E26" s="201" t="s">
        <v>178</v>
      </c>
      <c r="F26" s="201" t="s">
        <v>77</v>
      </c>
      <c r="G26" s="13">
        <v>1</v>
      </c>
      <c r="H26" s="209"/>
      <c r="I26" s="186"/>
      <c r="J26" s="77"/>
      <c r="K26" s="201"/>
      <c r="L26" s="79"/>
    </row>
    <row r="27" ht="15" spans="1:12">
      <c r="A27" s="197"/>
      <c r="B27" s="198"/>
      <c r="C27" s="199"/>
      <c r="D27" s="200"/>
      <c r="E27" s="201"/>
      <c r="F27" s="201"/>
      <c r="G27" s="13">
        <v>2</v>
      </c>
      <c r="H27" s="210"/>
      <c r="I27" s="186"/>
      <c r="J27" s="77"/>
      <c r="K27" s="201"/>
      <c r="L27" s="79"/>
    </row>
  </sheetData>
  <mergeCells count="39">
    <mergeCell ref="E5:H5"/>
    <mergeCell ref="E13:H13"/>
    <mergeCell ref="E19:H19"/>
    <mergeCell ref="E25:H25"/>
    <mergeCell ref="A2:A7"/>
    <mergeCell ref="A8:A15"/>
    <mergeCell ref="A16:A21"/>
    <mergeCell ref="A22:A27"/>
    <mergeCell ref="B2:B7"/>
    <mergeCell ref="B8:B15"/>
    <mergeCell ref="B16:B21"/>
    <mergeCell ref="B22:B27"/>
    <mergeCell ref="C2:C7"/>
    <mergeCell ref="C8:C15"/>
    <mergeCell ref="C16:C21"/>
    <mergeCell ref="C22:C27"/>
    <mergeCell ref="D2:D7"/>
    <mergeCell ref="D8:D15"/>
    <mergeCell ref="D16:D21"/>
    <mergeCell ref="D22:D27"/>
    <mergeCell ref="E2:E4"/>
    <mergeCell ref="E6:E7"/>
    <mergeCell ref="E8:E12"/>
    <mergeCell ref="E14:E15"/>
    <mergeCell ref="E16:E18"/>
    <mergeCell ref="E20:E21"/>
    <mergeCell ref="E22:E24"/>
    <mergeCell ref="E26:E27"/>
    <mergeCell ref="F2:F4"/>
    <mergeCell ref="F6:F7"/>
    <mergeCell ref="F8:F12"/>
    <mergeCell ref="F14:F15"/>
    <mergeCell ref="F16:F18"/>
    <mergeCell ref="F20:F21"/>
    <mergeCell ref="F22:F24"/>
    <mergeCell ref="F26:F27"/>
    <mergeCell ref="H2:H3"/>
    <mergeCell ref="H17:H18"/>
    <mergeCell ref="H22:H24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Z7"/>
  <sheetViews>
    <sheetView zoomScale="130" zoomScaleNormal="130" workbookViewId="0">
      <pane ySplit="1" topLeftCell="A2" activePane="bottomLeft" state="frozen"/>
      <selection/>
      <selection pane="bottomLeft" activeCell="F1" sqref="F1"/>
    </sheetView>
  </sheetViews>
  <sheetFormatPr defaultColWidth="9.16666666666667" defaultRowHeight="13.2" outlineLevelRow="6"/>
  <cols>
    <col min="1" max="1" width="22.4166666666667" style="135" customWidth="1"/>
    <col min="2" max="2" width="11.75" style="135" customWidth="1"/>
    <col min="3" max="7" width="9.16666666666667" style="135"/>
    <col min="8" max="8" width="59.75" style="135" customWidth="1"/>
    <col min="9" max="11" width="9.16666666666667" style="135"/>
    <col min="12" max="12" width="19.5833333333333" style="136" customWidth="1"/>
    <col min="13" max="16384" width="9.16666666666667" style="135"/>
  </cols>
  <sheetData>
    <row r="1" ht="69.6" spans="1:26">
      <c r="A1" s="137" t="s">
        <v>144</v>
      </c>
      <c r="B1" s="138" t="s">
        <v>6</v>
      </c>
      <c r="C1" s="137" t="s">
        <v>145</v>
      </c>
      <c r="D1" s="137" t="s">
        <v>146</v>
      </c>
      <c r="E1" s="138" t="s">
        <v>147</v>
      </c>
      <c r="F1" s="137" t="s">
        <v>148</v>
      </c>
      <c r="G1" s="137" t="s">
        <v>1</v>
      </c>
      <c r="H1" s="139" t="s">
        <v>149</v>
      </c>
      <c r="I1" s="137" t="s">
        <v>150</v>
      </c>
      <c r="J1" s="140" t="s">
        <v>151</v>
      </c>
      <c r="K1" s="137" t="s">
        <v>152</v>
      </c>
      <c r="L1" s="141" t="s">
        <v>153</v>
      </c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</row>
    <row r="2" ht="30" customHeight="1" spans="1:26">
      <c r="A2" s="137" t="s">
        <v>91</v>
      </c>
      <c r="B2" s="143" t="s">
        <v>89</v>
      </c>
      <c r="C2" s="144"/>
      <c r="D2" s="145"/>
      <c r="E2" s="146" t="s">
        <v>156</v>
      </c>
      <c r="F2" s="147" t="s">
        <v>190</v>
      </c>
      <c r="G2" s="145">
        <v>1</v>
      </c>
      <c r="H2" s="148" t="s">
        <v>294</v>
      </c>
      <c r="I2" s="149" t="s">
        <v>89</v>
      </c>
      <c r="J2" s="144">
        <v>1</v>
      </c>
      <c r="K2" s="150"/>
      <c r="L2" s="143">
        <v>5</v>
      </c>
    </row>
    <row r="3" ht="27" customHeight="1" spans="1:26">
      <c r="A3" s="137"/>
      <c r="B3" s="143"/>
      <c r="C3" s="145"/>
      <c r="D3" s="145"/>
      <c r="E3" s="151" t="s">
        <v>177</v>
      </c>
      <c r="F3" s="151"/>
      <c r="G3" s="151"/>
      <c r="H3" s="151"/>
      <c r="I3" s="151"/>
      <c r="J3" s="152"/>
      <c r="K3" s="153"/>
      <c r="L3" s="154">
        <f>SUM(L2)</f>
        <v>5</v>
      </c>
    </row>
    <row r="4" ht="25.5" customHeight="1" spans="1:26">
      <c r="A4" s="137"/>
      <c r="B4" s="143"/>
      <c r="C4" s="145"/>
      <c r="D4" s="145"/>
      <c r="E4" s="150" t="s">
        <v>178</v>
      </c>
      <c r="F4" s="150" t="s">
        <v>190</v>
      </c>
      <c r="G4" s="150">
        <v>1</v>
      </c>
      <c r="H4" s="148" t="s">
        <v>295</v>
      </c>
      <c r="I4" s="145" t="s">
        <v>89</v>
      </c>
      <c r="J4" s="155">
        <v>1</v>
      </c>
      <c r="K4" s="150"/>
      <c r="L4" s="156"/>
    </row>
    <row r="5" ht="26" customHeight="1" spans="1:26">
      <c r="A5" s="137" t="s">
        <v>296</v>
      </c>
      <c r="B5" s="143" t="s">
        <v>89</v>
      </c>
      <c r="C5" s="145"/>
      <c r="D5" s="145"/>
      <c r="E5" s="150" t="s">
        <v>156</v>
      </c>
      <c r="F5" s="145" t="s">
        <v>190</v>
      </c>
      <c r="G5" s="145">
        <v>1</v>
      </c>
      <c r="H5" s="157" t="s">
        <v>297</v>
      </c>
      <c r="I5" s="149" t="s">
        <v>298</v>
      </c>
      <c r="J5" s="144"/>
      <c r="K5" s="150"/>
      <c r="L5" s="156">
        <v>5</v>
      </c>
    </row>
    <row r="6" ht="15" spans="1:26">
      <c r="A6" s="137"/>
      <c r="B6" s="143"/>
      <c r="C6" s="145"/>
      <c r="D6" s="145"/>
      <c r="E6" s="151" t="s">
        <v>177</v>
      </c>
      <c r="F6" s="151"/>
      <c r="G6" s="151"/>
      <c r="H6" s="151"/>
      <c r="I6" s="151"/>
      <c r="J6" s="152"/>
      <c r="K6" s="153"/>
      <c r="L6" s="154">
        <f>SUM(L5:L5)</f>
        <v>5</v>
      </c>
    </row>
    <row r="7" ht="22.5" customHeight="1" spans="1:26">
      <c r="A7" s="137"/>
      <c r="B7" s="143"/>
      <c r="C7" s="145"/>
      <c r="D7" s="145"/>
      <c r="E7" s="150" t="s">
        <v>178</v>
      </c>
      <c r="F7" s="150" t="s">
        <v>68</v>
      </c>
      <c r="G7" s="145">
        <v>1</v>
      </c>
      <c r="H7" s="157" t="s">
        <v>297</v>
      </c>
      <c r="I7" s="149" t="s">
        <v>298</v>
      </c>
      <c r="J7" s="155"/>
      <c r="K7" s="150"/>
      <c r="L7" s="156"/>
    </row>
  </sheetData>
  <mergeCells count="10">
    <mergeCell ref="E3:H3"/>
    <mergeCell ref="E6:H6"/>
    <mergeCell ref="A2:A4"/>
    <mergeCell ref="A5:A7"/>
    <mergeCell ref="B2:B4"/>
    <mergeCell ref="B5:B7"/>
    <mergeCell ref="C2:C4"/>
    <mergeCell ref="C5:C7"/>
    <mergeCell ref="D2:D4"/>
    <mergeCell ref="D5:D7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Z29"/>
  <sheetViews>
    <sheetView workbookViewId="0">
      <pane ySplit="1" topLeftCell="A14" activePane="bottomLeft" state="frozen"/>
      <selection/>
      <selection pane="bottomLeft" activeCell="A22" sqref="A22:A29"/>
    </sheetView>
  </sheetViews>
  <sheetFormatPr defaultColWidth="9.13888888888889" defaultRowHeight="13.2"/>
  <cols>
    <col min="1" max="1" width="22.4259259259259" style="90" customWidth="1"/>
    <col min="2" max="2" width="11.712962962963" style="90" customWidth="1"/>
    <col min="3" max="5" width="9.13888888888889" style="90"/>
    <col min="6" max="6" width="23.287037037037" style="90" customWidth="1"/>
    <col min="7" max="7" width="9.13888888888889" style="90"/>
    <col min="8" max="8" width="59.712962962963" style="90" customWidth="1"/>
    <col min="9" max="11" width="9.13888888888889" style="90"/>
    <col min="12" max="12" width="19.5740740740741" style="91" customWidth="1"/>
    <col min="13" max="16384" width="9.13888888888889" style="90"/>
  </cols>
  <sheetData>
    <row r="1" ht="62.4" spans="1:26">
      <c r="A1" s="92" t="s">
        <v>144</v>
      </c>
      <c r="B1" s="93" t="s">
        <v>6</v>
      </c>
      <c r="C1" s="92" t="s">
        <v>145</v>
      </c>
      <c r="D1" s="92" t="s">
        <v>146</v>
      </c>
      <c r="E1" s="93" t="s">
        <v>147</v>
      </c>
      <c r="F1" s="92" t="s">
        <v>148</v>
      </c>
      <c r="G1" s="92" t="s">
        <v>1</v>
      </c>
      <c r="H1" s="94" t="s">
        <v>149</v>
      </c>
      <c r="I1" s="92" t="s">
        <v>150</v>
      </c>
      <c r="J1" s="95" t="s">
        <v>151</v>
      </c>
      <c r="K1" s="92" t="s">
        <v>152</v>
      </c>
      <c r="L1" s="96" t="s">
        <v>153</v>
      </c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ht="39.6" spans="1:26">
      <c r="A2" s="98" t="s">
        <v>299</v>
      </c>
      <c r="B2" s="99" t="s">
        <v>106</v>
      </c>
      <c r="C2" s="100">
        <v>10</v>
      </c>
      <c r="D2" s="100"/>
      <c r="E2" s="101" t="s">
        <v>156</v>
      </c>
      <c r="F2" s="100" t="s">
        <v>77</v>
      </c>
      <c r="G2" s="102">
        <v>1</v>
      </c>
      <c r="H2" s="103" t="s">
        <v>300</v>
      </c>
      <c r="I2" s="102" t="s">
        <v>106</v>
      </c>
      <c r="J2" s="104">
        <v>1</v>
      </c>
      <c r="K2" s="102"/>
      <c r="L2" s="105">
        <v>4</v>
      </c>
    </row>
    <row r="3" ht="39.6" spans="1:26">
      <c r="A3" s="106"/>
      <c r="B3" s="107"/>
      <c r="C3" s="108"/>
      <c r="D3" s="108"/>
      <c r="E3" s="109"/>
      <c r="F3" s="108"/>
      <c r="G3" s="110">
        <v>2</v>
      </c>
      <c r="H3" s="103" t="s">
        <v>301</v>
      </c>
      <c r="I3" s="102" t="s">
        <v>175</v>
      </c>
      <c r="J3" s="104">
        <v>1</v>
      </c>
      <c r="K3" s="102"/>
      <c r="L3" s="105">
        <v>4</v>
      </c>
    </row>
    <row r="4" spans="1:26">
      <c r="A4" s="106"/>
      <c r="B4" s="107"/>
      <c r="C4" s="108"/>
      <c r="D4" s="108"/>
      <c r="E4" s="111"/>
      <c r="F4" s="112"/>
      <c r="G4" s="102">
        <v>3</v>
      </c>
      <c r="H4" s="113"/>
      <c r="I4" s="102"/>
      <c r="J4" s="104"/>
      <c r="K4" s="102"/>
      <c r="L4" s="105"/>
    </row>
    <row r="5" spans="1:26">
      <c r="A5" s="106"/>
      <c r="B5" s="107"/>
      <c r="C5" s="108"/>
      <c r="D5" s="108"/>
      <c r="E5" s="114" t="s">
        <v>177</v>
      </c>
      <c r="F5" s="115"/>
      <c r="G5" s="115"/>
      <c r="H5" s="116"/>
      <c r="I5" s="117"/>
      <c r="J5" s="118"/>
      <c r="K5" s="119"/>
      <c r="L5" s="120">
        <v>8</v>
      </c>
    </row>
    <row r="6" ht="13.8" spans="1:26">
      <c r="A6" s="106"/>
      <c r="B6" s="107"/>
      <c r="C6" s="108"/>
      <c r="D6" s="108"/>
      <c r="E6" s="121" t="s">
        <v>178</v>
      </c>
      <c r="F6" s="121" t="s">
        <v>77</v>
      </c>
      <c r="G6" s="110">
        <v>1</v>
      </c>
      <c r="H6" s="122"/>
      <c r="I6" s="102"/>
      <c r="J6" s="123"/>
      <c r="K6" s="110"/>
      <c r="L6" s="105"/>
    </row>
    <row r="7" spans="1:26">
      <c r="A7" s="124"/>
      <c r="B7" s="125"/>
      <c r="C7" s="112"/>
      <c r="D7" s="112"/>
      <c r="E7" s="111"/>
      <c r="F7" s="111"/>
      <c r="G7" s="110">
        <v>2</v>
      </c>
      <c r="H7" s="113"/>
      <c r="I7" s="110"/>
      <c r="J7" s="123"/>
      <c r="K7" s="110"/>
      <c r="L7" s="105"/>
    </row>
    <row r="8" spans="1:26">
      <c r="A8" s="126" t="s">
        <v>108</v>
      </c>
      <c r="B8" s="127"/>
      <c r="C8" s="128"/>
      <c r="D8" s="128"/>
      <c r="E8" s="121" t="s">
        <v>156</v>
      </c>
      <c r="F8" s="128" t="s">
        <v>77</v>
      </c>
      <c r="G8" s="110">
        <v>1</v>
      </c>
      <c r="H8" s="129" t="s">
        <v>302</v>
      </c>
      <c r="I8" s="130" t="s">
        <v>303</v>
      </c>
      <c r="J8" s="104">
        <v>1</v>
      </c>
      <c r="K8" s="102"/>
      <c r="L8" s="105">
        <v>0.5</v>
      </c>
    </row>
    <row r="9" spans="1:26">
      <c r="A9" s="131"/>
      <c r="B9" s="107"/>
      <c r="C9" s="108"/>
      <c r="D9" s="108"/>
      <c r="E9" s="109"/>
      <c r="F9" s="112"/>
      <c r="G9" s="110">
        <v>2</v>
      </c>
      <c r="H9" s="132"/>
      <c r="I9" s="130"/>
      <c r="J9" s="104"/>
      <c r="K9" s="102"/>
      <c r="L9" s="105"/>
    </row>
    <row r="10" spans="1:26">
      <c r="A10" s="131"/>
      <c r="B10" s="107"/>
      <c r="C10" s="108"/>
      <c r="D10" s="108"/>
      <c r="E10" s="111"/>
      <c r="F10" s="102" t="s">
        <v>187</v>
      </c>
      <c r="G10" s="110">
        <v>4</v>
      </c>
      <c r="H10" s="129" t="s">
        <v>304</v>
      </c>
      <c r="I10" s="130" t="s">
        <v>113</v>
      </c>
      <c r="J10" s="104">
        <v>1</v>
      </c>
      <c r="K10" s="102"/>
      <c r="L10" s="105">
        <v>1</v>
      </c>
    </row>
    <row r="11" spans="1:26">
      <c r="A11" s="131"/>
      <c r="B11" s="107"/>
      <c r="C11" s="108"/>
      <c r="D11" s="108"/>
      <c r="E11" s="114" t="s">
        <v>177</v>
      </c>
      <c r="F11" s="115"/>
      <c r="G11" s="115"/>
      <c r="H11" s="116"/>
      <c r="I11" s="117"/>
      <c r="J11" s="118"/>
      <c r="K11" s="119"/>
      <c r="L11" s="120">
        <v>1.5</v>
      </c>
    </row>
    <row r="12" spans="1:26">
      <c r="A12" s="133"/>
      <c r="B12" s="125"/>
      <c r="C12" s="112"/>
      <c r="D12" s="112"/>
      <c r="E12" s="110" t="s">
        <v>178</v>
      </c>
      <c r="F12" s="110" t="s">
        <v>77</v>
      </c>
      <c r="G12" s="110">
        <v>1</v>
      </c>
      <c r="H12" s="132"/>
      <c r="I12" s="130"/>
      <c r="J12" s="123"/>
      <c r="K12" s="110"/>
      <c r="L12" s="105"/>
    </row>
    <row r="13" ht="36" spans="1:26">
      <c r="A13" s="126" t="s">
        <v>305</v>
      </c>
      <c r="B13" s="127"/>
      <c r="C13" s="128"/>
      <c r="D13" s="128"/>
      <c r="E13" s="121" t="s">
        <v>156</v>
      </c>
      <c r="F13" s="128" t="s">
        <v>77</v>
      </c>
      <c r="G13" s="110">
        <v>1</v>
      </c>
      <c r="H13" s="129" t="s">
        <v>306</v>
      </c>
      <c r="I13" s="130" t="s">
        <v>307</v>
      </c>
      <c r="J13" s="104">
        <v>1</v>
      </c>
      <c r="K13" s="102"/>
      <c r="L13" s="105">
        <v>4</v>
      </c>
    </row>
    <row r="14" ht="36" spans="1:26">
      <c r="A14" s="131"/>
      <c r="B14" s="107"/>
      <c r="C14" s="108"/>
      <c r="D14" s="108"/>
      <c r="E14" s="109"/>
      <c r="F14" s="108"/>
      <c r="G14" s="110">
        <v>2</v>
      </c>
      <c r="H14" s="134" t="s">
        <v>308</v>
      </c>
      <c r="I14" s="130" t="s">
        <v>309</v>
      </c>
      <c r="J14" s="104">
        <v>1</v>
      </c>
      <c r="K14" s="102"/>
      <c r="L14" s="105">
        <v>5</v>
      </c>
    </row>
    <row r="15" ht="36" spans="1:26">
      <c r="A15" s="131"/>
      <c r="B15" s="107"/>
      <c r="C15" s="108"/>
      <c r="D15" s="108"/>
      <c r="E15" s="109"/>
      <c r="F15" s="108"/>
      <c r="G15" s="110">
        <v>3</v>
      </c>
      <c r="H15" s="129" t="s">
        <v>310</v>
      </c>
      <c r="I15" s="130" t="s">
        <v>303</v>
      </c>
      <c r="J15" s="104">
        <v>1</v>
      </c>
      <c r="K15" s="104"/>
      <c r="L15" s="105">
        <v>3.5</v>
      </c>
    </row>
    <row r="16" ht="24" spans="1:26">
      <c r="A16" s="131"/>
      <c r="B16" s="107"/>
      <c r="C16" s="108"/>
      <c r="D16" s="108"/>
      <c r="E16" s="109"/>
      <c r="F16" s="108"/>
      <c r="G16" s="110">
        <v>4</v>
      </c>
      <c r="H16" s="129" t="s">
        <v>311</v>
      </c>
      <c r="I16" s="130" t="s">
        <v>312</v>
      </c>
      <c r="J16" s="104">
        <v>1</v>
      </c>
      <c r="K16" s="104"/>
      <c r="L16" s="105">
        <v>5</v>
      </c>
    </row>
    <row r="17" spans="1:12">
      <c r="A17" s="131"/>
      <c r="B17" s="107"/>
      <c r="C17" s="108"/>
      <c r="D17" s="108"/>
      <c r="E17" s="109"/>
      <c r="F17" s="108"/>
      <c r="G17" s="110">
        <v>5</v>
      </c>
      <c r="H17" s="129" t="s">
        <v>313</v>
      </c>
      <c r="I17" s="130" t="s">
        <v>113</v>
      </c>
      <c r="J17" s="104">
        <v>1</v>
      </c>
      <c r="K17" s="102"/>
      <c r="L17" s="105">
        <v>3</v>
      </c>
    </row>
    <row r="18" ht="48" spans="1:12">
      <c r="A18" s="131"/>
      <c r="B18" s="107"/>
      <c r="C18" s="108"/>
      <c r="D18" s="108"/>
      <c r="E18" s="109"/>
      <c r="F18" s="108"/>
      <c r="G18" s="110">
        <v>6</v>
      </c>
      <c r="H18" s="129" t="s">
        <v>314</v>
      </c>
      <c r="I18" s="130" t="s">
        <v>315</v>
      </c>
      <c r="J18" s="104">
        <v>1</v>
      </c>
      <c r="K18" s="102"/>
      <c r="L18" s="105">
        <v>5</v>
      </c>
    </row>
    <row r="19" spans="1:12">
      <c r="A19" s="131"/>
      <c r="B19" s="107"/>
      <c r="C19" s="108"/>
      <c r="D19" s="108"/>
      <c r="E19" s="111"/>
      <c r="F19" s="112"/>
      <c r="G19" s="110">
        <v>7</v>
      </c>
      <c r="H19" s="132"/>
      <c r="I19" s="130"/>
      <c r="J19" s="104"/>
      <c r="K19" s="102"/>
      <c r="L19" s="105"/>
    </row>
    <row r="20" spans="1:12">
      <c r="A20" s="131"/>
      <c r="B20" s="107"/>
      <c r="C20" s="108"/>
      <c r="D20" s="108"/>
      <c r="E20" s="114" t="s">
        <v>177</v>
      </c>
      <c r="F20" s="115"/>
      <c r="G20" s="115"/>
      <c r="H20" s="116"/>
      <c r="I20" s="117"/>
      <c r="J20" s="118"/>
      <c r="K20" s="119"/>
      <c r="L20" s="120">
        <v>25.5</v>
      </c>
    </row>
    <row r="21" spans="1:12">
      <c r="A21" s="133"/>
      <c r="B21" s="125"/>
      <c r="C21" s="112"/>
      <c r="D21" s="112"/>
      <c r="E21" s="110" t="s">
        <v>178</v>
      </c>
      <c r="F21" s="110" t="s">
        <v>77</v>
      </c>
      <c r="G21" s="110">
        <v>1</v>
      </c>
      <c r="H21" s="132"/>
      <c r="I21" s="130"/>
      <c r="J21" s="123"/>
      <c r="K21" s="110"/>
      <c r="L21" s="105"/>
    </row>
    <row r="22" spans="1:12">
      <c r="A22" s="126" t="s">
        <v>316</v>
      </c>
      <c r="B22" s="127"/>
      <c r="C22" s="128"/>
      <c r="D22" s="128"/>
      <c r="E22" s="121" t="s">
        <v>156</v>
      </c>
      <c r="F22" s="128" t="s">
        <v>77</v>
      </c>
      <c r="G22" s="110">
        <v>1</v>
      </c>
      <c r="H22" s="129" t="s">
        <v>317</v>
      </c>
      <c r="I22" s="130" t="s">
        <v>109</v>
      </c>
      <c r="J22" s="104">
        <v>1</v>
      </c>
      <c r="K22" s="102"/>
      <c r="L22" s="105">
        <v>1</v>
      </c>
    </row>
    <row r="23" ht="24" spans="1:12">
      <c r="A23" s="131"/>
      <c r="B23" s="107"/>
      <c r="C23" s="108"/>
      <c r="D23" s="108"/>
      <c r="E23" s="109"/>
      <c r="F23" s="108"/>
      <c r="G23" s="110">
        <v>2</v>
      </c>
      <c r="H23" s="134" t="s">
        <v>318</v>
      </c>
      <c r="I23" s="130" t="s">
        <v>109</v>
      </c>
      <c r="J23" s="104">
        <v>1</v>
      </c>
      <c r="K23" s="102"/>
      <c r="L23" s="105">
        <v>1</v>
      </c>
    </row>
    <row r="24" ht="36" spans="1:12">
      <c r="A24" s="131"/>
      <c r="B24" s="107"/>
      <c r="C24" s="108"/>
      <c r="D24" s="108"/>
      <c r="E24" s="109"/>
      <c r="F24" s="108"/>
      <c r="G24" s="110">
        <v>3</v>
      </c>
      <c r="H24" s="129" t="s">
        <v>319</v>
      </c>
      <c r="I24" s="130" t="s">
        <v>34</v>
      </c>
      <c r="J24" s="104">
        <v>1</v>
      </c>
      <c r="K24" s="104"/>
      <c r="L24" s="105">
        <v>1</v>
      </c>
    </row>
    <row r="25" ht="24" spans="1:12">
      <c r="A25" s="131"/>
      <c r="B25" s="107"/>
      <c r="C25" s="108"/>
      <c r="D25" s="108"/>
      <c r="E25" s="109"/>
      <c r="F25" s="108"/>
      <c r="G25" s="110">
        <v>4</v>
      </c>
      <c r="H25" s="129" t="s">
        <v>320</v>
      </c>
      <c r="I25" s="130" t="s">
        <v>34</v>
      </c>
      <c r="J25" s="104">
        <v>1</v>
      </c>
      <c r="K25" s="104"/>
      <c r="L25" s="105">
        <v>1</v>
      </c>
    </row>
    <row r="26" ht="36" spans="1:12">
      <c r="A26" s="131"/>
      <c r="B26" s="107"/>
      <c r="C26" s="108"/>
      <c r="D26" s="108"/>
      <c r="E26" s="109"/>
      <c r="F26" s="108"/>
      <c r="G26" s="110">
        <v>5</v>
      </c>
      <c r="H26" s="129" t="s">
        <v>321</v>
      </c>
      <c r="I26" s="130" t="s">
        <v>34</v>
      </c>
      <c r="J26" s="104">
        <v>1</v>
      </c>
      <c r="K26" s="102"/>
      <c r="L26" s="105">
        <v>3</v>
      </c>
    </row>
    <row r="27" spans="1:12">
      <c r="A27" s="131"/>
      <c r="B27" s="107"/>
      <c r="C27" s="108"/>
      <c r="D27" s="108"/>
      <c r="E27" s="111"/>
      <c r="F27" s="112"/>
      <c r="G27" s="110">
        <v>6</v>
      </c>
      <c r="H27" s="132"/>
      <c r="I27" s="130"/>
      <c r="J27" s="104"/>
      <c r="K27" s="102"/>
      <c r="L27" s="105"/>
    </row>
    <row r="28" spans="1:12">
      <c r="A28" s="131"/>
      <c r="B28" s="107"/>
      <c r="C28" s="108"/>
      <c r="D28" s="108"/>
      <c r="E28" s="114" t="s">
        <v>177</v>
      </c>
      <c r="F28" s="115"/>
      <c r="G28" s="115"/>
      <c r="H28" s="116"/>
      <c r="I28" s="117"/>
      <c r="J28" s="118"/>
      <c r="K28" s="119"/>
      <c r="L28" s="120">
        <v>7</v>
      </c>
    </row>
    <row r="29" spans="1:12">
      <c r="A29" s="133"/>
      <c r="B29" s="125"/>
      <c r="C29" s="112"/>
      <c r="D29" s="112"/>
      <c r="E29" s="110" t="s">
        <v>178</v>
      </c>
      <c r="F29" s="110" t="s">
        <v>77</v>
      </c>
      <c r="G29" s="110">
        <v>1</v>
      </c>
      <c r="H29" s="132"/>
      <c r="I29" s="130"/>
      <c r="J29" s="123"/>
      <c r="K29" s="110"/>
      <c r="L29" s="105"/>
    </row>
  </sheetData>
  <mergeCells count="30">
    <mergeCell ref="E5:H5"/>
    <mergeCell ref="E11:H11"/>
    <mergeCell ref="E20:H20"/>
    <mergeCell ref="E28:H28"/>
    <mergeCell ref="A2:A7"/>
    <mergeCell ref="A8:A12"/>
    <mergeCell ref="A13:A21"/>
    <mergeCell ref="A22:A29"/>
    <mergeCell ref="B2:B7"/>
    <mergeCell ref="B8:B12"/>
    <mergeCell ref="B13:B21"/>
    <mergeCell ref="B22:B29"/>
    <mergeCell ref="C2:C7"/>
    <mergeCell ref="C8:C12"/>
    <mergeCell ref="C13:C21"/>
    <mergeCell ref="C22:C29"/>
    <mergeCell ref="D2:D7"/>
    <mergeCell ref="D8:D12"/>
    <mergeCell ref="D13:D21"/>
    <mergeCell ref="D22:D29"/>
    <mergeCell ref="E2:E4"/>
    <mergeCell ref="E6:E7"/>
    <mergeCell ref="E8:E10"/>
    <mergeCell ref="E13:E19"/>
    <mergeCell ref="E22:E27"/>
    <mergeCell ref="F2:F4"/>
    <mergeCell ref="F6:F7"/>
    <mergeCell ref="F8:F9"/>
    <mergeCell ref="F13:F19"/>
    <mergeCell ref="F22:F27"/>
  </mergeCell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Z100"/>
  <sheetViews>
    <sheetView zoomScale="86" zoomScaleNormal="86" workbookViewId="0">
      <pane ySplit="1" topLeftCell="A2" activePane="bottomLeft" state="frozen"/>
      <selection/>
      <selection pane="bottomLeft" activeCell="A17" sqref="A17:L28"/>
    </sheetView>
  </sheetViews>
  <sheetFormatPr defaultColWidth="9.13888888888889" defaultRowHeight="13.8"/>
  <cols>
    <col min="1" max="1" width="22.4259259259259" style="42" customWidth="1"/>
    <col min="2" max="2" width="11.712962962963" style="42" customWidth="1"/>
    <col min="3" max="7" width="9.13888888888889" style="42"/>
    <col min="8" max="8" width="59.712962962963" style="42" customWidth="1"/>
    <col min="9" max="11" width="9.13888888888889" style="42"/>
    <col min="12" max="12" width="19.5740740740741" style="43" customWidth="1"/>
    <col min="13" max="26" width="9.13888888888889" style="42"/>
    <col min="27" max="16384" width="9.13888888888889" style="44"/>
  </cols>
  <sheetData>
    <row r="1" ht="69.6" spans="1:26">
      <c r="A1" s="45" t="s">
        <v>144</v>
      </c>
      <c r="B1" s="46" t="s">
        <v>6</v>
      </c>
      <c r="C1" s="45" t="s">
        <v>145</v>
      </c>
      <c r="D1" s="45" t="s">
        <v>146</v>
      </c>
      <c r="E1" s="46" t="s">
        <v>147</v>
      </c>
      <c r="F1" s="45" t="s">
        <v>148</v>
      </c>
      <c r="G1" s="45" t="s">
        <v>1</v>
      </c>
      <c r="H1" s="47" t="s">
        <v>149</v>
      </c>
      <c r="I1" s="45" t="s">
        <v>150</v>
      </c>
      <c r="J1" s="48" t="s">
        <v>151</v>
      </c>
      <c r="K1" s="45" t="s">
        <v>152</v>
      </c>
      <c r="L1" s="49" t="s">
        <v>153</v>
      </c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409.5" spans="1:26">
      <c r="A2" s="45" t="s">
        <v>322</v>
      </c>
      <c r="B2" s="51" t="s">
        <v>118</v>
      </c>
      <c r="C2" s="52">
        <v>0.92</v>
      </c>
      <c r="D2" s="53"/>
      <c r="E2" s="54" t="s">
        <v>156</v>
      </c>
      <c r="F2" s="55" t="s">
        <v>77</v>
      </c>
      <c r="G2" s="53">
        <v>1</v>
      </c>
      <c r="H2" s="56" t="s">
        <v>323</v>
      </c>
      <c r="I2" s="15" t="s">
        <v>324</v>
      </c>
      <c r="J2" s="52">
        <v>1</v>
      </c>
      <c r="K2" s="54"/>
      <c r="L2" s="57">
        <v>5</v>
      </c>
    </row>
    <row r="3" ht="105" spans="1:26">
      <c r="A3" s="45"/>
      <c r="B3" s="51"/>
      <c r="C3" s="53"/>
      <c r="D3" s="53"/>
      <c r="E3" s="54"/>
      <c r="F3" s="58"/>
      <c r="G3" s="59">
        <v>2</v>
      </c>
      <c r="H3" s="60" t="s">
        <v>325</v>
      </c>
      <c r="I3" s="15" t="s">
        <v>326</v>
      </c>
      <c r="J3" s="61">
        <v>1</v>
      </c>
      <c r="K3" s="62"/>
      <c r="L3" s="57">
        <v>5</v>
      </c>
    </row>
    <row r="4" ht="45" spans="1:26">
      <c r="A4" s="45"/>
      <c r="B4" s="51"/>
      <c r="C4" s="53"/>
      <c r="D4" s="53"/>
      <c r="E4" s="54"/>
      <c r="F4" s="58"/>
      <c r="G4" s="59">
        <v>3</v>
      </c>
      <c r="H4" s="60" t="s">
        <v>327</v>
      </c>
      <c r="I4" s="59" t="s">
        <v>328</v>
      </c>
      <c r="J4" s="61">
        <v>1</v>
      </c>
      <c r="K4" s="62"/>
      <c r="L4" s="57">
        <v>5</v>
      </c>
    </row>
    <row r="5" ht="15" spans="1:26">
      <c r="A5" s="45"/>
      <c r="B5" s="51"/>
      <c r="C5" s="53"/>
      <c r="D5" s="53"/>
      <c r="E5" s="54"/>
      <c r="F5" s="58"/>
      <c r="G5" s="59">
        <v>4</v>
      </c>
      <c r="H5" s="63"/>
      <c r="I5" s="59"/>
      <c r="J5" s="61"/>
      <c r="K5" s="62"/>
      <c r="L5" s="57"/>
    </row>
    <row r="6" ht="27.75" customHeight="1" spans="1:26">
      <c r="A6" s="45"/>
      <c r="B6" s="51"/>
      <c r="C6" s="53"/>
      <c r="D6" s="53"/>
      <c r="E6" s="54"/>
      <c r="F6" s="58"/>
      <c r="G6" s="64">
        <v>5</v>
      </c>
      <c r="H6" s="65"/>
      <c r="I6" s="66"/>
      <c r="J6" s="61"/>
      <c r="K6" s="62"/>
      <c r="L6" s="57"/>
    </row>
    <row r="7" ht="15" spans="1:26">
      <c r="A7" s="45"/>
      <c r="B7" s="51"/>
      <c r="C7" s="53"/>
      <c r="D7" s="53"/>
      <c r="E7" s="54"/>
      <c r="F7" s="58"/>
      <c r="G7" s="64">
        <v>6</v>
      </c>
      <c r="H7" s="67"/>
      <c r="I7" s="66"/>
      <c r="J7" s="61"/>
      <c r="K7" s="62"/>
      <c r="L7" s="57"/>
    </row>
    <row r="8" ht="15" spans="1:26">
      <c r="A8" s="45"/>
      <c r="B8" s="51"/>
      <c r="C8" s="53"/>
      <c r="D8" s="53"/>
      <c r="E8" s="54"/>
      <c r="F8" s="58"/>
      <c r="G8" s="59">
        <v>7</v>
      </c>
      <c r="H8" s="68"/>
      <c r="I8" s="15"/>
      <c r="J8" s="61"/>
      <c r="K8" s="62"/>
      <c r="L8" s="57"/>
    </row>
    <row r="9" ht="15" spans="1:26">
      <c r="A9" s="45"/>
      <c r="B9" s="51"/>
      <c r="C9" s="53"/>
      <c r="D9" s="53"/>
      <c r="E9" s="54"/>
      <c r="F9" s="58"/>
      <c r="G9" s="59">
        <v>8</v>
      </c>
      <c r="H9" s="60"/>
      <c r="I9" s="59"/>
      <c r="J9" s="61"/>
      <c r="K9" s="62"/>
      <c r="L9" s="57"/>
    </row>
    <row r="10" ht="15" spans="1:26">
      <c r="A10" s="45"/>
      <c r="B10" s="51"/>
      <c r="C10" s="53"/>
      <c r="D10" s="53"/>
      <c r="E10" s="54"/>
      <c r="F10" s="58"/>
      <c r="G10" s="59">
        <v>9</v>
      </c>
      <c r="H10" s="63"/>
      <c r="I10" s="59"/>
      <c r="J10" s="61"/>
      <c r="K10" s="62"/>
      <c r="L10" s="57"/>
    </row>
    <row r="11" ht="15" spans="1:26">
      <c r="A11" s="45"/>
      <c r="B11" s="51"/>
      <c r="C11" s="53"/>
      <c r="D11" s="53"/>
      <c r="E11" s="54"/>
      <c r="F11" s="58"/>
      <c r="G11" s="64">
        <v>10</v>
      </c>
      <c r="H11" s="65"/>
      <c r="I11" s="66"/>
      <c r="J11" s="69"/>
      <c r="K11" s="62"/>
      <c r="L11" s="57"/>
    </row>
    <row r="12" ht="148.5" customHeight="1" spans="1:26">
      <c r="A12" s="45"/>
      <c r="B12" s="51"/>
      <c r="C12" s="53"/>
      <c r="D12" s="53"/>
      <c r="E12" s="54"/>
      <c r="F12" s="58"/>
      <c r="G12" s="64">
        <v>11</v>
      </c>
      <c r="H12" s="65" t="s">
        <v>329</v>
      </c>
      <c r="I12" s="70" t="s">
        <v>118</v>
      </c>
      <c r="J12" s="71">
        <v>1</v>
      </c>
      <c r="K12" s="72"/>
      <c r="L12" s="57">
        <v>5</v>
      </c>
    </row>
    <row r="13" ht="15" spans="1:26">
      <c r="A13" s="45"/>
      <c r="B13" s="51"/>
      <c r="C13" s="53"/>
      <c r="D13" s="53"/>
      <c r="E13" s="54"/>
      <c r="F13" s="73"/>
      <c r="G13" s="64">
        <v>12</v>
      </c>
      <c r="H13" s="67"/>
      <c r="I13" s="70"/>
      <c r="J13" s="71"/>
      <c r="K13" s="72"/>
      <c r="L13" s="57"/>
    </row>
    <row r="14" ht="15" spans="1:26">
      <c r="A14" s="45"/>
      <c r="B14" s="51"/>
      <c r="C14" s="53"/>
      <c r="D14" s="53"/>
      <c r="E14" s="34" t="s">
        <v>177</v>
      </c>
      <c r="F14" s="34"/>
      <c r="G14" s="34"/>
      <c r="H14" s="74"/>
      <c r="I14" s="34"/>
      <c r="J14" s="75"/>
      <c r="K14" s="36"/>
      <c r="L14" s="37">
        <f>SUM(L2:L13)</f>
        <v>20</v>
      </c>
    </row>
    <row r="15" ht="15.6" spans="1:26">
      <c r="A15" s="45"/>
      <c r="B15" s="51"/>
      <c r="C15" s="53"/>
      <c r="D15" s="53"/>
      <c r="E15" s="54" t="s">
        <v>178</v>
      </c>
      <c r="F15" s="54" t="s">
        <v>77</v>
      </c>
      <c r="G15" s="54">
        <v>1</v>
      </c>
      <c r="H15" s="76"/>
      <c r="I15" s="53"/>
      <c r="J15" s="77"/>
      <c r="K15" s="54"/>
      <c r="L15" s="57"/>
    </row>
    <row r="16" ht="15" spans="1:26">
      <c r="A16" s="45"/>
      <c r="B16" s="51"/>
      <c r="C16" s="53"/>
      <c r="D16" s="53"/>
      <c r="E16" s="54"/>
      <c r="F16" s="54"/>
      <c r="G16" s="54">
        <v>2</v>
      </c>
      <c r="H16" s="56"/>
      <c r="I16" s="54"/>
      <c r="J16" s="77"/>
      <c r="K16" s="54"/>
      <c r="L16" s="57"/>
    </row>
    <row r="17" ht="15" spans="1:12">
      <c r="A17" s="45" t="s">
        <v>330</v>
      </c>
      <c r="B17" s="51" t="s">
        <v>120</v>
      </c>
      <c r="C17" s="52">
        <v>0.95</v>
      </c>
      <c r="D17" s="53"/>
      <c r="E17" s="54" t="s">
        <v>156</v>
      </c>
      <c r="F17" s="53" t="s">
        <v>77</v>
      </c>
      <c r="G17" s="53">
        <v>1</v>
      </c>
      <c r="H17" s="56"/>
      <c r="I17" s="15"/>
      <c r="J17" s="52"/>
      <c r="K17" s="53"/>
      <c r="L17" s="57"/>
    </row>
    <row r="18" ht="15" spans="1:12">
      <c r="A18" s="45"/>
      <c r="B18" s="51"/>
      <c r="C18" s="53"/>
      <c r="D18" s="53"/>
      <c r="E18" s="54"/>
      <c r="F18" s="53"/>
      <c r="G18" s="53">
        <v>2</v>
      </c>
      <c r="H18" s="56"/>
      <c r="I18" s="15"/>
      <c r="J18" s="52"/>
      <c r="K18" s="53"/>
      <c r="L18" s="57"/>
    </row>
    <row r="19" ht="15" spans="1:12">
      <c r="A19" s="45"/>
      <c r="B19" s="51"/>
      <c r="C19" s="53"/>
      <c r="D19" s="53"/>
      <c r="E19" s="54"/>
      <c r="F19" s="53"/>
      <c r="G19" s="53">
        <v>3</v>
      </c>
      <c r="H19" s="56"/>
      <c r="I19" s="15"/>
      <c r="J19" s="52"/>
      <c r="K19" s="53"/>
      <c r="L19" s="57"/>
    </row>
    <row r="20" ht="15" spans="1:12">
      <c r="A20" s="45"/>
      <c r="B20" s="51"/>
      <c r="C20" s="53"/>
      <c r="D20" s="53"/>
      <c r="E20" s="54"/>
      <c r="F20" s="53"/>
      <c r="G20" s="53"/>
      <c r="H20" s="56"/>
      <c r="I20" s="15"/>
      <c r="J20" s="52"/>
      <c r="K20" s="53"/>
      <c r="L20" s="57"/>
    </row>
    <row r="21" ht="15" spans="1:12">
      <c r="A21" s="45"/>
      <c r="B21" s="51"/>
      <c r="C21" s="53"/>
      <c r="D21" s="53"/>
      <c r="E21" s="54"/>
      <c r="F21" s="53"/>
      <c r="G21" s="53"/>
      <c r="H21" s="56"/>
      <c r="I21" s="15"/>
      <c r="J21" s="52"/>
      <c r="K21" s="53"/>
      <c r="L21" s="57"/>
    </row>
    <row r="22" ht="15" spans="1:12">
      <c r="A22" s="45"/>
      <c r="B22" s="51"/>
      <c r="C22" s="53"/>
      <c r="D22" s="53"/>
      <c r="E22" s="54"/>
      <c r="F22" s="53"/>
      <c r="G22" s="53"/>
      <c r="H22" s="78"/>
      <c r="I22" s="53"/>
      <c r="J22" s="52"/>
      <c r="K22" s="53"/>
      <c r="L22" s="57"/>
    </row>
    <row r="23" ht="15" spans="1:12">
      <c r="A23" s="45"/>
      <c r="B23" s="51"/>
      <c r="C23" s="53"/>
      <c r="D23" s="53"/>
      <c r="E23" s="54"/>
      <c r="F23" s="53"/>
      <c r="G23" s="54"/>
      <c r="H23" s="56"/>
      <c r="I23" s="53"/>
      <c r="J23" s="52"/>
      <c r="K23" s="53"/>
      <c r="L23" s="57"/>
    </row>
    <row r="24" ht="15" spans="1:12">
      <c r="A24" s="45"/>
      <c r="B24" s="51"/>
      <c r="C24" s="53"/>
      <c r="D24" s="53"/>
      <c r="E24" s="54"/>
      <c r="F24" s="53"/>
      <c r="G24" s="53"/>
      <c r="H24" s="56"/>
      <c r="I24" s="53"/>
      <c r="J24" s="52"/>
      <c r="K24" s="53"/>
      <c r="L24" s="57"/>
    </row>
    <row r="25" ht="15" spans="1:12">
      <c r="A25" s="45"/>
      <c r="B25" s="51"/>
      <c r="C25" s="53"/>
      <c r="D25" s="53"/>
      <c r="E25" s="54"/>
      <c r="F25" s="53"/>
      <c r="G25" s="53"/>
      <c r="H25" s="56"/>
      <c r="I25" s="53"/>
      <c r="J25" s="52"/>
      <c r="K25" s="53"/>
      <c r="L25" s="57"/>
    </row>
    <row r="26" ht="15" spans="1:12">
      <c r="A26" s="45"/>
      <c r="B26" s="51"/>
      <c r="C26" s="53"/>
      <c r="D26" s="53"/>
      <c r="E26" s="34" t="s">
        <v>177</v>
      </c>
      <c r="F26" s="34"/>
      <c r="G26" s="34"/>
      <c r="H26" s="34"/>
      <c r="I26" s="34"/>
      <c r="J26" s="35"/>
      <c r="K26" s="36"/>
      <c r="L26" s="37">
        <f>SUM(L17:L25)</f>
        <v>0</v>
      </c>
    </row>
    <row r="27" ht="15.6" spans="1:12">
      <c r="A27" s="45"/>
      <c r="B27" s="51"/>
      <c r="C27" s="53"/>
      <c r="D27" s="53"/>
      <c r="E27" s="54" t="s">
        <v>178</v>
      </c>
      <c r="F27" s="54" t="s">
        <v>77</v>
      </c>
      <c r="G27" s="54">
        <v>1</v>
      </c>
      <c r="H27" s="76"/>
      <c r="I27" s="53"/>
      <c r="J27" s="77"/>
      <c r="K27" s="54"/>
      <c r="L27" s="79"/>
    </row>
    <row r="28" ht="15.6" spans="1:12">
      <c r="A28" s="45"/>
      <c r="B28" s="51"/>
      <c r="C28" s="53"/>
      <c r="D28" s="53"/>
      <c r="E28" s="54"/>
      <c r="F28" s="54"/>
      <c r="G28" s="54">
        <v>2</v>
      </c>
      <c r="H28" s="76"/>
      <c r="I28" s="54"/>
      <c r="J28" s="77"/>
      <c r="K28" s="54"/>
      <c r="L28" s="79"/>
    </row>
    <row r="29" ht="30" spans="1:12">
      <c r="A29" s="45" t="s">
        <v>331</v>
      </c>
      <c r="B29" s="51" t="s">
        <v>120</v>
      </c>
      <c r="C29" s="53" t="s">
        <v>155</v>
      </c>
      <c r="D29" s="53" t="s">
        <v>332</v>
      </c>
      <c r="E29" s="54" t="s">
        <v>156</v>
      </c>
      <c r="F29" s="55" t="s">
        <v>77</v>
      </c>
      <c r="G29" s="53">
        <v>1</v>
      </c>
      <c r="H29" s="65" t="s">
        <v>333</v>
      </c>
      <c r="I29" s="14" t="s">
        <v>120</v>
      </c>
      <c r="J29" s="52">
        <v>1</v>
      </c>
      <c r="K29" s="53"/>
      <c r="L29" s="57">
        <v>3</v>
      </c>
    </row>
    <row r="30" ht="15" spans="1:12">
      <c r="A30" s="45"/>
      <c r="B30" s="51"/>
      <c r="C30" s="53"/>
      <c r="D30" s="53"/>
      <c r="E30" s="54"/>
      <c r="F30" s="80"/>
      <c r="G30" s="53">
        <v>2</v>
      </c>
      <c r="H30" s="78" t="s">
        <v>334</v>
      </c>
      <c r="I30" s="14" t="s">
        <v>335</v>
      </c>
      <c r="J30" s="52">
        <v>1</v>
      </c>
      <c r="K30" s="53"/>
      <c r="L30" s="57">
        <v>5</v>
      </c>
    </row>
    <row r="31" ht="30" spans="1:12">
      <c r="A31" s="45"/>
      <c r="B31" s="51"/>
      <c r="C31" s="53"/>
      <c r="D31" s="53"/>
      <c r="E31" s="54"/>
      <c r="F31" s="80"/>
      <c r="G31" s="53">
        <v>3</v>
      </c>
      <c r="H31" s="65" t="s">
        <v>336</v>
      </c>
      <c r="I31" s="14" t="s">
        <v>337</v>
      </c>
      <c r="J31" s="52">
        <v>1</v>
      </c>
      <c r="K31" s="53"/>
      <c r="L31" s="57">
        <v>5</v>
      </c>
    </row>
    <row r="32" ht="15.6" spans="1:12">
      <c r="A32" s="45"/>
      <c r="B32" s="51"/>
      <c r="C32" s="53"/>
      <c r="D32" s="53"/>
      <c r="E32" s="54"/>
      <c r="F32" s="80"/>
      <c r="G32" s="53"/>
      <c r="H32" s="56"/>
      <c r="I32" s="15"/>
      <c r="J32" s="52"/>
      <c r="K32" s="53"/>
      <c r="L32" s="51"/>
    </row>
    <row r="33" ht="15.6" spans="1:12">
      <c r="A33" s="45"/>
      <c r="B33" s="51"/>
      <c r="C33" s="53"/>
      <c r="D33" s="53"/>
      <c r="E33" s="54"/>
      <c r="F33" s="80"/>
      <c r="G33" s="53"/>
      <c r="H33" s="56"/>
      <c r="I33" s="15"/>
      <c r="J33" s="52"/>
      <c r="K33" s="53"/>
      <c r="L33" s="51"/>
    </row>
    <row r="34" ht="15.6" spans="1:12">
      <c r="A34" s="45"/>
      <c r="B34" s="51"/>
      <c r="C34" s="53"/>
      <c r="D34" s="53"/>
      <c r="E34" s="54"/>
      <c r="F34" s="81"/>
      <c r="G34" s="53"/>
      <c r="H34" s="78"/>
      <c r="I34" s="53"/>
      <c r="J34" s="52"/>
      <c r="K34" s="53"/>
      <c r="L34" s="51"/>
    </row>
    <row r="35" ht="15.6" spans="1:12">
      <c r="A35" s="45"/>
      <c r="B35" s="51"/>
      <c r="C35" s="53"/>
      <c r="D35" s="53"/>
      <c r="E35" s="54"/>
      <c r="F35" s="55" t="s">
        <v>338</v>
      </c>
      <c r="G35" s="54">
        <v>1</v>
      </c>
      <c r="H35" s="56"/>
      <c r="I35" s="53"/>
      <c r="J35" s="52"/>
      <c r="K35" s="53"/>
      <c r="L35" s="51"/>
    </row>
    <row r="36" ht="15.6" spans="1:12">
      <c r="A36" s="45"/>
      <c r="B36" s="51"/>
      <c r="C36" s="53"/>
      <c r="D36" s="53"/>
      <c r="E36" s="54"/>
      <c r="F36" s="80"/>
      <c r="G36" s="53">
        <v>2</v>
      </c>
      <c r="H36" s="56"/>
      <c r="I36" s="53"/>
      <c r="J36" s="52"/>
      <c r="K36" s="53"/>
      <c r="L36" s="51"/>
    </row>
    <row r="37" ht="15.6" spans="1:12">
      <c r="A37" s="45"/>
      <c r="B37" s="51"/>
      <c r="C37" s="53"/>
      <c r="D37" s="53"/>
      <c r="E37" s="54"/>
      <c r="F37" s="81"/>
      <c r="G37" s="53">
        <v>3</v>
      </c>
      <c r="H37" s="56"/>
      <c r="I37" s="53"/>
      <c r="J37" s="52"/>
      <c r="K37" s="53"/>
      <c r="L37" s="51"/>
    </row>
    <row r="38" ht="15" spans="1:12">
      <c r="A38" s="45"/>
      <c r="B38" s="51"/>
      <c r="C38" s="53"/>
      <c r="D38" s="53"/>
      <c r="E38" s="34" t="s">
        <v>177</v>
      </c>
      <c r="F38" s="34"/>
      <c r="G38" s="34"/>
      <c r="H38" s="34"/>
      <c r="I38" s="34"/>
      <c r="J38" s="35"/>
      <c r="K38" s="36"/>
      <c r="L38" s="37">
        <f>SUM(L29:L37)</f>
        <v>13</v>
      </c>
    </row>
    <row r="39" ht="15.6" spans="1:12">
      <c r="A39" s="45"/>
      <c r="B39" s="51"/>
      <c r="C39" s="53"/>
      <c r="D39" s="53"/>
      <c r="E39" s="54" t="s">
        <v>178</v>
      </c>
      <c r="F39" s="54" t="s">
        <v>77</v>
      </c>
      <c r="G39" s="54">
        <v>1</v>
      </c>
      <c r="H39" s="76"/>
      <c r="I39" s="53"/>
      <c r="J39" s="77"/>
      <c r="K39" s="54"/>
      <c r="L39" s="79"/>
    </row>
    <row r="40" ht="15.6" spans="1:12">
      <c r="A40" s="45"/>
      <c r="B40" s="51"/>
      <c r="C40" s="53"/>
      <c r="D40" s="53"/>
      <c r="E40" s="54"/>
      <c r="F40" s="54"/>
      <c r="G40" s="54">
        <v>2</v>
      </c>
      <c r="H40" s="76"/>
      <c r="I40" s="54"/>
      <c r="J40" s="77"/>
      <c r="K40" s="54"/>
      <c r="L40" s="57"/>
    </row>
    <row r="41" ht="15.6" spans="1:12">
      <c r="A41" s="45" t="s">
        <v>339</v>
      </c>
      <c r="B41" s="51" t="s">
        <v>120</v>
      </c>
      <c r="C41" s="53" t="s">
        <v>155</v>
      </c>
      <c r="D41" s="53"/>
      <c r="E41" s="54" t="s">
        <v>156</v>
      </c>
      <c r="F41" s="55" t="s">
        <v>77</v>
      </c>
      <c r="G41" s="53">
        <v>1</v>
      </c>
      <c r="H41" s="56"/>
      <c r="I41" s="15"/>
      <c r="J41" s="52"/>
      <c r="K41" s="53"/>
      <c r="L41" s="51"/>
    </row>
    <row r="42" ht="15.6" spans="1:12">
      <c r="A42" s="45"/>
      <c r="B42" s="51"/>
      <c r="C42" s="53"/>
      <c r="D42" s="53"/>
      <c r="E42" s="54"/>
      <c r="F42" s="80"/>
      <c r="G42" s="53">
        <v>2</v>
      </c>
      <c r="H42" s="78"/>
      <c r="I42" s="15"/>
      <c r="J42" s="52"/>
      <c r="K42" s="53"/>
      <c r="L42" s="51"/>
    </row>
    <row r="43" ht="15.6" spans="1:12">
      <c r="A43" s="45"/>
      <c r="B43" s="51"/>
      <c r="C43" s="53"/>
      <c r="D43" s="53"/>
      <c r="E43" s="54"/>
      <c r="F43" s="80"/>
      <c r="G43" s="53">
        <v>3</v>
      </c>
      <c r="H43" s="56"/>
      <c r="I43" s="15"/>
      <c r="J43" s="52"/>
      <c r="K43" s="53"/>
      <c r="L43" s="51"/>
    </row>
    <row r="44" ht="15.6" spans="1:12">
      <c r="A44" s="45"/>
      <c r="B44" s="51"/>
      <c r="C44" s="53"/>
      <c r="D44" s="53"/>
      <c r="E44" s="54"/>
      <c r="F44" s="80"/>
      <c r="G44" s="53">
        <v>4</v>
      </c>
      <c r="H44" s="56"/>
      <c r="I44" s="15"/>
      <c r="J44" s="52"/>
      <c r="K44" s="53"/>
      <c r="L44" s="51"/>
    </row>
    <row r="45" ht="15.6" spans="1:12">
      <c r="A45" s="45"/>
      <c r="B45" s="51"/>
      <c r="C45" s="53"/>
      <c r="D45" s="53"/>
      <c r="E45" s="54"/>
      <c r="F45" s="80"/>
      <c r="G45" s="53">
        <v>5</v>
      </c>
      <c r="H45" s="56"/>
      <c r="I45" s="15"/>
      <c r="J45" s="52"/>
      <c r="K45" s="53"/>
      <c r="L45" s="51"/>
    </row>
    <row r="46" ht="15.6" spans="1:12">
      <c r="A46" s="45"/>
      <c r="B46" s="51"/>
      <c r="C46" s="53"/>
      <c r="D46" s="53"/>
      <c r="E46" s="54"/>
      <c r="F46" s="81"/>
      <c r="G46" s="53">
        <v>6</v>
      </c>
      <c r="H46" s="78"/>
      <c r="I46" s="53"/>
      <c r="J46" s="52"/>
      <c r="K46" s="53"/>
      <c r="L46" s="51"/>
    </row>
    <row r="47" ht="15.6" spans="1:12">
      <c r="A47" s="45"/>
      <c r="B47" s="51"/>
      <c r="C47" s="53"/>
      <c r="D47" s="53"/>
      <c r="E47" s="54"/>
      <c r="F47" s="55" t="s">
        <v>338</v>
      </c>
      <c r="G47" s="54">
        <v>1</v>
      </c>
      <c r="H47" s="56"/>
      <c r="I47" s="53"/>
      <c r="J47" s="52"/>
      <c r="K47" s="53"/>
      <c r="L47" s="51"/>
    </row>
    <row r="48" ht="15.6" spans="1:12">
      <c r="A48" s="45"/>
      <c r="B48" s="51"/>
      <c r="C48" s="53"/>
      <c r="D48" s="53"/>
      <c r="E48" s="54"/>
      <c r="F48" s="80"/>
      <c r="G48" s="53">
        <v>2</v>
      </c>
      <c r="H48" s="56"/>
      <c r="I48" s="53"/>
      <c r="J48" s="52"/>
      <c r="K48" s="53"/>
      <c r="L48" s="51"/>
    </row>
    <row r="49" ht="15.6" spans="1:12">
      <c r="A49" s="45"/>
      <c r="B49" s="51"/>
      <c r="C49" s="53"/>
      <c r="D49" s="53"/>
      <c r="E49" s="54"/>
      <c r="F49" s="81"/>
      <c r="G49" s="53">
        <v>3</v>
      </c>
      <c r="H49" s="56"/>
      <c r="I49" s="53"/>
      <c r="J49" s="52"/>
      <c r="K49" s="53"/>
      <c r="L49" s="51"/>
    </row>
    <row r="50" ht="15" spans="1:12">
      <c r="A50" s="45"/>
      <c r="B50" s="51"/>
      <c r="C50" s="53"/>
      <c r="D50" s="53"/>
      <c r="E50" s="34" t="s">
        <v>177</v>
      </c>
      <c r="F50" s="34"/>
      <c r="G50" s="34"/>
      <c r="H50" s="34"/>
      <c r="I50" s="34"/>
      <c r="J50" s="35"/>
      <c r="K50" s="36"/>
      <c r="L50" s="37">
        <f>SUM(L41:L49)</f>
        <v>0</v>
      </c>
    </row>
    <row r="51" ht="15.6" spans="1:12">
      <c r="A51" s="45"/>
      <c r="B51" s="51"/>
      <c r="C51" s="53"/>
      <c r="D51" s="53"/>
      <c r="E51" s="54" t="s">
        <v>178</v>
      </c>
      <c r="F51" s="54" t="s">
        <v>77</v>
      </c>
      <c r="G51" s="54">
        <v>1</v>
      </c>
      <c r="H51" s="76"/>
      <c r="I51" s="53"/>
      <c r="J51" s="77"/>
      <c r="K51" s="54"/>
      <c r="L51" s="79"/>
    </row>
    <row r="52" ht="15.6" spans="1:12">
      <c r="A52" s="45"/>
      <c r="B52" s="51"/>
      <c r="C52" s="53"/>
      <c r="D52" s="53"/>
      <c r="E52" s="54"/>
      <c r="F52" s="54"/>
      <c r="G52" s="54">
        <v>2</v>
      </c>
      <c r="H52" s="76"/>
      <c r="I52" s="54"/>
      <c r="J52" s="77"/>
      <c r="K52" s="54"/>
      <c r="L52" s="57"/>
    </row>
    <row r="53" ht="15" spans="1:12">
      <c r="A53" s="45" t="s">
        <v>340</v>
      </c>
      <c r="B53" s="51" t="s">
        <v>120</v>
      </c>
      <c r="C53" s="52">
        <v>0.96</v>
      </c>
      <c r="D53" s="53"/>
      <c r="E53" s="54" t="s">
        <v>156</v>
      </c>
      <c r="F53" s="55" t="s">
        <v>77</v>
      </c>
      <c r="G53" s="53">
        <v>1</v>
      </c>
      <c r="H53" s="56" t="s">
        <v>341</v>
      </c>
      <c r="I53" s="56" t="s">
        <v>342</v>
      </c>
      <c r="J53" s="52">
        <v>0.8</v>
      </c>
      <c r="K53" s="53"/>
      <c r="L53" s="57">
        <v>5</v>
      </c>
    </row>
    <row r="54" ht="30" spans="1:12">
      <c r="A54" s="45"/>
      <c r="B54" s="51"/>
      <c r="C54" s="53"/>
      <c r="D54" s="53"/>
      <c r="E54" s="54"/>
      <c r="F54" s="58"/>
      <c r="G54" s="53">
        <v>2</v>
      </c>
      <c r="H54" s="56" t="s">
        <v>343</v>
      </c>
      <c r="I54" s="78" t="s">
        <v>109</v>
      </c>
      <c r="J54" s="52">
        <v>1</v>
      </c>
      <c r="K54" s="53"/>
      <c r="L54" s="57">
        <v>3</v>
      </c>
    </row>
    <row r="55" ht="15" spans="1:12">
      <c r="A55" s="45"/>
      <c r="B55" s="51"/>
      <c r="C55" s="53"/>
      <c r="D55" s="53"/>
      <c r="E55" s="54"/>
      <c r="F55" s="58"/>
      <c r="G55" s="53">
        <v>3</v>
      </c>
      <c r="H55" s="82" t="s">
        <v>344</v>
      </c>
      <c r="I55" s="56" t="s">
        <v>345</v>
      </c>
      <c r="J55" s="52">
        <v>0.9</v>
      </c>
      <c r="K55" s="53"/>
      <c r="L55" s="57">
        <v>5</v>
      </c>
    </row>
    <row r="56" ht="15" spans="1:12">
      <c r="A56" s="45"/>
      <c r="B56" s="51"/>
      <c r="C56" s="53"/>
      <c r="D56" s="53"/>
      <c r="E56" s="54"/>
      <c r="F56" s="58"/>
      <c r="G56" s="53">
        <v>4</v>
      </c>
      <c r="H56" s="56" t="s">
        <v>346</v>
      </c>
      <c r="I56" s="56" t="s">
        <v>120</v>
      </c>
      <c r="J56" s="52">
        <v>1</v>
      </c>
      <c r="K56" s="53"/>
      <c r="L56" s="57">
        <v>2</v>
      </c>
    </row>
    <row r="57" ht="15" spans="1:12">
      <c r="A57" s="45"/>
      <c r="B57" s="51"/>
      <c r="C57" s="53"/>
      <c r="D57" s="53"/>
      <c r="E57" s="54"/>
      <c r="F57" s="58"/>
      <c r="G57" s="53">
        <v>5</v>
      </c>
      <c r="H57" s="56"/>
      <c r="I57" s="56"/>
      <c r="J57" s="52"/>
      <c r="K57" s="53"/>
      <c r="L57" s="57"/>
    </row>
    <row r="58" ht="15" spans="1:12">
      <c r="A58" s="45"/>
      <c r="B58" s="51"/>
      <c r="C58" s="53"/>
      <c r="D58" s="53"/>
      <c r="E58" s="54"/>
      <c r="F58" s="73"/>
      <c r="G58" s="53">
        <v>6</v>
      </c>
      <c r="H58" s="78"/>
      <c r="I58" s="78"/>
      <c r="J58" s="83"/>
      <c r="K58" s="53"/>
      <c r="L58" s="57"/>
    </row>
    <row r="59" ht="15" spans="1:12">
      <c r="A59" s="45"/>
      <c r="B59" s="51"/>
      <c r="C59" s="53"/>
      <c r="D59" s="53"/>
      <c r="E59" s="54"/>
      <c r="F59" s="55" t="s">
        <v>347</v>
      </c>
      <c r="G59" s="54">
        <v>1</v>
      </c>
      <c r="H59" s="84"/>
      <c r="I59" s="85"/>
      <c r="J59" s="86"/>
      <c r="K59" s="87"/>
      <c r="L59" s="57"/>
    </row>
    <row r="60" ht="15" spans="1:12">
      <c r="A60" s="45"/>
      <c r="B60" s="51"/>
      <c r="C60" s="53"/>
      <c r="D60" s="53"/>
      <c r="E60" s="54"/>
      <c r="F60" s="58"/>
      <c r="G60" s="53">
        <v>2</v>
      </c>
      <c r="H60" s="88"/>
      <c r="I60" s="85"/>
      <c r="J60" s="86"/>
      <c r="K60" s="87"/>
      <c r="L60" s="57"/>
    </row>
    <row r="61" ht="15" spans="1:12">
      <c r="A61" s="45"/>
      <c r="B61" s="51"/>
      <c r="C61" s="53"/>
      <c r="D61" s="53"/>
      <c r="E61" s="54"/>
      <c r="F61" s="73"/>
      <c r="G61" s="53">
        <v>3</v>
      </c>
      <c r="H61" s="56"/>
      <c r="I61" s="53"/>
      <c r="J61" s="89"/>
      <c r="K61" s="53"/>
      <c r="L61" s="57"/>
    </row>
    <row r="62" ht="15" spans="1:12">
      <c r="A62" s="45"/>
      <c r="B62" s="51"/>
      <c r="C62" s="53"/>
      <c r="D62" s="53"/>
      <c r="E62" s="34" t="s">
        <v>177</v>
      </c>
      <c r="F62" s="34"/>
      <c r="G62" s="34"/>
      <c r="H62" s="34"/>
      <c r="I62" s="34"/>
      <c r="J62" s="35"/>
      <c r="K62" s="36"/>
      <c r="L62" s="37">
        <f>SUM(L53:L61)</f>
        <v>15</v>
      </c>
    </row>
    <row r="63" ht="15.6" spans="1:12">
      <c r="A63" s="45"/>
      <c r="B63" s="51"/>
      <c r="C63" s="53"/>
      <c r="D63" s="53"/>
      <c r="E63" s="54" t="s">
        <v>178</v>
      </c>
      <c r="F63" s="54" t="s">
        <v>77</v>
      </c>
      <c r="G63" s="54">
        <v>1</v>
      </c>
      <c r="H63" s="76"/>
      <c r="I63" s="53"/>
      <c r="J63" s="77"/>
      <c r="K63" s="54"/>
      <c r="L63" s="79"/>
    </row>
    <row r="64" ht="15.6" spans="1:12">
      <c r="A64" s="45"/>
      <c r="B64" s="51"/>
      <c r="C64" s="53"/>
      <c r="D64" s="53"/>
      <c r="E64" s="54"/>
      <c r="F64" s="54"/>
      <c r="G64" s="54">
        <v>2</v>
      </c>
      <c r="H64" s="76"/>
      <c r="I64" s="54"/>
      <c r="J64" s="77"/>
      <c r="K64" s="54"/>
      <c r="L64" s="79"/>
    </row>
    <row r="65" ht="15" spans="1:12">
      <c r="A65" s="45" t="s">
        <v>348</v>
      </c>
      <c r="B65" s="51" t="s">
        <v>120</v>
      </c>
      <c r="C65" s="53" t="s">
        <v>155</v>
      </c>
      <c r="D65" s="53"/>
      <c r="E65" s="54" t="s">
        <v>156</v>
      </c>
      <c r="F65" s="53" t="s">
        <v>77</v>
      </c>
      <c r="G65" s="53">
        <v>1</v>
      </c>
      <c r="H65" s="56"/>
      <c r="I65" s="15"/>
      <c r="J65" s="52"/>
      <c r="K65" s="53"/>
      <c r="L65" s="57"/>
    </row>
    <row r="66" ht="15" spans="1:12">
      <c r="A66" s="45"/>
      <c r="B66" s="51"/>
      <c r="C66" s="53"/>
      <c r="D66" s="53"/>
      <c r="E66" s="54"/>
      <c r="F66" s="53"/>
      <c r="G66" s="53">
        <v>2</v>
      </c>
      <c r="H66" s="78"/>
      <c r="I66" s="15"/>
      <c r="J66" s="52"/>
      <c r="K66" s="53"/>
      <c r="L66" s="57"/>
    </row>
    <row r="67" ht="15" spans="1:12">
      <c r="A67" s="45"/>
      <c r="B67" s="51"/>
      <c r="C67" s="53"/>
      <c r="D67" s="53"/>
      <c r="E67" s="54"/>
      <c r="F67" s="53"/>
      <c r="G67" s="53">
        <v>3</v>
      </c>
      <c r="H67" s="56"/>
      <c r="I67" s="15"/>
      <c r="J67" s="52"/>
      <c r="K67" s="53"/>
      <c r="L67" s="57"/>
    </row>
    <row r="68" ht="15" spans="1:12">
      <c r="A68" s="45"/>
      <c r="B68" s="51"/>
      <c r="C68" s="53"/>
      <c r="D68" s="53"/>
      <c r="E68" s="54"/>
      <c r="F68" s="53"/>
      <c r="G68" s="53"/>
      <c r="H68" s="56"/>
      <c r="I68" s="15"/>
      <c r="J68" s="52"/>
      <c r="K68" s="53"/>
      <c r="L68" s="57"/>
    </row>
    <row r="69" ht="15" spans="1:12">
      <c r="A69" s="45"/>
      <c r="B69" s="51"/>
      <c r="C69" s="53"/>
      <c r="D69" s="53"/>
      <c r="E69" s="54"/>
      <c r="F69" s="53"/>
      <c r="G69" s="53"/>
      <c r="H69" s="56"/>
      <c r="I69" s="15"/>
      <c r="J69" s="52"/>
      <c r="K69" s="53"/>
      <c r="L69" s="57"/>
    </row>
    <row r="70" ht="15" spans="1:12">
      <c r="A70" s="45"/>
      <c r="B70" s="51"/>
      <c r="C70" s="53"/>
      <c r="D70" s="53"/>
      <c r="E70" s="54"/>
      <c r="F70" s="53"/>
      <c r="G70" s="53"/>
      <c r="H70" s="78"/>
      <c r="I70" s="53"/>
      <c r="J70" s="52"/>
      <c r="K70" s="53"/>
      <c r="L70" s="57"/>
    </row>
    <row r="71" ht="15" spans="1:12">
      <c r="A71" s="45"/>
      <c r="B71" s="51"/>
      <c r="C71" s="53"/>
      <c r="D71" s="53"/>
      <c r="E71" s="54"/>
      <c r="F71" s="53"/>
      <c r="G71" s="54"/>
      <c r="H71" s="56"/>
      <c r="I71" s="53"/>
      <c r="J71" s="52"/>
      <c r="K71" s="53"/>
      <c r="L71" s="57"/>
    </row>
    <row r="72" ht="15" spans="1:12">
      <c r="A72" s="45"/>
      <c r="B72" s="51"/>
      <c r="C72" s="53"/>
      <c r="D72" s="53"/>
      <c r="E72" s="54"/>
      <c r="F72" s="53"/>
      <c r="G72" s="53"/>
      <c r="H72" s="56"/>
      <c r="I72" s="53"/>
      <c r="J72" s="52"/>
      <c r="K72" s="53"/>
      <c r="L72" s="57"/>
    </row>
    <row r="73" ht="15" spans="1:12">
      <c r="A73" s="45"/>
      <c r="B73" s="51"/>
      <c r="C73" s="53"/>
      <c r="D73" s="53"/>
      <c r="E73" s="54"/>
      <c r="F73" s="53"/>
      <c r="G73" s="53"/>
      <c r="H73" s="56"/>
      <c r="I73" s="53"/>
      <c r="J73" s="52"/>
      <c r="K73" s="53"/>
      <c r="L73" s="57"/>
    </row>
    <row r="74" ht="15" spans="1:12">
      <c r="A74" s="45"/>
      <c r="B74" s="51"/>
      <c r="C74" s="53"/>
      <c r="D74" s="53"/>
      <c r="E74" s="34" t="s">
        <v>177</v>
      </c>
      <c r="F74" s="34"/>
      <c r="G74" s="34"/>
      <c r="H74" s="34"/>
      <c r="I74" s="34"/>
      <c r="J74" s="35"/>
      <c r="K74" s="36"/>
      <c r="L74" s="37">
        <f>SUM(L65:L73)</f>
        <v>0</v>
      </c>
    </row>
    <row r="75" ht="15.6" spans="1:12">
      <c r="A75" s="45"/>
      <c r="B75" s="51"/>
      <c r="C75" s="53"/>
      <c r="D75" s="53"/>
      <c r="E75" s="54" t="s">
        <v>178</v>
      </c>
      <c r="F75" s="54" t="s">
        <v>77</v>
      </c>
      <c r="G75" s="54">
        <v>1</v>
      </c>
      <c r="H75" s="76"/>
      <c r="I75" s="53"/>
      <c r="J75" s="77"/>
      <c r="K75" s="54"/>
      <c r="L75" s="57"/>
    </row>
    <row r="76" ht="15.6" spans="1:12">
      <c r="A76" s="45"/>
      <c r="B76" s="51"/>
      <c r="C76" s="53"/>
      <c r="D76" s="53"/>
      <c r="E76" s="54"/>
      <c r="F76" s="54"/>
      <c r="G76" s="54">
        <v>2</v>
      </c>
      <c r="H76" s="76"/>
      <c r="I76" s="54"/>
      <c r="J76" s="77"/>
      <c r="K76" s="54"/>
      <c r="L76" s="57"/>
    </row>
    <row r="77" ht="15" spans="1:12">
      <c r="A77" s="45" t="s">
        <v>349</v>
      </c>
      <c r="B77" s="51" t="s">
        <v>342</v>
      </c>
      <c r="C77" s="53" t="s">
        <v>155</v>
      </c>
      <c r="D77" s="53"/>
      <c r="E77" s="54" t="s">
        <v>156</v>
      </c>
      <c r="F77" s="53" t="s">
        <v>77</v>
      </c>
      <c r="G77" s="53">
        <v>1</v>
      </c>
      <c r="H77" s="56"/>
      <c r="I77" s="15"/>
      <c r="J77" s="52"/>
      <c r="K77" s="53"/>
      <c r="L77" s="57"/>
    </row>
    <row r="78" ht="15" spans="1:12">
      <c r="A78" s="45"/>
      <c r="B78" s="51"/>
      <c r="C78" s="53"/>
      <c r="D78" s="53"/>
      <c r="E78" s="54"/>
      <c r="F78" s="53"/>
      <c r="G78" s="53">
        <v>2</v>
      </c>
      <c r="H78" s="78"/>
      <c r="I78" s="15"/>
      <c r="J78" s="52"/>
      <c r="K78" s="53"/>
      <c r="L78" s="57"/>
    </row>
    <row r="79" ht="15" spans="1:12">
      <c r="A79" s="45"/>
      <c r="B79" s="51"/>
      <c r="C79" s="53"/>
      <c r="D79" s="53"/>
      <c r="E79" s="54"/>
      <c r="F79" s="53"/>
      <c r="G79" s="53">
        <v>3</v>
      </c>
      <c r="H79" s="56"/>
      <c r="I79" s="15"/>
      <c r="J79" s="52"/>
      <c r="K79" s="53"/>
      <c r="L79" s="57"/>
    </row>
    <row r="80" ht="15" spans="1:12">
      <c r="A80" s="45"/>
      <c r="B80" s="51"/>
      <c r="C80" s="53"/>
      <c r="D80" s="53"/>
      <c r="E80" s="54"/>
      <c r="F80" s="53"/>
      <c r="G80" s="53"/>
      <c r="H80" s="56"/>
      <c r="I80" s="15"/>
      <c r="J80" s="52"/>
      <c r="K80" s="53"/>
      <c r="L80" s="57"/>
    </row>
    <row r="81" ht="15" spans="1:12">
      <c r="A81" s="45"/>
      <c r="B81" s="51"/>
      <c r="C81" s="53"/>
      <c r="D81" s="53"/>
      <c r="E81" s="54"/>
      <c r="F81" s="53"/>
      <c r="G81" s="53"/>
      <c r="H81" s="56"/>
      <c r="I81" s="15"/>
      <c r="J81" s="52"/>
      <c r="K81" s="53"/>
      <c r="L81" s="57"/>
    </row>
    <row r="82" ht="15" spans="1:12">
      <c r="A82" s="45"/>
      <c r="B82" s="51"/>
      <c r="C82" s="53"/>
      <c r="D82" s="53"/>
      <c r="E82" s="54"/>
      <c r="F82" s="53"/>
      <c r="G82" s="53"/>
      <c r="H82" s="78"/>
      <c r="I82" s="53"/>
      <c r="J82" s="52"/>
      <c r="K82" s="53"/>
      <c r="L82" s="57"/>
    </row>
    <row r="83" ht="15" spans="1:12">
      <c r="A83" s="45"/>
      <c r="B83" s="51"/>
      <c r="C83" s="53"/>
      <c r="D83" s="53"/>
      <c r="E83" s="54"/>
      <c r="F83" s="53"/>
      <c r="G83" s="54"/>
      <c r="H83" s="56"/>
      <c r="I83" s="53"/>
      <c r="J83" s="52"/>
      <c r="K83" s="53"/>
      <c r="L83" s="57"/>
    </row>
    <row r="84" ht="15" spans="1:12">
      <c r="A84" s="45"/>
      <c r="B84" s="51"/>
      <c r="C84" s="53"/>
      <c r="D84" s="53"/>
      <c r="E84" s="54"/>
      <c r="F84" s="53"/>
      <c r="G84" s="53"/>
      <c r="H84" s="56"/>
      <c r="I84" s="53"/>
      <c r="J84" s="52"/>
      <c r="K84" s="53"/>
      <c r="L84" s="57"/>
    </row>
    <row r="85" ht="15" spans="1:12">
      <c r="A85" s="45"/>
      <c r="B85" s="51"/>
      <c r="C85" s="53"/>
      <c r="D85" s="53"/>
      <c r="E85" s="54"/>
      <c r="F85" s="53"/>
      <c r="G85" s="53"/>
      <c r="H85" s="56"/>
      <c r="I85" s="53"/>
      <c r="J85" s="52"/>
      <c r="K85" s="53"/>
      <c r="L85" s="57"/>
    </row>
    <row r="86" ht="15" spans="1:12">
      <c r="A86" s="45"/>
      <c r="B86" s="51"/>
      <c r="C86" s="53"/>
      <c r="D86" s="53"/>
      <c r="E86" s="34" t="s">
        <v>177</v>
      </c>
      <c r="F86" s="34"/>
      <c r="G86" s="34"/>
      <c r="H86" s="34"/>
      <c r="I86" s="34"/>
      <c r="J86" s="35"/>
      <c r="K86" s="36"/>
      <c r="L86" s="37">
        <f>SUM(L77:L85)</f>
        <v>0</v>
      </c>
    </row>
    <row r="87" ht="15.6" spans="1:12">
      <c r="A87" s="45"/>
      <c r="B87" s="51"/>
      <c r="C87" s="53"/>
      <c r="D87" s="53"/>
      <c r="E87" s="54" t="s">
        <v>178</v>
      </c>
      <c r="F87" s="54" t="s">
        <v>77</v>
      </c>
      <c r="G87" s="54">
        <v>1</v>
      </c>
      <c r="H87" s="76"/>
      <c r="I87" s="53"/>
      <c r="J87" s="77"/>
      <c r="K87" s="54"/>
      <c r="L87" s="79"/>
    </row>
    <row r="88" ht="15.6" spans="1:12">
      <c r="A88" s="45"/>
      <c r="B88" s="51"/>
      <c r="C88" s="53"/>
      <c r="D88" s="53"/>
      <c r="E88" s="54"/>
      <c r="F88" s="54"/>
      <c r="G88" s="54">
        <v>2</v>
      </c>
      <c r="H88" s="76"/>
      <c r="I88" s="54"/>
      <c r="J88" s="77"/>
      <c r="K88" s="54"/>
      <c r="L88" s="79"/>
    </row>
    <row r="89" ht="15" spans="1:12">
      <c r="A89" s="3" t="s">
        <v>350</v>
      </c>
      <c r="B89" s="17"/>
      <c r="C89" s="13" t="s">
        <v>155</v>
      </c>
      <c r="D89" s="13"/>
      <c r="E89" s="30" t="s">
        <v>156</v>
      </c>
      <c r="F89" s="13" t="s">
        <v>77</v>
      </c>
      <c r="G89" s="13">
        <v>1</v>
      </c>
      <c r="H89" s="23"/>
      <c r="I89" s="15"/>
      <c r="J89" s="16"/>
      <c r="K89" s="13"/>
      <c r="L89" s="57"/>
    </row>
    <row r="90" ht="15" spans="1:12">
      <c r="A90" s="3"/>
      <c r="B90" s="17"/>
      <c r="C90" s="13"/>
      <c r="D90" s="13"/>
      <c r="E90" s="30"/>
      <c r="F90" s="13"/>
      <c r="G90" s="13">
        <v>2</v>
      </c>
      <c r="H90" s="82"/>
      <c r="I90" s="15"/>
      <c r="J90" s="16"/>
      <c r="K90" s="13"/>
      <c r="L90" s="57"/>
    </row>
    <row r="91" ht="15" spans="1:12">
      <c r="A91" s="3"/>
      <c r="B91" s="17"/>
      <c r="C91" s="13"/>
      <c r="D91" s="13"/>
      <c r="E91" s="30"/>
      <c r="F91" s="13"/>
      <c r="G91" s="13">
        <v>3</v>
      </c>
      <c r="H91" s="14"/>
      <c r="I91" s="15"/>
      <c r="J91" s="16"/>
      <c r="K91" s="13"/>
      <c r="L91" s="57"/>
    </row>
    <row r="92" ht="15" spans="1:12">
      <c r="A92" s="3"/>
      <c r="B92" s="17"/>
      <c r="C92" s="13"/>
      <c r="D92" s="13"/>
      <c r="E92" s="30"/>
      <c r="F92" s="13"/>
      <c r="G92" s="13"/>
      <c r="H92" s="14"/>
      <c r="I92" s="15"/>
      <c r="J92" s="16"/>
      <c r="K92" s="13"/>
      <c r="L92" s="57"/>
    </row>
    <row r="93" ht="15" spans="1:12">
      <c r="A93" s="3"/>
      <c r="B93" s="17"/>
      <c r="C93" s="13"/>
      <c r="D93" s="13"/>
      <c r="E93" s="30"/>
      <c r="F93" s="13"/>
      <c r="G93" s="13"/>
      <c r="H93" s="14"/>
      <c r="I93" s="15"/>
      <c r="J93" s="16"/>
      <c r="K93" s="13"/>
      <c r="L93" s="57"/>
    </row>
    <row r="94" ht="15" spans="1:12">
      <c r="A94" s="3"/>
      <c r="B94" s="17"/>
      <c r="C94" s="13"/>
      <c r="D94" s="13"/>
      <c r="E94" s="30"/>
      <c r="F94" s="13"/>
      <c r="G94" s="13"/>
      <c r="H94" s="22"/>
      <c r="I94" s="13"/>
      <c r="J94" s="16"/>
      <c r="K94" s="13"/>
      <c r="L94" s="57"/>
    </row>
    <row r="95" ht="15" spans="1:12">
      <c r="A95" s="3"/>
      <c r="B95" s="17"/>
      <c r="C95" s="13"/>
      <c r="D95" s="13"/>
      <c r="E95" s="30"/>
      <c r="F95" s="13"/>
      <c r="G95" s="30"/>
      <c r="H95" s="14"/>
      <c r="I95" s="13"/>
      <c r="J95" s="16"/>
      <c r="K95" s="13"/>
      <c r="L95" s="57"/>
    </row>
    <row r="96" ht="15" spans="1:12">
      <c r="A96" s="3"/>
      <c r="B96" s="17"/>
      <c r="C96" s="13"/>
      <c r="D96" s="13"/>
      <c r="E96" s="30"/>
      <c r="F96" s="13"/>
      <c r="G96" s="13"/>
      <c r="H96" s="14"/>
      <c r="I96" s="13"/>
      <c r="J96" s="16"/>
      <c r="K96" s="13"/>
      <c r="L96" s="57"/>
    </row>
    <row r="97" ht="15" spans="1:12">
      <c r="A97" s="3"/>
      <c r="B97" s="17"/>
      <c r="C97" s="13"/>
      <c r="D97" s="13"/>
      <c r="E97" s="30"/>
      <c r="F97" s="13"/>
      <c r="G97" s="13"/>
      <c r="H97" s="14"/>
      <c r="I97" s="13"/>
      <c r="J97" s="16"/>
      <c r="K97" s="13"/>
      <c r="L97" s="57"/>
    </row>
    <row r="98" ht="15" spans="1:12">
      <c r="A98" s="3"/>
      <c r="B98" s="17"/>
      <c r="C98" s="13"/>
      <c r="D98" s="13"/>
      <c r="E98" s="34" t="s">
        <v>177</v>
      </c>
      <c r="F98" s="34"/>
      <c r="G98" s="34"/>
      <c r="H98" s="34"/>
      <c r="I98" s="34"/>
      <c r="J98" s="35"/>
      <c r="K98" s="36"/>
      <c r="L98" s="37">
        <f>SUM(L89:L97)</f>
        <v>0</v>
      </c>
    </row>
    <row r="99" ht="15.6" spans="1:12">
      <c r="A99" s="3"/>
      <c r="B99" s="17"/>
      <c r="C99" s="13"/>
      <c r="D99" s="13"/>
      <c r="E99" s="30" t="s">
        <v>178</v>
      </c>
      <c r="F99" s="30" t="s">
        <v>77</v>
      </c>
      <c r="G99" s="30">
        <v>1</v>
      </c>
      <c r="H99" s="38"/>
      <c r="I99" s="13"/>
      <c r="J99" s="39"/>
      <c r="K99" s="30"/>
      <c r="L99" s="40"/>
    </row>
    <row r="100" ht="15.6" spans="1:12">
      <c r="A100" s="3"/>
      <c r="B100" s="17"/>
      <c r="C100" s="13"/>
      <c r="D100" s="13"/>
      <c r="E100" s="30"/>
      <c r="F100" s="30"/>
      <c r="G100" s="30">
        <v>2</v>
      </c>
      <c r="H100" s="38"/>
      <c r="I100" s="30"/>
      <c r="J100" s="39"/>
      <c r="K100" s="30"/>
      <c r="L100" s="40"/>
    </row>
  </sheetData>
  <autoFilter xmlns:etc="http://www.wps.cn/officeDocument/2017/etCustomData" ref="I1:I56" etc:filterBottomFollowUsedRange="0">
    <extLst/>
  </autoFilter>
  <mergeCells count="76">
    <mergeCell ref="E14:H14"/>
    <mergeCell ref="E26:H26"/>
    <mergeCell ref="E38:H38"/>
    <mergeCell ref="E50:H50"/>
    <mergeCell ref="E62:H62"/>
    <mergeCell ref="E74:H74"/>
    <mergeCell ref="E86:H86"/>
    <mergeCell ref="E98:H98"/>
    <mergeCell ref="A2:A16"/>
    <mergeCell ref="A17:A28"/>
    <mergeCell ref="A29:A40"/>
    <mergeCell ref="A41:A52"/>
    <mergeCell ref="A53:A64"/>
    <mergeCell ref="A65:A76"/>
    <mergeCell ref="A77:A88"/>
    <mergeCell ref="A89:A100"/>
    <mergeCell ref="B2:B16"/>
    <mergeCell ref="B17:B28"/>
    <mergeCell ref="B29:B40"/>
    <mergeCell ref="B41:B52"/>
    <mergeCell ref="B53:B64"/>
    <mergeCell ref="B65:B76"/>
    <mergeCell ref="B77:B88"/>
    <mergeCell ref="B89:B100"/>
    <mergeCell ref="C2:C16"/>
    <mergeCell ref="C17:C28"/>
    <mergeCell ref="C29:C40"/>
    <mergeCell ref="C41:C52"/>
    <mergeCell ref="C53:C64"/>
    <mergeCell ref="C65:C76"/>
    <mergeCell ref="C77:C88"/>
    <mergeCell ref="C89:C100"/>
    <mergeCell ref="D2:D16"/>
    <mergeCell ref="D17:D28"/>
    <mergeCell ref="D29:D40"/>
    <mergeCell ref="D41:D52"/>
    <mergeCell ref="D53:D64"/>
    <mergeCell ref="D65:D76"/>
    <mergeCell ref="D77:D88"/>
    <mergeCell ref="D89:D100"/>
    <mergeCell ref="E2:E13"/>
    <mergeCell ref="E15:E16"/>
    <mergeCell ref="E17:E25"/>
    <mergeCell ref="E27:E28"/>
    <mergeCell ref="E29:E37"/>
    <mergeCell ref="E39:E40"/>
    <mergeCell ref="E41:E49"/>
    <mergeCell ref="E51:E52"/>
    <mergeCell ref="E53:E61"/>
    <mergeCell ref="E63:E64"/>
    <mergeCell ref="E65:E73"/>
    <mergeCell ref="E75:E76"/>
    <mergeCell ref="E77:E85"/>
    <mergeCell ref="E87:E88"/>
    <mergeCell ref="E89:E97"/>
    <mergeCell ref="E99:E100"/>
    <mergeCell ref="F2:F13"/>
    <mergeCell ref="F15:F16"/>
    <mergeCell ref="F17:F25"/>
    <mergeCell ref="F27:F28"/>
    <mergeCell ref="F29:F34"/>
    <mergeCell ref="F35:F37"/>
    <mergeCell ref="F39:F40"/>
    <mergeCell ref="F41:F46"/>
    <mergeCell ref="F47:F49"/>
    <mergeCell ref="F51:F52"/>
    <mergeCell ref="F53:F58"/>
    <mergeCell ref="F59:F61"/>
    <mergeCell ref="F63:F64"/>
    <mergeCell ref="F65:F73"/>
    <mergeCell ref="F75:F76"/>
    <mergeCell ref="F77:F85"/>
    <mergeCell ref="F87:F88"/>
    <mergeCell ref="F89:F97"/>
    <mergeCell ref="F99:F100"/>
    <mergeCell ref="H59:H60"/>
  </mergeCell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Z37"/>
  <sheetViews>
    <sheetView workbookViewId="0">
      <pane ySplit="1" topLeftCell="A15" activePane="bottomLeft" state="frozen"/>
      <selection/>
      <selection pane="bottomLeft" activeCell="L21" sqref="L21"/>
    </sheetView>
  </sheetViews>
  <sheetFormatPr defaultColWidth="9.13888888888889" defaultRowHeight="13.2"/>
  <cols>
    <col min="1" max="1" width="22.4259259259259" style="1" customWidth="1"/>
    <col min="2" max="2" width="11.712962962963" style="1" customWidth="1"/>
    <col min="3" max="7" width="9.13888888888889" style="1"/>
    <col min="8" max="8" width="59.712962962963" style="1" customWidth="1"/>
    <col min="9" max="11" width="9.13888888888889" style="1"/>
    <col min="12" max="12" width="19.5740740740741" style="2" customWidth="1"/>
    <col min="13" max="16384" width="9.13888888888889" style="1"/>
  </cols>
  <sheetData>
    <row r="1" ht="69.6" spans="1:26">
      <c r="A1" s="3" t="s">
        <v>144</v>
      </c>
      <c r="B1" s="4" t="s">
        <v>6</v>
      </c>
      <c r="C1" s="3" t="s">
        <v>145</v>
      </c>
      <c r="D1" s="3" t="s">
        <v>146</v>
      </c>
      <c r="E1" s="4" t="s">
        <v>147</v>
      </c>
      <c r="F1" s="3" t="s">
        <v>148</v>
      </c>
      <c r="G1" s="3" t="s">
        <v>1</v>
      </c>
      <c r="H1" s="5" t="s">
        <v>149</v>
      </c>
      <c r="I1" s="3" t="s">
        <v>150</v>
      </c>
      <c r="J1" s="6" t="s">
        <v>151</v>
      </c>
      <c r="K1" s="3" t="s">
        <v>152</v>
      </c>
      <c r="L1" s="7" t="s">
        <v>153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6" spans="1:26">
      <c r="A2" s="9" t="s">
        <v>351</v>
      </c>
      <c r="B2" s="10" t="s">
        <v>60</v>
      </c>
      <c r="C2" s="356" t="s">
        <v>155</v>
      </c>
      <c r="D2" s="11"/>
      <c r="E2" s="12" t="s">
        <v>156</v>
      </c>
      <c r="F2" s="11" t="s">
        <v>77</v>
      </c>
      <c r="G2" s="13">
        <v>1</v>
      </c>
      <c r="H2" s="14" t="s">
        <v>352</v>
      </c>
      <c r="I2" s="15" t="s">
        <v>353</v>
      </c>
      <c r="J2" s="16">
        <v>1</v>
      </c>
      <c r="K2" s="13"/>
      <c r="L2" s="17"/>
    </row>
    <row r="3" ht="15.6" spans="1:26">
      <c r="A3" s="18"/>
      <c r="B3" s="19"/>
      <c r="C3" s="20"/>
      <c r="D3" s="20"/>
      <c r="E3" s="21"/>
      <c r="F3" s="20"/>
      <c r="G3" s="13">
        <v>2</v>
      </c>
      <c r="H3" s="22" t="s">
        <v>354</v>
      </c>
      <c r="I3" s="15" t="s">
        <v>355</v>
      </c>
      <c r="J3" s="16">
        <v>1</v>
      </c>
      <c r="K3" s="13" t="s">
        <v>356</v>
      </c>
      <c r="L3" s="17"/>
    </row>
    <row r="4" ht="24" customHeight="1" spans="1:26">
      <c r="A4" s="18"/>
      <c r="B4" s="19"/>
      <c r="C4" s="20"/>
      <c r="D4" s="20"/>
      <c r="E4" s="21"/>
      <c r="F4" s="20"/>
      <c r="G4" s="11">
        <v>3</v>
      </c>
      <c r="H4" s="23" t="s">
        <v>357</v>
      </c>
      <c r="I4" s="15" t="s">
        <v>358</v>
      </c>
      <c r="J4" s="24">
        <v>0.98</v>
      </c>
      <c r="K4" s="11" t="s">
        <v>359</v>
      </c>
      <c r="L4" s="17">
        <v>1</v>
      </c>
    </row>
    <row r="5" ht="22" customHeight="1" spans="1:26">
      <c r="A5" s="18"/>
      <c r="B5" s="19"/>
      <c r="C5" s="20"/>
      <c r="D5" s="20"/>
      <c r="E5" s="21"/>
      <c r="F5" s="20"/>
      <c r="G5" s="20"/>
      <c r="H5" s="25"/>
      <c r="I5" s="15" t="s">
        <v>360</v>
      </c>
      <c r="J5" s="26"/>
      <c r="K5" s="20"/>
      <c r="L5" s="17">
        <v>4</v>
      </c>
    </row>
    <row r="6" ht="22" customHeight="1" spans="1:26">
      <c r="A6" s="18"/>
      <c r="B6" s="19"/>
      <c r="C6" s="20"/>
      <c r="D6" s="20"/>
      <c r="E6" s="21"/>
      <c r="F6" s="20"/>
      <c r="G6" s="27"/>
      <c r="H6" s="28"/>
      <c r="I6" s="15" t="s">
        <v>355</v>
      </c>
      <c r="J6" s="29"/>
      <c r="K6" s="27"/>
      <c r="L6" s="17">
        <v>4</v>
      </c>
    </row>
    <row r="7" ht="22" customHeight="1" spans="1:26">
      <c r="A7" s="18"/>
      <c r="B7" s="19"/>
      <c r="C7" s="20"/>
      <c r="D7" s="20"/>
      <c r="E7" s="21"/>
      <c r="F7" s="20"/>
      <c r="G7" s="13">
        <v>4</v>
      </c>
      <c r="H7" s="14" t="s">
        <v>361</v>
      </c>
      <c r="I7" s="15" t="s">
        <v>360</v>
      </c>
      <c r="J7" s="16">
        <v>1</v>
      </c>
      <c r="K7" s="13" t="s">
        <v>356</v>
      </c>
      <c r="L7" s="17"/>
    </row>
    <row r="8" ht="22" customHeight="1" spans="1:26">
      <c r="A8" s="18"/>
      <c r="B8" s="19"/>
      <c r="C8" s="20"/>
      <c r="D8" s="20"/>
      <c r="E8" s="21"/>
      <c r="F8" s="20"/>
      <c r="G8" s="11">
        <v>5</v>
      </c>
      <c r="H8" s="11" t="s">
        <v>362</v>
      </c>
      <c r="I8" s="15" t="s">
        <v>360</v>
      </c>
      <c r="J8" s="24">
        <v>0.92</v>
      </c>
      <c r="K8" s="11" t="s">
        <v>363</v>
      </c>
      <c r="L8" s="17">
        <v>1</v>
      </c>
    </row>
    <row r="9" ht="15.6" spans="1:26">
      <c r="A9" s="18"/>
      <c r="B9" s="19"/>
      <c r="C9" s="20"/>
      <c r="D9" s="20"/>
      <c r="E9" s="21"/>
      <c r="F9" s="20"/>
      <c r="G9" s="27"/>
      <c r="H9" s="28"/>
      <c r="I9" s="15" t="s">
        <v>358</v>
      </c>
      <c r="J9" s="29"/>
      <c r="K9" s="27"/>
      <c r="L9" s="17">
        <v>2</v>
      </c>
    </row>
    <row r="10" ht="21" customHeight="1" spans="1:26">
      <c r="A10" s="18"/>
      <c r="B10" s="19"/>
      <c r="C10" s="20"/>
      <c r="D10" s="20"/>
      <c r="E10" s="21"/>
      <c r="F10" s="20"/>
      <c r="G10" s="13">
        <v>6</v>
      </c>
      <c r="H10" s="22" t="s">
        <v>364</v>
      </c>
      <c r="I10" s="13" t="s">
        <v>353</v>
      </c>
      <c r="J10" s="16">
        <v>1</v>
      </c>
      <c r="K10" s="13"/>
      <c r="L10" s="17"/>
    </row>
    <row r="11" ht="30" spans="1:26">
      <c r="A11" s="18"/>
      <c r="B11" s="19"/>
      <c r="C11" s="20"/>
      <c r="D11" s="20"/>
      <c r="E11" s="21"/>
      <c r="F11" s="20"/>
      <c r="G11" s="30">
        <v>7</v>
      </c>
      <c r="H11" s="14" t="s">
        <v>365</v>
      </c>
      <c r="I11" s="13" t="s">
        <v>358</v>
      </c>
      <c r="J11" s="16">
        <v>1</v>
      </c>
      <c r="K11" s="13" t="s">
        <v>366</v>
      </c>
      <c r="L11" s="17"/>
    </row>
    <row r="12" ht="33" customHeight="1" spans="1:26">
      <c r="A12" s="18"/>
      <c r="B12" s="19"/>
      <c r="C12" s="20"/>
      <c r="D12" s="20"/>
      <c r="E12" s="21"/>
      <c r="F12" s="20"/>
      <c r="G12" s="13">
        <v>8</v>
      </c>
      <c r="H12" s="14" t="s">
        <v>367</v>
      </c>
      <c r="I12" s="13" t="s">
        <v>355</v>
      </c>
      <c r="J12" s="16">
        <v>1</v>
      </c>
      <c r="K12" s="13" t="s">
        <v>356</v>
      </c>
      <c r="L12" s="17">
        <v>1</v>
      </c>
    </row>
    <row r="13" ht="25" customHeight="1" spans="1:26">
      <c r="A13" s="18"/>
      <c r="B13" s="19"/>
      <c r="C13" s="20"/>
      <c r="D13" s="20"/>
      <c r="E13" s="21"/>
      <c r="F13" s="20"/>
      <c r="G13" s="11">
        <v>9</v>
      </c>
      <c r="H13" s="23" t="s">
        <v>368</v>
      </c>
      <c r="I13" s="13" t="s">
        <v>358</v>
      </c>
      <c r="J13" s="24">
        <v>0.8</v>
      </c>
      <c r="K13" s="11" t="s">
        <v>369</v>
      </c>
      <c r="L13" s="17">
        <v>1</v>
      </c>
    </row>
    <row r="14" ht="23" customHeight="1" spans="1:26">
      <c r="A14" s="18"/>
      <c r="B14" s="19"/>
      <c r="C14" s="20"/>
      <c r="D14" s="20"/>
      <c r="E14" s="21"/>
      <c r="F14" s="20"/>
      <c r="G14" s="27"/>
      <c r="H14" s="28"/>
      <c r="I14" s="13" t="s">
        <v>370</v>
      </c>
      <c r="J14" s="29"/>
      <c r="K14" s="27"/>
      <c r="L14" s="17">
        <v>2</v>
      </c>
    </row>
    <row r="15" ht="23" customHeight="1" spans="1:26">
      <c r="A15" s="18"/>
      <c r="B15" s="19"/>
      <c r="C15" s="20"/>
      <c r="D15" s="20"/>
      <c r="E15" s="21"/>
      <c r="F15" s="20"/>
      <c r="G15" s="20">
        <v>10</v>
      </c>
      <c r="H15" s="25" t="s">
        <v>371</v>
      </c>
      <c r="I15" s="13" t="s">
        <v>353</v>
      </c>
      <c r="J15" s="26">
        <v>0.8</v>
      </c>
      <c r="K15" s="20" t="s">
        <v>372</v>
      </c>
      <c r="L15" s="17">
        <v>1</v>
      </c>
    </row>
    <row r="16" ht="23" customHeight="1" spans="1:26">
      <c r="A16" s="18"/>
      <c r="B16" s="19"/>
      <c r="C16" s="20"/>
      <c r="D16" s="20"/>
      <c r="E16" s="21"/>
      <c r="F16" s="20"/>
      <c r="G16" s="20"/>
      <c r="H16" s="25"/>
      <c r="I16" s="13" t="s">
        <v>309</v>
      </c>
      <c r="J16" s="26"/>
      <c r="K16" s="20"/>
      <c r="L16" s="17"/>
    </row>
    <row r="17" ht="23" customHeight="1" spans="1:12">
      <c r="A17" s="18"/>
      <c r="B17" s="19"/>
      <c r="C17" s="20"/>
      <c r="D17" s="20"/>
      <c r="E17" s="21"/>
      <c r="F17" s="20"/>
      <c r="G17" s="27"/>
      <c r="H17" s="28"/>
      <c r="I17" s="13" t="s">
        <v>234</v>
      </c>
      <c r="J17" s="29"/>
      <c r="K17" s="27"/>
      <c r="L17" s="17">
        <v>5</v>
      </c>
    </row>
    <row r="18" ht="23" customHeight="1" spans="1:12">
      <c r="A18" s="18"/>
      <c r="B18" s="19"/>
      <c r="C18" s="20"/>
      <c r="D18" s="20"/>
      <c r="E18" s="21"/>
      <c r="F18" s="20"/>
      <c r="G18" s="20">
        <v>11</v>
      </c>
      <c r="H18" s="25" t="s">
        <v>373</v>
      </c>
      <c r="I18" s="13" t="s">
        <v>374</v>
      </c>
      <c r="J18" s="26">
        <v>0.8</v>
      </c>
      <c r="K18" s="27" t="s">
        <v>375</v>
      </c>
      <c r="L18" s="17">
        <v>2</v>
      </c>
    </row>
    <row r="19" ht="23" customHeight="1" spans="1:12">
      <c r="A19" s="18"/>
      <c r="B19" s="19"/>
      <c r="C19" s="20"/>
      <c r="D19" s="20"/>
      <c r="E19" s="21"/>
      <c r="F19" s="20"/>
      <c r="G19" s="27"/>
      <c r="H19" s="28"/>
      <c r="I19" s="13" t="s">
        <v>353</v>
      </c>
      <c r="J19" s="29"/>
      <c r="K19" s="27" t="s">
        <v>375</v>
      </c>
      <c r="L19" s="17">
        <v>1</v>
      </c>
    </row>
    <row r="20" ht="23" customHeight="1" spans="1:12">
      <c r="A20" s="18"/>
      <c r="B20" s="19"/>
      <c r="C20" s="20"/>
      <c r="D20" s="20"/>
      <c r="E20" s="21"/>
      <c r="F20" s="31"/>
      <c r="G20" s="13">
        <v>1</v>
      </c>
      <c r="H20" s="14" t="s">
        <v>376</v>
      </c>
      <c r="I20" s="13" t="s">
        <v>60</v>
      </c>
      <c r="J20" s="16">
        <v>0.05</v>
      </c>
      <c r="K20" s="13" t="s">
        <v>377</v>
      </c>
      <c r="L20" s="17">
        <v>1</v>
      </c>
    </row>
    <row r="21" ht="23" customHeight="1" spans="1:12">
      <c r="A21" s="18"/>
      <c r="B21" s="19"/>
      <c r="C21" s="20"/>
      <c r="D21" s="20"/>
      <c r="E21" s="21"/>
      <c r="F21" s="20" t="s">
        <v>378</v>
      </c>
      <c r="G21" s="13">
        <v>1</v>
      </c>
      <c r="H21" s="14" t="s">
        <v>379</v>
      </c>
      <c r="I21" s="13" t="s">
        <v>380</v>
      </c>
      <c r="J21" s="16">
        <v>1</v>
      </c>
      <c r="K21" s="13"/>
      <c r="L21" s="17">
        <v>5</v>
      </c>
    </row>
    <row r="22" ht="23" customHeight="1" spans="1:12">
      <c r="A22" s="18"/>
      <c r="B22" s="19"/>
      <c r="C22" s="20"/>
      <c r="D22" s="20"/>
      <c r="E22" s="21"/>
      <c r="F22" s="20"/>
      <c r="G22" s="13">
        <v>2</v>
      </c>
      <c r="H22" s="14" t="s">
        <v>381</v>
      </c>
      <c r="I22" s="13" t="s">
        <v>382</v>
      </c>
      <c r="J22" s="16">
        <v>1</v>
      </c>
      <c r="K22" s="13"/>
      <c r="L22" s="17">
        <v>5</v>
      </c>
    </row>
    <row r="23" ht="23" customHeight="1" spans="1:12">
      <c r="A23" s="18"/>
      <c r="B23" s="19"/>
      <c r="C23" s="20"/>
      <c r="D23" s="20"/>
      <c r="E23" s="21"/>
      <c r="F23" s="20"/>
      <c r="G23" s="13">
        <v>3</v>
      </c>
      <c r="H23" s="14" t="s">
        <v>381</v>
      </c>
      <c r="I23" s="13" t="s">
        <v>383</v>
      </c>
      <c r="J23" s="16">
        <v>1</v>
      </c>
      <c r="K23" s="13"/>
      <c r="L23" s="17">
        <v>5</v>
      </c>
    </row>
    <row r="24" ht="23" customHeight="1" spans="1:12">
      <c r="A24" s="18"/>
      <c r="B24" s="19"/>
      <c r="C24" s="20"/>
      <c r="D24" s="20"/>
      <c r="E24" s="21"/>
      <c r="F24" s="20" t="s">
        <v>384</v>
      </c>
      <c r="G24" s="13">
        <v>2</v>
      </c>
      <c r="H24" s="14" t="s">
        <v>385</v>
      </c>
      <c r="I24" s="13" t="s">
        <v>370</v>
      </c>
      <c r="J24" s="16">
        <v>0.1</v>
      </c>
      <c r="K24" s="13" t="s">
        <v>386</v>
      </c>
      <c r="L24" s="17">
        <v>1</v>
      </c>
    </row>
    <row r="25" ht="24" customHeight="1" spans="1:12">
      <c r="A25" s="18"/>
      <c r="B25" s="19"/>
      <c r="C25" s="20"/>
      <c r="D25" s="20"/>
      <c r="E25" s="21"/>
      <c r="F25" s="20"/>
      <c r="G25" s="13">
        <v>3</v>
      </c>
      <c r="H25" s="14" t="s">
        <v>387</v>
      </c>
      <c r="I25" s="13" t="s">
        <v>358</v>
      </c>
      <c r="J25" s="16">
        <v>0.05</v>
      </c>
      <c r="K25" s="13" t="s">
        <v>386</v>
      </c>
      <c r="L25" s="17"/>
    </row>
    <row r="26" ht="15.6" spans="1:12">
      <c r="A26" s="18"/>
      <c r="B26" s="19"/>
      <c r="C26" s="20"/>
      <c r="D26" s="20"/>
      <c r="E26" s="21"/>
      <c r="F26" s="20"/>
      <c r="G26" s="11">
        <v>4</v>
      </c>
      <c r="H26" s="23" t="s">
        <v>388</v>
      </c>
      <c r="I26" s="11" t="s">
        <v>370</v>
      </c>
      <c r="J26" s="24">
        <v>1</v>
      </c>
      <c r="K26" s="11"/>
      <c r="L26" s="17"/>
    </row>
    <row r="27" ht="15.6" spans="1:12">
      <c r="A27" s="18"/>
      <c r="B27" s="19"/>
      <c r="C27" s="20"/>
      <c r="D27" s="20"/>
      <c r="E27" s="21"/>
      <c r="F27" s="20"/>
      <c r="G27" s="11">
        <v>5</v>
      </c>
      <c r="H27" s="23" t="s">
        <v>389</v>
      </c>
      <c r="I27" s="11" t="s">
        <v>353</v>
      </c>
      <c r="J27" s="24">
        <v>1</v>
      </c>
      <c r="K27" s="11"/>
      <c r="L27" s="17">
        <v>1</v>
      </c>
    </row>
    <row r="28" ht="15.6" spans="1:12">
      <c r="A28" s="18"/>
      <c r="B28" s="19"/>
      <c r="C28" s="20"/>
      <c r="D28" s="20"/>
      <c r="E28" s="21"/>
      <c r="F28" s="20"/>
      <c r="G28" s="11">
        <v>6</v>
      </c>
      <c r="H28" s="23" t="s">
        <v>390</v>
      </c>
      <c r="I28" s="13" t="s">
        <v>353</v>
      </c>
      <c r="J28" s="24">
        <v>0.7</v>
      </c>
      <c r="K28" s="11"/>
      <c r="L28" s="17">
        <v>2</v>
      </c>
    </row>
    <row r="29" spans="1:12">
      <c r="A29" s="18"/>
      <c r="B29" s="19"/>
      <c r="C29" s="20"/>
      <c r="D29" s="20"/>
      <c r="E29" s="21"/>
      <c r="F29" s="20"/>
      <c r="G29" s="11">
        <v>7</v>
      </c>
      <c r="H29" s="23" t="s">
        <v>391</v>
      </c>
      <c r="I29" s="11" t="s">
        <v>60</v>
      </c>
      <c r="J29" s="24">
        <v>1</v>
      </c>
      <c r="K29" s="11" t="s">
        <v>377</v>
      </c>
      <c r="L29" s="10">
        <v>0.5</v>
      </c>
    </row>
    <row r="30" spans="1:12">
      <c r="A30" s="18"/>
      <c r="B30" s="19"/>
      <c r="C30" s="20"/>
      <c r="D30" s="20"/>
      <c r="E30" s="32"/>
      <c r="F30" s="27"/>
      <c r="G30" s="27"/>
      <c r="H30" s="28"/>
      <c r="I30" s="27"/>
      <c r="J30" s="29"/>
      <c r="K30" s="27"/>
      <c r="L30" s="33"/>
    </row>
    <row r="31" ht="15" spans="1:12">
      <c r="A31" s="18"/>
      <c r="B31" s="19"/>
      <c r="C31" s="20"/>
      <c r="D31" s="20"/>
      <c r="E31" s="34" t="s">
        <v>177</v>
      </c>
      <c r="F31" s="34"/>
      <c r="G31" s="34"/>
      <c r="H31" s="34"/>
      <c r="I31" s="34"/>
      <c r="J31" s="35"/>
      <c r="K31" s="36"/>
      <c r="L31" s="37">
        <f>SUM(L2:L30)</f>
        <v>45.5</v>
      </c>
    </row>
    <row r="32" ht="31.2" spans="1:12">
      <c r="A32" s="18"/>
      <c r="B32" s="19"/>
      <c r="C32" s="20"/>
      <c r="D32" s="20"/>
      <c r="E32" s="12" t="s">
        <v>178</v>
      </c>
      <c r="F32" s="12" t="s">
        <v>77</v>
      </c>
      <c r="G32" s="30">
        <v>1</v>
      </c>
      <c r="H32" s="38" t="s">
        <v>362</v>
      </c>
      <c r="I32" s="13" t="s">
        <v>358</v>
      </c>
      <c r="J32" s="39">
        <v>1</v>
      </c>
      <c r="K32" s="30"/>
      <c r="L32" s="40">
        <v>1</v>
      </c>
    </row>
    <row r="33" ht="17" customHeight="1" spans="1:12">
      <c r="A33" s="18"/>
      <c r="B33" s="19"/>
      <c r="C33" s="20"/>
      <c r="D33" s="20"/>
      <c r="E33" s="21"/>
      <c r="F33" s="21"/>
      <c r="G33" s="30">
        <v>2</v>
      </c>
      <c r="H33" s="38" t="s">
        <v>357</v>
      </c>
      <c r="I33" s="30" t="s">
        <v>370</v>
      </c>
      <c r="J33" s="39">
        <v>1</v>
      </c>
      <c r="K33" s="30"/>
      <c r="L33" s="40"/>
    </row>
    <row r="34" ht="15.6" spans="1:12">
      <c r="A34" s="18"/>
      <c r="B34" s="19"/>
      <c r="C34" s="20"/>
      <c r="D34" s="20"/>
      <c r="E34" s="21"/>
      <c r="F34" s="32"/>
      <c r="G34" s="30">
        <v>3</v>
      </c>
      <c r="H34" s="38" t="s">
        <v>368</v>
      </c>
      <c r="I34" s="13" t="s">
        <v>358</v>
      </c>
      <c r="J34" s="39">
        <v>0.85</v>
      </c>
      <c r="K34" s="30"/>
      <c r="L34" s="40"/>
    </row>
    <row r="35" ht="15.6" spans="1:12">
      <c r="A35" s="18"/>
      <c r="B35" s="19"/>
      <c r="C35" s="20"/>
      <c r="D35" s="20"/>
      <c r="E35" s="21"/>
      <c r="F35" s="41" t="s">
        <v>384</v>
      </c>
      <c r="G35" s="30">
        <v>1</v>
      </c>
      <c r="H35" s="38" t="s">
        <v>390</v>
      </c>
      <c r="I35" s="13" t="s">
        <v>353</v>
      </c>
      <c r="J35" s="39">
        <v>1</v>
      </c>
      <c r="K35" s="30"/>
      <c r="L35" s="40"/>
    </row>
    <row r="36" ht="31.2" spans="1:12">
      <c r="A36" s="18"/>
      <c r="B36" s="19"/>
      <c r="C36" s="20"/>
      <c r="D36" s="20"/>
      <c r="E36" s="21"/>
      <c r="F36" s="41"/>
      <c r="G36" s="30">
        <v>2</v>
      </c>
      <c r="H36" s="38" t="s">
        <v>362</v>
      </c>
      <c r="I36" s="13" t="s">
        <v>358</v>
      </c>
      <c r="J36" s="39">
        <v>1</v>
      </c>
      <c r="K36" s="30"/>
      <c r="L36" s="40"/>
    </row>
    <row r="37" ht="15.6" spans="1:12">
      <c r="A37" s="18"/>
      <c r="B37" s="19"/>
      <c r="C37" s="20"/>
      <c r="D37" s="20"/>
      <c r="E37" s="21"/>
      <c r="F37" s="41"/>
      <c r="G37" s="30">
        <v>3</v>
      </c>
      <c r="H37" s="38" t="s">
        <v>387</v>
      </c>
      <c r="I37" s="13" t="s">
        <v>353</v>
      </c>
      <c r="J37" s="39">
        <v>1</v>
      </c>
      <c r="K37" s="30"/>
      <c r="L37" s="40"/>
    </row>
  </sheetData>
  <autoFilter xmlns:etc="http://www.wps.cn/officeDocument/2017/etCustomData" ref="A1:Z37" etc:filterBottomFollowUsedRange="0">
    <extLst/>
  </autoFilter>
  <mergeCells count="37">
    <mergeCell ref="E31:H31"/>
    <mergeCell ref="A2:A37"/>
    <mergeCell ref="B2:B37"/>
    <mergeCell ref="C2:C37"/>
    <mergeCell ref="D2:D37"/>
    <mergeCell ref="E2:E30"/>
    <mergeCell ref="E32:E37"/>
    <mergeCell ref="F2:F19"/>
    <mergeCell ref="F21:F23"/>
    <mergeCell ref="F24:F30"/>
    <mergeCell ref="F32:F34"/>
    <mergeCell ref="F35:F37"/>
    <mergeCell ref="G4:G6"/>
    <mergeCell ref="G8:G9"/>
    <mergeCell ref="G13:G14"/>
    <mergeCell ref="G15:G17"/>
    <mergeCell ref="G18:G19"/>
    <mergeCell ref="G29:G30"/>
    <mergeCell ref="H4:H6"/>
    <mergeCell ref="H8:H9"/>
    <mergeCell ref="H13:H14"/>
    <mergeCell ref="H15:H17"/>
    <mergeCell ref="H18:H19"/>
    <mergeCell ref="H29:H30"/>
    <mergeCell ref="I29:I30"/>
    <mergeCell ref="J4:J6"/>
    <mergeCell ref="J8:J9"/>
    <mergeCell ref="J13:J14"/>
    <mergeCell ref="J15:J17"/>
    <mergeCell ref="J18:J19"/>
    <mergeCell ref="J29:J30"/>
    <mergeCell ref="K4:K6"/>
    <mergeCell ref="K8:K9"/>
    <mergeCell ref="K13:K14"/>
    <mergeCell ref="K15:K17"/>
    <mergeCell ref="K29:K30"/>
    <mergeCell ref="L29:L30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项目汇总</vt:lpstr>
      <vt:lpstr>交付-不动产组</vt:lpstr>
      <vt:lpstr>交付-房产组</vt:lpstr>
      <vt:lpstr>交付-物业组</vt:lpstr>
      <vt:lpstr>交付-AI大数据组</vt:lpstr>
      <vt:lpstr>交付-JD组</vt:lpstr>
      <vt:lpstr>产品研发部</vt:lpstr>
      <vt:lpstr>汇房智选部</vt:lpstr>
      <vt:lpstr>软件项目部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王壮-leo</dc:creator>
  <cp:lastModifiedBy>阐述者 ~</cp:lastModifiedBy>
  <dcterms:created xsi:type="dcterms:W3CDTF">2015-06-05T18:19:00Z</dcterms:created>
  <dcterms:modified xsi:type="dcterms:W3CDTF">2026-04-04T12:39:39Z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8CE315F449C943B0A03441FAB45BFA52_13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