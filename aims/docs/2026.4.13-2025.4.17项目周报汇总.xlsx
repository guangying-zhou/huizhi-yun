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644" tabRatio="905"/>
  </bookViews>
  <sheets>
    <sheet name="项目汇总" sheetId="1" r:id="rId1"/>
    <sheet name="交付-不动产组" sheetId="2" r:id="rId2"/>
    <sheet name="交付-房产组" sheetId="3" r:id="rId3"/>
    <sheet name="交付-物业组" sheetId="4" r:id="rId4"/>
    <sheet name="交付-AI大数据组" sheetId="5" r:id="rId5"/>
    <sheet name="交付-JD组" sheetId="6" r:id="rId6"/>
    <sheet name="产品研发部" sheetId="7" r:id="rId7"/>
    <sheet name="汇房智选部" sheetId="8" r:id="rId8"/>
    <sheet name="软件项目部" sheetId="9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1" hidden="1">'交付-不动产组'!$A$1:$L$38</definedName>
    <definedName name="_xlnm._FilterDatabase" localSheetId="7" hidden="1">汇房智选部!$I$1:$I$56</definedName>
    <definedName name="_xlnm._FilterDatabase" localSheetId="8" hidden="1">软件项目部!$A$1:$Z$40</definedName>
    <definedName name="_xlnm._FilterDatabase" localSheetId="2" hidden="1">#REF!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localSheetId="6" hidden="1">产品研发部!#REF!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王壮-leo</author>
  </authors>
  <commentList>
    <comment ref="M2" authorId="0">
      <text>
        <r>
          <rPr>
            <b/>
            <sz val="9"/>
            <rFont val="宋体"/>
            <charset val="134"/>
          </rPr>
          <t>王壮-leo:</t>
        </r>
        <r>
          <rPr>
            <sz val="9"/>
            <rFont val="宋体"/>
            <charset val="134"/>
          </rPr>
          <t xml:space="preserve">
按照每周各项目成员填报工时累计之和除以8计算</t>
        </r>
      </text>
    </comment>
  </commentList>
</comments>
</file>

<file path=xl/sharedStrings.xml><?xml version="1.0" encoding="utf-8"?>
<sst xmlns="http://schemas.openxmlformats.org/spreadsheetml/2006/main" count="978" uniqueCount="411">
  <si>
    <t>项目周报汇总（2026.4.13-2025.4.17）</t>
  </si>
  <si>
    <t>序号</t>
  </si>
  <si>
    <t>隶属部门</t>
  </si>
  <si>
    <t>项目类型</t>
  </si>
  <si>
    <t>项目编号</t>
  </si>
  <si>
    <t>项目名称</t>
  </si>
  <si>
    <t>项目经理</t>
  </si>
  <si>
    <t>立项情况</t>
  </si>
  <si>
    <t>当前阶段</t>
  </si>
  <si>
    <t>进度情况</t>
  </si>
  <si>
    <t>总体完成进度</t>
  </si>
  <si>
    <t>合同状态</t>
  </si>
  <si>
    <t>回款情况</t>
  </si>
  <si>
    <t>上周人力投入(人天)</t>
  </si>
  <si>
    <t>本周人力投入(人天)</t>
  </si>
  <si>
    <t>人力较上周</t>
  </si>
  <si>
    <t>重大问题和风险</t>
  </si>
  <si>
    <t>待协调资源</t>
  </si>
  <si>
    <t>备注</t>
  </si>
  <si>
    <t>交付中心
（王壮）</t>
  </si>
  <si>
    <t>不动产组
（宋义振）</t>
  </si>
  <si>
    <t>济南市不动产登记系统功能拓展</t>
  </si>
  <si>
    <t>宋义振</t>
  </si>
  <si>
    <t>长期项目</t>
  </si>
  <si>
    <t>上线运行</t>
  </si>
  <si>
    <t>正常</t>
  </si>
  <si>
    <t>——</t>
  </si>
  <si>
    <t>已申报预算，未签订</t>
  </si>
  <si>
    <t>不动产登记信息平台信创升级改造项目</t>
  </si>
  <si>
    <t>已立项</t>
  </si>
  <si>
    <t>验收</t>
  </si>
  <si>
    <t>已签订</t>
  </si>
  <si>
    <t>完成初验，目前处于各子系统陆续切换过程中，分好多系统需要信创上线  最后一个系统上线是今年10月份；电子监督和电子证照本周上线</t>
  </si>
  <si>
    <t>济南市不动产登记云柜台（线上移动)系统</t>
  </si>
  <si>
    <t>陈一明</t>
  </si>
  <si>
    <t>未立项</t>
  </si>
  <si>
    <t>云柜台上线好几年了，之前不断增加新功能，今年基本没有新增需求，目前处于运维过程中，本月云柜台信创上线</t>
  </si>
  <si>
    <t>济南市不动产预受理系统</t>
  </si>
  <si>
    <t>2025年4月上线，一直保持运维过程中，项目运行文档，本周没有工作输出</t>
  </si>
  <si>
    <t>房产组
（刘存山）</t>
  </si>
  <si>
    <t>济南市房产交易管理平台拓展</t>
  </si>
  <si>
    <t>张大伟</t>
  </si>
  <si>
    <t>未签订</t>
  </si>
  <si>
    <t>济南房产交易与租赁服务平台</t>
  </si>
  <si>
    <t>李宪鹏</t>
  </si>
  <si>
    <t>严重延迟</t>
  </si>
  <si>
    <t>已签合同</t>
  </si>
  <si>
    <t>进度延迟严重</t>
  </si>
  <si>
    <t>2025年12月完成初验，目前调整及测试中，计划4月初上线</t>
  </si>
  <si>
    <t>21250606J</t>
  </si>
  <si>
    <t>山东省机关事务局职工房改管理系统适配改造项目</t>
  </si>
  <si>
    <t>付艳芳</t>
  </si>
  <si>
    <t>维护</t>
  </si>
  <si>
    <t>2025年12月完成终验，现在处于3年免费运维中</t>
  </si>
  <si>
    <t>宿松房产一体化平台</t>
  </si>
  <si>
    <t>刘存山</t>
  </si>
  <si>
    <t>实施</t>
  </si>
  <si>
    <t>立项工作准备中，计划下周立项</t>
  </si>
  <si>
    <t>物业组
（袁畅）</t>
  </si>
  <si>
    <t>日照市三平台融合、智慧物业、住宅专项维修资金系统信创改造项目</t>
  </si>
  <si>
    <t>王成</t>
  </si>
  <si>
    <t>还没组织验收，现在是上线配合推广阶段</t>
  </si>
  <si>
    <t>滨州智慧物业</t>
  </si>
  <si>
    <t>王壮</t>
  </si>
  <si>
    <t>有合同</t>
  </si>
  <si>
    <t>泉农通二期销售售前支持</t>
  </si>
  <si>
    <t>刘传祥</t>
  </si>
  <si>
    <t>销售立项</t>
  </si>
  <si>
    <t>售前</t>
  </si>
  <si>
    <t>AI大数据组
（李朔刚）</t>
  </si>
  <si>
    <t>济南市不动产登记全量数据汇交及比对系统</t>
  </si>
  <si>
    <t>李朔刚</t>
  </si>
  <si>
    <t>一直有新需求，持续开发</t>
  </si>
  <si>
    <t>济南市不动产登记电子监督系统功能拓展</t>
  </si>
  <si>
    <t>一直有新需求，交房即办证也有合同，还在执行中</t>
  </si>
  <si>
    <t>不动产登记人工智能数字人(一期)项目</t>
  </si>
  <si>
    <t>开发</t>
  </si>
  <si>
    <t>延迟</t>
  </si>
  <si>
    <t>无合同</t>
  </si>
  <si>
    <t>大汉平台对接不动产接口有问题，大汉一直在解决</t>
  </si>
  <si>
    <t>21250313J</t>
  </si>
  <si>
    <t>电子监督系统标准化产品改造</t>
  </si>
  <si>
    <t>佟丽</t>
  </si>
  <si>
    <t>发布</t>
  </si>
  <si>
    <t>开发完成，有订单可上线运行，目前已申请专利过程中</t>
  </si>
  <si>
    <t>JD组
（王庆嵋）</t>
  </si>
  <si>
    <t>210123ZHJJ02</t>
  </si>
  <si>
    <t>基层经费监管系统升级研发（二期）</t>
  </si>
  <si>
    <t>王庆嵋</t>
  </si>
  <si>
    <t>2025年10月完成初验进行上线，客户一直未组织终验</t>
  </si>
  <si>
    <t>JD维护</t>
  </si>
  <si>
    <t>技术支持部
（王壮）</t>
  </si>
  <si>
    <t>运维项目</t>
  </si>
  <si>
    <t>不动产登记应用软件维护</t>
  </si>
  <si>
    <t>付蕾</t>
  </si>
  <si>
    <t>济南市房产交易部门运维</t>
  </si>
  <si>
    <t>本周完成实际工作量核实</t>
  </si>
  <si>
    <t>房产项目运维</t>
  </si>
  <si>
    <t>智慧物业运维（维修资金）项目运维</t>
  </si>
  <si>
    <t>人力小计：</t>
  </si>
  <si>
    <t>人力饱和度</t>
  </si>
  <si>
    <t>产品研发部
（曹倩）</t>
  </si>
  <si>
    <t>研发项目</t>
  </si>
  <si>
    <t>21250925HF</t>
  </si>
  <si>
    <t>汇房智慧住房租赁综合管理与服务平台</t>
  </si>
  <si>
    <t>魏山明</t>
  </si>
  <si>
    <t>立项</t>
  </si>
  <si>
    <t>技术支撑平台</t>
  </si>
  <si>
    <t>石伟佳</t>
  </si>
  <si>
    <t>原基础平台更名为技术支撑平台</t>
  </si>
  <si>
    <t>智慧房产产品线</t>
  </si>
  <si>
    <t>曹倩</t>
  </si>
  <si>
    <t>立项中</t>
  </si>
  <si>
    <t>数据治理平台</t>
  </si>
  <si>
    <t>济南市不动产登记系统功能拓展(研发支持)</t>
  </si>
  <si>
    <t>不动产电子监督系统功能拓展(研发支持)</t>
  </si>
  <si>
    <t>汇房智选部
（任建伟）</t>
  </si>
  <si>
    <t>22250903HF</t>
  </si>
  <si>
    <t>济南市联合资产交易公示平台</t>
  </si>
  <si>
    <t>王帅</t>
  </si>
  <si>
    <t>汇房云经纪人</t>
  </si>
  <si>
    <t>任建伟</t>
  </si>
  <si>
    <t>22250829HF</t>
  </si>
  <si>
    <t>车位使用权公证备案平台</t>
  </si>
  <si>
    <t>22251028HFJ</t>
  </si>
  <si>
    <t>卓识网安业务平台系统</t>
  </si>
  <si>
    <t>3月底左右验收</t>
  </si>
  <si>
    <t>21250516HF</t>
  </si>
  <si>
    <t>汇房云培训考试（汇房考试培训系统）</t>
  </si>
  <si>
    <t>21250801J</t>
  </si>
  <si>
    <t>公司内部系统维护升级项目</t>
  </si>
  <si>
    <t>/</t>
  </si>
  <si>
    <t>房源超市SaaS产品化改造(新房超市SaaS)</t>
  </si>
  <si>
    <t>李昱江</t>
  </si>
  <si>
    <t>卓识网安业务平台系统-知识库</t>
  </si>
  <si>
    <t>价格未谈拢</t>
  </si>
  <si>
    <t>房屋租赁管理系统(汇房云租)</t>
  </si>
  <si>
    <t>待立项</t>
  </si>
  <si>
    <t>挂起</t>
  </si>
  <si>
    <t>阳信房产超市运维&amp;乐居乳山</t>
  </si>
  <si>
    <t>安震、王帅</t>
  </si>
  <si>
    <t>软件项目部
(王成)</t>
  </si>
  <si>
    <t>日照银行智慧社区维护与升级</t>
  </si>
  <si>
    <t>项目信息</t>
  </si>
  <si>
    <t>当前进度</t>
  </si>
  <si>
    <t>合同回款情况</t>
  </si>
  <si>
    <t>工作/计划</t>
  </si>
  <si>
    <t>模块名称</t>
  </si>
  <si>
    <t>任务简述（多人完成可以合并单元格）</t>
  </si>
  <si>
    <t>责任人（只能填一个人）</t>
  </si>
  <si>
    <t>完成度</t>
  </si>
  <si>
    <t>未完成情况说明</t>
  </si>
  <si>
    <t>工作量（人日）</t>
  </si>
  <si>
    <t xml:space="preserve">济南市不动产登记系统功能拓展
项目编号：22220901
</t>
  </si>
  <si>
    <t>--</t>
  </si>
  <si>
    <t>本周工作</t>
  </si>
  <si>
    <t>不动产登记系统：电子监督系统信创上线涉及登记系统调用接口地址调整测试。</t>
  </si>
  <si>
    <t>不动产登记系统：不动产电子证照系统信创上线涉及登记系统调用接口地址调整测试。</t>
  </si>
  <si>
    <t>不动产登记系统-全链条：水电气热联办推送，改成只推送一个权利人，并协助排查推送全链条业务办理过程问题。</t>
  </si>
  <si>
    <t>不动产登记系统：权属证明查询中的预告信息栏：增加新增的“预告登记-设立登记-其它”业务情况。对外提供接口同步修改。</t>
  </si>
  <si>
    <t>不动产登记系统：系统发布新版本前后测试，编写系统发布日志。</t>
  </si>
  <si>
    <t>不动产相关统计任务：12</t>
  </si>
  <si>
    <t>不动产登记系统：因电子监督系统迁移信创，调整模糊查询调用clickhouse数据库地址并测试通过，已发布生产。</t>
  </si>
  <si>
    <t>张志鹏</t>
  </si>
  <si>
    <t>龙奥大厦市政府参加会议：与市档案馆讨论电子档案相关政策文件。</t>
  </si>
  <si>
    <t>李国强</t>
  </si>
  <si>
    <t>不动产登记系统：税务退件池功能实现，测试发布</t>
  </si>
  <si>
    <t>李中正</t>
  </si>
  <si>
    <t>网上抵押系统：对账单功能开发。</t>
  </si>
  <si>
    <t>不动产登记系统：配合权籍系统信创上线工作，测试相关接口调用情况。</t>
  </si>
  <si>
    <t>合计</t>
  </si>
  <si>
    <t>下周计划</t>
  </si>
  <si>
    <t xml:space="preserve">济南市不动产登记中心不动产登记信息平台信创升级改造项目
项目编号：22250226
</t>
  </si>
  <si>
    <t>信创-登记系统</t>
  </si>
  <si>
    <t>梳理登记系统受理业务过程调用外部接口情况。并形成文档</t>
  </si>
  <si>
    <t>信创-电子证照系统</t>
  </si>
  <si>
    <t>1）信创迁移准备工作：测试ecipServie、ecip、irerip-dzzz发布信创环境测试并自测完成
2）正式迁移系统至信创服务器，迁移完成后各相关系统测试工作。</t>
  </si>
  <si>
    <t>信创-电子监督系统、数据汇聚分平台</t>
  </si>
  <si>
    <t>1. 数据迁移程序的信创改造完成上线。
2. 信创电子监督系统功能测试。
3. 电子监督最新版本程序和数据上线信创系统。
4. 电子监督信创上线后问题解决。
5. 电子证照系统上线信创系统，电子监督获取数据改造。
6. 数据汇聚分平台信创数据的同步。
7. 山东通接入信创电子监督系统，ip已申请，待审批。</t>
  </si>
  <si>
    <t>王建</t>
  </si>
  <si>
    <t>闫元泉</t>
  </si>
  <si>
    <t>其他</t>
  </si>
  <si>
    <t>不动产登记移动端：优化交易信息/历史遗留问题/纳税信息/数字化信息模块,,联调数字化报错接口。</t>
  </si>
  <si>
    <t>董文超</t>
  </si>
  <si>
    <t>不动产登记移动端：配合前端修改ui，前后端联调，并修改异常。</t>
  </si>
  <si>
    <t>自助终端：搭建工程，定位信创环境报错问题以及其他接口，修改调试代码发布信创环境。</t>
  </si>
  <si>
    <t>济南市不动产登记云柜台（线上移动)系统
项目编号：22220202</t>
  </si>
  <si>
    <t>运维</t>
  </si>
  <si>
    <t>济南市不动产预受理系统
项目编号：22220701</t>
  </si>
  <si>
    <t>济南不动产登记平台运行维护
项目编号：41221101</t>
  </si>
  <si>
    <t>不动产软件运维</t>
  </si>
  <si>
    <t>处理登记系统、抵押系统等业务问题，共计 412 件，详情见附件1。
增量数据汇交每日巡检。</t>
  </si>
  <si>
    <t>李猛</t>
  </si>
  <si>
    <t>杨森</t>
  </si>
  <si>
    <t>不动产系统运维</t>
  </si>
  <si>
    <t>自助受理接口用59.206.138段的地址进行本地调试，对端调不通。
电子监督信创映射的8800地址在本地网络不通问题调试。
登记93.142代理权籍的信创映射地址https://172.20.2.1:35010。
电子证照生产库迁移到信创瀚高库。
网上大厅信创应用机器10.0.12.15的18080端口申请映射互联网；电子证照信创应用77上安装memcached服务；电子证照信创瀚高库单表ORYX_DIC_GENKEYIDS删除和重新迁移。
93.136申请访问电子监督信创clickhouse库和瀚高库地址，已发。
将大数据毕彦信的零信任账号和不动产信创政务外堡垒机重置密码。
不动产电子监督91.215机器上安装单机版瀚高库，并授权永不过期和配置sysdba密码永不过期。
网络申请：申请93.142访问超图云勘察系统、智慧评估系统的信创地址。
电子监督瀚高库reress还原到非信创172.20.93.171上做测试用。
电子监督信创web应用机器88申请扩容内存。
在93.142上代理超图的云勘察系统、智慧评估系统的信创地址和电子证照的接口地址。
电子监督信创机器84申请访问大数据局瀚高库地址，策略已通。
不动产登记系统x86机器93.149申请访问住建维修资金信创地址。
在电子监督信创机器84上安装瀚高库单机。
电子证照系统信创上线：迁移生产库到信创瀚高库，制定定时备份任务。</t>
  </si>
  <si>
    <t>杨真真</t>
  </si>
  <si>
    <t>祝席成</t>
  </si>
  <si>
    <t xml:space="preserve">济南市房产交易管理平台拓展项目编号:22221201
</t>
  </si>
  <si>
    <t>交易系统电子证照功能梳理以及证照数据处理</t>
  </si>
  <si>
    <t>山东省机关事务局职工房改管理系统适配改造项目：21250606J</t>
  </si>
  <si>
    <t>1. 和于主任确认省市上市交易调查表样式
2. 和史科长确认省市上市交易短信提醒发送平台现有的限制条件
3. 调整100.86.17.54，100.86.15.144，100.86.17.180三台服务器使用参数 ，安装jdk1.8   
4. 省直勘误接口接收信息失败的异常问题查找解决
5. 配合住房中心工作人员录入98老业务数据
6. 汉峪配租数据已退租状态修改
7.整理省直信创和非信创服务器相关资源以及账号信息        8.解决济南市公房项目运行环境类编译失败的问题</t>
  </si>
  <si>
    <t>1.调试区县数据导入程序并导入长清区数据；
2.在公有住房系统中做审计整改集资建房管理功能并测试；
2.和信息中心宫哲沟通申请省民政厅接口问题；
3.填写申请省民政接口应用领城范围申请表；
4.和张凤讨论非成套公有住房计价表和结算表计价问题；
5.给历城区李宁宁处理集资房购房资格核查环节无法保存问题；
6.给莱芜专班郝主任处理集资房应提维修资金计价问题；
给二楼勘误金玉荧处理省直勘误申请，提交后省直接收不到问题；
7.给姚永晶处理卧龙花园老数据录入老系统问题；              8.测试危旧住房改造房屋房改管理功能</t>
  </si>
  <si>
    <t>宋雯雯</t>
  </si>
  <si>
    <t>1.房改房系统信创升级优化（房改房界面样式升级后，在国产电脑浏览器上弹窗页签样式显示异常重新优化相关样式。 ）</t>
  </si>
  <si>
    <t>房管监测平台维护:
排查0点与住建差异数据</t>
  </si>
  <si>
    <t xml:space="preserve">1.导出所有绿地公司相关的网签合同信息
2.查找并解决老数据问题，协助甲方解决投诉相关问题
3.测试发布交易管理程序备案撤销审核相关限制问题
4.协调梳理数据回传相关逻辑与文档
5.梳理交易管理系统商品房接口房屋用途相关历史情况
</t>
  </si>
  <si>
    <t>1、配合平安银行完成信创升级接口交互测试
2、配合建设银行进行资金监管业务接口逻辑测试
3、整理汇总资金监管新提出的系统优化和修改意见，完成需求申请书的内容编写
4、给财务整理平安银行、莱商银行2-3月份的资金监管流水明细
2、存量房网签及资金监管日常运维问题处理</t>
  </si>
  <si>
    <t>张杨</t>
  </si>
  <si>
    <t>处理测绘挂接、网签备案等业务问题，共计  52 件，详情件附件2。
检测平台每日巡检。
交易接口日志每日巡检。</t>
  </si>
  <si>
    <t>每日数据巡检问题数据汇交。
每日数据迁移的查看日志并删除多余备份。
重启10.10.10.5的排队机的tomcat服务。
房改申请省民政接口，大数据局要求提供访问房改系统地址的服务器白名单。
在91.46上面添加每天定时脚本。
给甲方安装签字屏和高拍仪等插件和处理相关问题。</t>
  </si>
  <si>
    <t>处理线上云网签问题；
优化系统：编辑界面添加查看按钮、变更撤销业务保存按钮移到备案单预览内等</t>
  </si>
  <si>
    <t>1、给信息科工作人员讲解受理业务相关代码逻辑，涉及相关问题点逻辑进行修改完善（完成70%）
2、配合受理科业务测试新平台存量房网签系统云网签和中介网签模块，收集整理新的需求点并协调前端同事完成修改(完成100%)</t>
  </si>
  <si>
    <t>核对资金监管数据迁移情况
修改资金监管旧数据迁移程序，重新发布并补充迁移剩余数据</t>
  </si>
  <si>
    <t>需求沟通、部署</t>
  </si>
  <si>
    <t>景旭</t>
  </si>
  <si>
    <t>房源核验功能开发</t>
  </si>
  <si>
    <t>郇正基</t>
  </si>
  <si>
    <t>现场沟通系统实施进度计划，接收打印机配置</t>
  </si>
  <si>
    <t>房产一体化项目：惠民、博兴、滨州、无棣、沾化维护</t>
  </si>
  <si>
    <t>王德智</t>
  </si>
  <si>
    <t>房产一体化项目：阳信、滨州、无棣、沾化、乳山维护；</t>
  </si>
  <si>
    <t>万德跃</t>
  </si>
  <si>
    <t>房产一体化：安徽地区、五莲、诸城维护</t>
  </si>
  <si>
    <t>无棣-不动产接口对接</t>
  </si>
  <si>
    <t>滨州房产一体化驻场维护</t>
  </si>
  <si>
    <t>吴胜傲</t>
  </si>
  <si>
    <t>维修资金项目运维</t>
  </si>
  <si>
    <t>维修资金系统维护：东营地区区、滨州地区维护</t>
  </si>
  <si>
    <t>牛丽君</t>
  </si>
  <si>
    <t>维修资金系统维护：高唐、滨州、东营、兖州、莱芜、潍坊滨海等地区维护</t>
  </si>
  <si>
    <t>赵衍峰</t>
  </si>
  <si>
    <t>日照维系资金驻场维护</t>
  </si>
  <si>
    <t>马睿</t>
  </si>
  <si>
    <t>各地维修资金维护</t>
  </si>
  <si>
    <t>智慧物业运维</t>
  </si>
  <si>
    <t>日照市三平台融合智慧物业维护、培训</t>
  </si>
  <si>
    <t>日照市三平台融合智慧物业维护</t>
  </si>
  <si>
    <t>日照市三平台融合、智慧物业、住宅专项维修资金系统信创改造项目
项目编号：22240822</t>
  </si>
  <si>
    <t>日照维修资金问题处理及测试</t>
  </si>
  <si>
    <t>潘春蕾</t>
  </si>
  <si>
    <t>智慧物业数据看板开发完成</t>
  </si>
  <si>
    <t>许建飞</t>
  </si>
  <si>
    <t>相关数据查询</t>
  </si>
  <si>
    <t>随手拍物业企业移动端页面开发</t>
  </si>
  <si>
    <t>王延磊</t>
  </si>
  <si>
    <t>随手拍物业企业移动端后端接口开发</t>
  </si>
  <si>
    <t>纪立宁</t>
  </si>
  <si>
    <t>公共收益优化</t>
  </si>
  <si>
    <t>孙达</t>
  </si>
  <si>
    <t>段佑轩</t>
  </si>
  <si>
    <t>客户问题跟进处理</t>
  </si>
  <si>
    <t>李淑英</t>
  </si>
  <si>
    <t>日照维修资金运维</t>
  </si>
  <si>
    <t>随手拍、数据看板等功能发版测试</t>
  </si>
  <si>
    <t>滨州智慧物业
项目编号：23251211</t>
  </si>
  <si>
    <t>服务器资源申请跟进</t>
  </si>
  <si>
    <t>公积金对接</t>
  </si>
  <si>
    <t>功能测试，问题处理</t>
  </si>
  <si>
    <t>智慧物业推进</t>
  </si>
  <si>
    <t>泉农通二期销售售前支持
项目编号：
121018</t>
  </si>
  <si>
    <t>网信办-大屏调整优化，陈部长汇报</t>
  </si>
  <si>
    <t>韩华斌</t>
  </si>
  <si>
    <t>袁畅</t>
  </si>
  <si>
    <t>冯庆召</t>
  </si>
  <si>
    <t>张金枝</t>
  </si>
  <si>
    <t>网信办-方案调整，已完成批复工作</t>
  </si>
  <si>
    <t>农业局-泉农通小程序部分页面设计，沟通</t>
  </si>
  <si>
    <t>网信办-大屏结合汇报情况调整</t>
  </si>
  <si>
    <t>网信办-启动系统设计及开发工作</t>
  </si>
  <si>
    <t>网信办项目立项</t>
  </si>
  <si>
    <t>农业局项目立项</t>
  </si>
  <si>
    <t>农业局-泉农通小程序集成开发完成，上线</t>
  </si>
  <si>
    <t>济南市不动产登记全量数据汇交及比对系统
项目编号：222201001</t>
  </si>
  <si>
    <t>99%</t>
  </si>
  <si>
    <t>济南市不动产登记电子监督系统功能拓展
项目编号：22220905</t>
  </si>
  <si>
    <t>90%</t>
  </si>
  <si>
    <t>1）统计登记簿中，证件号码第七位、第八位为19或20，房屋所有权人为非自然人的不动产（有效的）。字段包含房屋所有权人、坐落、证号。
2）导农房库的数据，济阳和平阴的不要，字段要：区县 单元号 证号 坐落 状态*（有效/无效） 登记时间。
3）与市住建局国有土地房屋征收服务系统系统对接数据需求。</t>
  </si>
  <si>
    <t>1）王建电子监督工作交接（业务和技术）</t>
  </si>
  <si>
    <t>毕彦信</t>
  </si>
  <si>
    <t>不动产登记人工智能数字人(一期)项目
项目编号：21250326</t>
  </si>
  <si>
    <t>85%</t>
  </si>
  <si>
    <t>1）文档编写：济南全域数字化转型试点重点场景统计表、济南城市全域数字化转型典型场景申报书。</t>
  </si>
  <si>
    <t>1）权利人名称变更登记预受理测试：采用dify+pdf转图片+审核规则（openclaw生成）+MCP接口+大模型方式。</t>
  </si>
  <si>
    <t>电子监督系统标准化产品改造
项目编号：21250313J</t>
  </si>
  <si>
    <t>数据整理</t>
  </si>
  <si>
    <t>住房贷款项目方案需规和测试</t>
  </si>
  <si>
    <t>住房贷款项目后端开发</t>
  </si>
  <si>
    <t>许兴欣</t>
  </si>
  <si>
    <t>住房贷款项目前端开发</t>
  </si>
  <si>
    <t>监管系统维护</t>
  </si>
  <si>
    <t>住房贷款项目开发与测试</t>
  </si>
  <si>
    <t>住房贷款项目开发方案编写</t>
  </si>
  <si>
    <t>维修大队视频制作</t>
  </si>
  <si>
    <t>基层经费监管系统升级研发（二期）
项目编号：
210123ZHJJ02</t>
  </si>
  <si>
    <t>系统运维管理</t>
  </si>
  <si>
    <t>王晓阳</t>
  </si>
  <si>
    <t>验收材料成本报告</t>
  </si>
  <si>
    <t>Python模块工作交接</t>
  </si>
  <si>
    <t>处理流水线相关问题，实现Gitlab的CI/CD部署。编写Gitlab CI配置实操手册。</t>
  </si>
  <si>
    <t>技术委员会、部门协调等</t>
  </si>
  <si>
    <t>智慧房产产品线
（立项阶段）</t>
  </si>
  <si>
    <t>1.授权协议签订、租赁申请前后端调试
2.合同模版封装、调试；
3.提交流程调试。</t>
  </si>
  <si>
    <t>卢波</t>
  </si>
  <si>
    <t xml:space="preserve">租赁：
1、租赁系统后端增加合同打印功能
2、租赁业务后端增加合同模板维护功能
3、为租赁业务提供房源挂牌的Dubbo接口供其他模块业务调用。
</t>
  </si>
  <si>
    <t>郭培培</t>
  </si>
  <si>
    <t>档案 数据留存查询系统
一、远程环境连接与数据探查
  1.1、与山哥沟通，掌握了远程连接客户 Oracle 数据库的方法。
  1.2、 客户 Oracle 实例下共有 80+ 个用户（Schema）。初步获得 AFSIN 用户权限，该用户下含 302 张表。
  1.3、对 AFSIN 用户下全部表进行数据特征分析，确认该用户下的表与目标页面展示的数据无法完全匹配。已反馈山哥，需重新确认正确的数据用户。
二、页面数据来源分析
  2.1、客户前端为 ASP 旧版系统，运行于 IE 浏览器，无法直接获取后端源码
  2.2、通过页面数据与数据库多次比对，初步推断：目标页面展示的数据来源于多个用户、多张表拼接组合，单一用户或单表无法覆盖全部字段 
三、下一步计划 
  配合山哥定位正确的数据用户，并导出样例数据进行本地还原，以支撑后续开发</t>
  </si>
  <si>
    <t>宿松房产商品房网签备案：
1..参与预售资金监管系统演示需求讲解会议；
2. 商品房备案相关页面AI辅助原型完成初稿；
3.根据要求补充调整原型内容</t>
  </si>
  <si>
    <t>张燕</t>
  </si>
  <si>
    <t>宿松房产商品房网签备案：
1.参与预售资金监管系统演示需求讲解会议；
2.房产平台通用业务接口开发；
3.修复通用模板模块bug
4.调整房产平台通用业务数据库文档</t>
  </si>
  <si>
    <t>彭步坤</t>
  </si>
  <si>
    <t>1、参加预售资金监管系统需求会议 
2、对接现售备案提交流程的接口
3、优化监管项目申请功能（申请权限以及是否监管到房屋），根据是否监管到房屋的配置参数，进行接口优化，实现新增、编辑以及查询功能
4、测试签订合同流程遇到问题，选择房屋时提示房屋没有销售许可证，正在排查问题</t>
  </si>
  <si>
    <t>王光辉</t>
  </si>
  <si>
    <t>与宿松项目组对接商品房预售资金监管系统功能及需求</t>
  </si>
  <si>
    <t>立项材料、梳理数据库表设计、系统需求</t>
  </si>
  <si>
    <t>数据治理平台（未立项）</t>
  </si>
  <si>
    <t>编号规则管理模块测试；
egre底座mybatis starter扩展：逻辑删除自动填充字段</t>
  </si>
  <si>
    <t>解决逻辑删除传递Wrapper类型参数无法填充deleteTime问题；
调整所有Do继承结构，建表语句同步调整；</t>
  </si>
  <si>
    <t>逻辑删除自动填充删除时间：业务相关Do实体基类调整，sql脚本同步更新，原数据库表数据迁移；
编号规则优化：规则片段填写完整性校验、规则预览调整为动态加载所需的“字段”类型输入，无字段输入则不显示</t>
  </si>
  <si>
    <t>处理业务字典模块以及其他配置模块相关逻辑</t>
  </si>
  <si>
    <t>修复数据治理平台详细设计差异中的全部严重与重要缺陷</t>
  </si>
  <si>
    <t>实现多数据库方言、数据源密码 AES 加密、多源冲突策略、任务配置管理</t>
  </si>
  <si>
    <t>济南市不动产登记系统功能拓展
项目编号：22220901</t>
  </si>
  <si>
    <t>1、土地量化登记系统建设需求确认
2、熟悉梳理不动产登记老系统登簿业务和代码
3、配合搭建平台环境
4、整理土地量化需要的表以及表结构
5、配合大厦处理云网签业务</t>
  </si>
  <si>
    <t>1. 土地量化登记系统环境搭建
2. 分析土地量化需求于讨论关键细节点，和超图人员确认预量化接口传输问题</t>
  </si>
  <si>
    <t>窦延群</t>
  </si>
  <si>
    <t>需求、规程、运维项目招标等支持工作</t>
  </si>
  <si>
    <t>交接</t>
  </si>
  <si>
    <t>查阅交接文档，下载电子监督系统、电子监督数据处理系统代码，配置python环境，代码简单查阅</t>
  </si>
  <si>
    <t>参加电子监督系统讲解会议；
电子监督瀚高库还原到非信创；
电子监督程序梳理（代码结构、虚拟环境、依赖库管理、服务器环境等）</t>
  </si>
  <si>
    <t>协助排查知识库文档上传报错文件打开过多问题；
本地代码与服务器配置差异梳理；
下载python瀚高操作库、修改开发环境mysql到highgo，下载服务器reress_conf配置文件，本地搭建运行环境</t>
  </si>
  <si>
    <t xml:space="preserve">济南市联合资产交易公示平台
项目编号：22250903HF
</t>
  </si>
  <si>
    <t>联合资产平台、带押过户、带封过户、执行案款提存测试</t>
  </si>
  <si>
    <t>亓俣辰</t>
  </si>
  <si>
    <t>优化测试带押过户系统通过平台查询导入历史数据方法并测试</t>
  </si>
  <si>
    <t>资金监管系统bug修改</t>
  </si>
  <si>
    <t>安震</t>
  </si>
  <si>
    <t>1.案款提存详情页面的 IE 模式重构开发，针对 IE 浏览器特有样式、渲染及交互问题进行适配修复，确保页面在 IE 环境下正常展示、功能正常使用。 针对测试反馈问题，主动与测试人员沟通确认场景，精准定位 BUG 根因并完成修复；</t>
  </si>
  <si>
    <t>梁超</t>
  </si>
  <si>
    <t>1. 带押过户系统数据导入功能优化调整；
2. 生产环境数据导入；
3. 车位备案对接法信电子签章进度推进与车位备案优化进度推进；
4. 与客户、法信沟通优化方案；
5. 联合资产平台测试；
6. 联合资产服务本地开发环境、测试环境流水线自动部署配置；
7. 车位备案优化进度推进；</t>
  </si>
  <si>
    <t xml:space="preserve">车位使用权公证备案平台
项目编号：22250829HF
</t>
  </si>
  <si>
    <t>1.完成系统备案流程整改，对车位尽调列表进行功能拆分，独立出定价确认与尽调确认功能，并新增定价确认相关筛选条件。同步调整小程序备案申请流程，优化申请备案步骤顺序；
2.将协议签署环节后置及支付前置，使流程贴合新备案流程；同时根据流程变更梳理整理需后台配合调整的接口清单，明确接口字段、逻辑及参数变更点，同步告知后台相关需修改内容，推进前后端协同改造。
3.对接法信电子签小程序；</t>
  </si>
  <si>
    <t>1.为前端提供定价确认、备案流程变更、支付环节调整后台支持；
2.法信公证云平台证书签名功能测试联调；
3.法信公证签平台订单发起功能联调优化；
4.对接法信跳转微信小程序接口；</t>
  </si>
  <si>
    <t>赵敬</t>
  </si>
  <si>
    <t xml:space="preserve">汇房云经纪人
项目编号：21250418
</t>
  </si>
  <si>
    <t>合同签约模块功能开发bug修改 
汇房云平台 Windows构建打包</t>
  </si>
  <si>
    <t>赵旺</t>
  </si>
  <si>
    <t xml:space="preserve">解约，解约详情，解约合同预览，签署状态不正确问题
合同查询条件增加查询条件 
合同计数 </t>
  </si>
  <si>
    <t>蔡高情</t>
  </si>
  <si>
    <t>1.开发工具升级：
2.uniapp本地app资源打包：
3.android离线打包项目搭建：
4.uniapp本地插件配置(极光、神策、阅读器)；
5.三方库本地配置(微信分享、支付、推送);</t>
  </si>
  <si>
    <t>制作 Hbuilder iOS 本地资源包
执行 iOS 端本地资源打包、配置、编译相关操作
完成本地资源适配、调试，确保资源正常加载
清理项目无用快捷方式
排查并删除项目中冗余、无效的快捷方式，优化项目结构
模块集成与配置
添加必需map 模块（地图模块）
添加必需Payment 模块（支付模块）
添加必需share 模块（分享模块）
完成模块配置、兼容性调试，确保功能正常</t>
  </si>
  <si>
    <t>汇房云打包，考试培训等事项支持，运营数据查询与导出，执业证设计推进，梳理电信增值业务许可证要求</t>
  </si>
  <si>
    <t>设计</t>
  </si>
  <si>
    <t>功能图标设计，经纪人执业证设计</t>
  </si>
  <si>
    <t xml:space="preserve">汇房云培训考试
项目编号：
</t>
  </si>
  <si>
    <t>企业导入，学员注册，工作照调整，企业调整
滨州考试问题处理，修改学员价格报名优惠方案 改为 证书中查询 
枣庄考试维护，数据导出</t>
  </si>
  <si>
    <t>卓识网安业务平台系统
项目编号：22251028HFJ</t>
  </si>
  <si>
    <t>新功能开发
绩效模块：新增绩效分配详情抽屉组件，优化工单详情展示；添加工程关联列表字段到排序字段集合。
工作台：新增关注需求功能，优化工作台布局；添加“我的关注”功能并优化表单提交行为（submitOnChange）。
文件预览：添加禁用下载功能并优化权限控制。
表格组件：为表格组件添加唯一ID，统一导出功能命名。
图表优化：优化Y轴最大值计算逻辑，调整标签样式。
Bug修复
绩效工单：修复批量退回工单时缺少退回原因的问题；修复工单审核状态校验逻辑；修复绩效详情刷新逻辑；修正批量审核工单时状态判断条件错误。
审批中心：优化表单状态判断逻辑。
远程备案：优化备案人员表格的证书和提醒逻辑。
联系人：修复联系人信息同步逻辑并优化表单状态处理。
通用修复：修复空值显示问题，统一使用“-”代替空内容。
优化重构
性能优化（PM项目清单）：字典映射（getDictMap/getFlatDictMap）改为computed缓存，避免每行每列重复创建Map；列表接口与状态统计接口改为Promise.all并行请求；修复submitOnChange导致的重复请求问题。
导出功能：移除冗余的exportMethod配置，统一默认值处理；调整Excel导出列宽和行高计算逻辑（甘特图）。
UI样式：调整多个组件的样式和布局。</t>
  </si>
  <si>
    <t>王恒通</t>
  </si>
  <si>
    <t>新增工作台“我的关注”接口和“我关注的需求列表”，并修复对应请求路径问题。
优化工作台通用扩展查询逻辑及规则，调整新技术新应用字典过滤逻辑。
统一多个模块导出文件命名和时间格式，优化项目清单、工单管理、工单绩效审批、现场工程绩效等导出样式。
补充需求项目导出实体，优化关系管理及项目清单导出文件名称。
调整评审通过日期、邮寄时间、合同明细排除规则、默认年份、不验收年份校验等业务查询逻辑。
优化月度目标设定、计划跟踪、正式验收额、合同分页及工程设计相关排序规则，并补充月度验收跟踪计划验收月份返回。
完善编辑工单操作日志，支持报告编制申请退回场景下交付物可选。</t>
  </si>
  <si>
    <t>完成了总监工作台统计、部门工作台借入借出规则与排序调整，优化了异地备案选择交付物接口、交付物展示逻辑、备案确认与闭环确认条件，并完善了项目状态流转中的备案判断逻辑。同时对工单绩效编辑、审批接口及日期/排序条件进行了调整，补充了现场工程绩效月份范围与时间条件筛选，优化了项目实施列表、交付物查询、项目清单导出字段及命名、导出统一格式化等内容，并修正了资源需求满足率等统计口径问题。</t>
  </si>
  <si>
    <t>完成了个人工作台工单数量统计修复、工单列表查询去除 LIMIT 限制、项目查询条件修正及结果限制、证书查询条件调整等问题处理；统一了人员统计查询与档案列表的数据源，优化了监管单位信息 Excel 导出字段；同时补充了资源日历对“其他/其他证书类型”的支持，调整了技术档案中其他证书的查询逻辑，并修复了异地备案导出个别字段无法居中的问题，进一步提升了查询准确性和导出体验。</t>
  </si>
  <si>
    <t>测试</t>
  </si>
  <si>
    <t>公司内部系统维护升级项目
项目编号：21250801J</t>
  </si>
  <si>
    <t>阳信房产超市运维</t>
  </si>
  <si>
    <t>阳信优房优选：添加无备案证明查询tab，简化工作内容。</t>
  </si>
  <si>
    <t>开发无备案证明接口，配合阳信现场演示查询及修改大屏数据</t>
  </si>
  <si>
    <t>协调解决数据查询及数据同步问题，推进修改数据大屏与小程序升级</t>
  </si>
  <si>
    <t xml:space="preserve">日照银行智慧社区维护与升级
项目编号：22210906
</t>
  </si>
  <si>
    <t>橙e伴PC端对接智惠e家对客管理端</t>
  </si>
  <si>
    <t>菜品优选支持餐补</t>
  </si>
  <si>
    <t>王玉莹</t>
  </si>
  <si>
    <t>优化</t>
  </si>
  <si>
    <t>宜当生活白鹭湾专区对接智惠e家部分功能</t>
  </si>
  <si>
    <t>王德贤</t>
  </si>
  <si>
    <t>优化调整</t>
  </si>
  <si>
    <t>孙丁华</t>
  </si>
  <si>
    <t>行内闲置资产共享平台前端配合改造项目</t>
  </si>
  <si>
    <t>智惠e家”智慧餐厅、智慧社区系统功能优化（智惠e家增加寻车功能及对接碳惠日照）</t>
  </si>
  <si>
    <t>菜品优选二期</t>
  </si>
  <si>
    <t>“智惠e家”智慧餐厅、智慧社区系统功能优化（即墨区机关事务服务中心智慧餐厅项目系统功能优化-第三批次）</t>
  </si>
  <si>
    <t>识别性能优化</t>
  </si>
  <si>
    <t>智慧场景优化项目群（日照市人民医院本部餐厅、莒县人民法院智慧餐厅功能优化）</t>
  </si>
  <si>
    <t>智惠e家社区对接大华ICC社区通行设备</t>
  </si>
  <si>
    <t>正常开发推进</t>
  </si>
  <si>
    <t>韩化斌</t>
  </si>
  <si>
    <t>智惠e家移动端备案漏洞修复整改</t>
  </si>
  <si>
    <t>配合银行扫码测试</t>
  </si>
  <si>
    <t>潘春雷</t>
  </si>
  <si>
    <t>智惠e家漏洞修复、测试、发版、数据运维</t>
  </si>
  <si>
    <t>三方复测</t>
  </si>
  <si>
    <t>智慧餐厅离线支付项目（先享后付）
“一家人大食堂”等智慧餐厅相关系统功能优化需求
智惠e家宜当生活物业缴费功能改造
社区访客通行以及押金缴费退款需求</t>
  </si>
  <si>
    <t>开发推进</t>
  </si>
  <si>
    <t>银行运营</t>
  </si>
  <si>
    <t>银行网络金融部驻场银行业务运营</t>
  </si>
  <si>
    <t>穆德坤</t>
  </si>
  <si>
    <t>银行场景金融中心驻场银行业务运营</t>
  </si>
  <si>
    <t>赵文斌</t>
  </si>
  <si>
    <t>郑家洋</t>
  </si>
  <si>
    <t>需求</t>
  </si>
  <si>
    <t>安全保卫部智慧园区功能优化、2026年行政管理部“行政后勤管理平台”（推进）</t>
  </si>
  <si>
    <t>需求推进</t>
  </si>
  <si>
    <t>智慧餐厅移动端全量接入宜当生活</t>
  </si>
  <si>
    <t>需求推进，部分功能集成</t>
  </si>
  <si>
    <t>智惠e家对接对接五莲智能电表需求</t>
  </si>
  <si>
    <t>推进提报</t>
  </si>
  <si>
    <t>宜当生活白鹭湾专区对接智惠e家部分功能（配合业务验收）</t>
  </si>
  <si>
    <t>智惠e家社区对接大华ICC社区通行设备（完成对接）</t>
  </si>
  <si>
    <t>智慧餐厅移动端全量接入宜当生活（推进）</t>
  </si>
  <si>
    <t>安全保卫部智慧园区功能优化（推进需求提报）</t>
  </si>
  <si>
    <t>2026年行政管理部“行政后勤管理平台”（推进）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</si>
</sst>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);[Red]\(0.00\)"/>
  </numFmts>
  <fonts count="50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等线"/>
      <charset val="134"/>
    </font>
    <font>
      <sz val="11"/>
      <color theme="1"/>
      <name val="等线"/>
      <charset val="134"/>
    </font>
    <font>
      <sz val="11"/>
      <color rgb="FF060A26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10"/>
      <color rgb="FF000000"/>
      <name val="SimSun"/>
      <charset val="134"/>
    </font>
    <font>
      <sz val="10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6" borderId="2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4" fillId="0" borderId="3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7" borderId="31" applyNumberFormat="0" applyAlignment="0" applyProtection="0">
      <alignment vertical="center"/>
    </xf>
    <xf numFmtId="0" fontId="36" fillId="8" borderId="32" applyNumberFormat="0" applyAlignment="0" applyProtection="0">
      <alignment vertical="center"/>
    </xf>
    <xf numFmtId="0" fontId="37" fillId="8" borderId="31" applyNumberFormat="0" applyAlignment="0" applyProtection="0">
      <alignment vertical="center"/>
    </xf>
    <xf numFmtId="0" fontId="38" fillId="9" borderId="33" applyNumberFormat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0" fillId="0" borderId="35" applyNumberFormat="0" applyFill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7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 applyBorder="0">
      <alignment vertical="center"/>
    </xf>
  </cellStyleXfs>
  <cellXfs count="394">
    <xf numFmtId="176" fontId="0" fillId="0" borderId="0" xfId="0"/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left" vertical="center" wrapText="1"/>
    </xf>
    <xf numFmtId="9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9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9" fontId="5" fillId="0" borderId="4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vertical="center"/>
    </xf>
    <xf numFmtId="0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left" vertical="center" wrapText="1"/>
    </xf>
    <xf numFmtId="0" fontId="5" fillId="2" borderId="6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vertical="center"/>
    </xf>
    <xf numFmtId="177" fontId="5" fillId="2" borderId="2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left" vertical="center" wrapText="1"/>
    </xf>
    <xf numFmtId="9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vertical="center"/>
    </xf>
    <xf numFmtId="177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/>
    <xf numFmtId="0" fontId="5" fillId="2" borderId="8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0" fontId="5" fillId="2" borderId="11" xfId="0" applyNumberFormat="1" applyFont="1" applyFill="1" applyBorder="1" applyAlignment="1">
      <alignment horizontal="center" vertical="center"/>
    </xf>
    <xf numFmtId="9" fontId="5" fillId="2" borderId="10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vertical="center"/>
    </xf>
    <xf numFmtId="177" fontId="5" fillId="2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13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15" xfId="0" applyNumberFormat="1" applyFont="1" applyFill="1" applyBorder="1" applyAlignment="1">
      <alignment vertical="center"/>
    </xf>
    <xf numFmtId="0" fontId="5" fillId="3" borderId="4" xfId="0" applyNumberFormat="1" applyFont="1" applyFill="1" applyBorder="1" applyAlignment="1">
      <alignment horizontal="center" vertical="center"/>
    </xf>
    <xf numFmtId="9" fontId="5" fillId="3" borderId="4" xfId="0" applyNumberFormat="1" applyFont="1" applyFill="1" applyBorder="1" applyAlignment="1">
      <alignment vertical="center"/>
    </xf>
    <xf numFmtId="0" fontId="4" fillId="0" borderId="1" xfId="0" applyNumberFormat="1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left" vertical="center" wrapText="1"/>
    </xf>
    <xf numFmtId="9" fontId="5" fillId="0" borderId="8" xfId="0" applyNumberFormat="1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center" vertical="center" wrapText="1"/>
    </xf>
    <xf numFmtId="0" fontId="0" fillId="0" borderId="3" xfId="0" applyNumberFormat="1" applyBorder="1"/>
    <xf numFmtId="0" fontId="5" fillId="2" borderId="8" xfId="0" applyNumberFormat="1" applyFont="1" applyFill="1" applyBorder="1" applyAlignment="1">
      <alignment wrapText="1"/>
    </xf>
    <xf numFmtId="9" fontId="5" fillId="0" borderId="4" xfId="0" applyNumberFormat="1" applyFont="1" applyBorder="1" applyAlignment="1">
      <alignment horizontal="center" vertical="center" wrapText="1"/>
    </xf>
    <xf numFmtId="0" fontId="7" fillId="0" borderId="0" xfId="0" applyNumberFormat="1" applyFont="1" applyFill="1" applyAlignment="1">
      <alignment horizontal="left" vertical="center"/>
    </xf>
    <xf numFmtId="0" fontId="0" fillId="0" borderId="4" xfId="0" applyNumberFormat="1" applyBorder="1"/>
    <xf numFmtId="0" fontId="5" fillId="0" borderId="4" xfId="0" applyNumberFormat="1" applyFont="1" applyBorder="1" applyAlignment="1">
      <alignment wrapText="1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 wrapText="1"/>
    </xf>
    <xf numFmtId="0" fontId="5" fillId="0" borderId="13" xfId="0" applyNumberFormat="1" applyFont="1" applyBorder="1" applyAlignment="1">
      <alignment horizontal="left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left" vertical="center" wrapText="1"/>
    </xf>
    <xf numFmtId="0" fontId="8" fillId="0" borderId="0" xfId="0" applyNumberFormat="1" applyFont="1"/>
    <xf numFmtId="0" fontId="9" fillId="0" borderId="0" xfId="0" applyNumberFormat="1" applyFont="1" applyFill="1" applyAlignment="1">
      <alignment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left" vertical="center" wrapText="1"/>
    </xf>
    <xf numFmtId="9" fontId="10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Alignment="1">
      <alignment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9" fontId="11" fillId="0" borderId="1" xfId="0" applyNumberFormat="1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vertical="center" wrapText="1"/>
    </xf>
    <xf numFmtId="0" fontId="11" fillId="3" borderId="1" xfId="0" applyNumberFormat="1" applyFont="1" applyFill="1" applyBorder="1" applyAlignment="1">
      <alignment horizontal="center" vertical="center"/>
    </xf>
    <xf numFmtId="9" fontId="11" fillId="3" borderId="1" xfId="0" applyNumberFormat="1" applyFont="1" applyFill="1" applyBorder="1" applyAlignment="1">
      <alignment vertical="center"/>
    </xf>
    <xf numFmtId="0" fontId="11" fillId="3" borderId="1" xfId="0" applyNumberFormat="1" applyFont="1" applyFill="1" applyBorder="1" applyAlignment="1">
      <alignment vertical="center"/>
    </xf>
    <xf numFmtId="177" fontId="11" fillId="3" borderId="1" xfId="0" applyNumberFormat="1" applyFont="1" applyFill="1" applyBorder="1" applyAlignment="1">
      <alignment horizontal="center" vertical="center"/>
    </xf>
    <xf numFmtId="9" fontId="11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left" vertical="center" wrapText="1"/>
    </xf>
    <xf numFmtId="9" fontId="11" fillId="0" borderId="1" xfId="0" applyNumberFormat="1" applyFont="1" applyFill="1" applyBorder="1" applyAlignment="1">
      <alignment horizontal="right" vertical="center"/>
    </xf>
    <xf numFmtId="0" fontId="11" fillId="0" borderId="1" xfId="0" applyNumberFormat="1" applyFont="1" applyFill="1" applyBorder="1" applyAlignment="1">
      <alignment horizontal="left" vertical="center"/>
    </xf>
    <xf numFmtId="0" fontId="13" fillId="0" borderId="0" xfId="0" applyNumberFormat="1" applyFont="1" applyFill="1" applyAlignment="1">
      <alignment vertical="center"/>
    </xf>
    <xf numFmtId="0" fontId="11" fillId="0" borderId="0" xfId="0" applyNumberFormat="1" applyFont="1" applyFill="1" applyAlignment="1">
      <alignment vertical="center" wrapText="1"/>
    </xf>
    <xf numFmtId="0" fontId="16" fillId="0" borderId="0" xfId="0" applyNumberFormat="1" applyFont="1" applyAlignment="1">
      <alignment vertical="center" wrapText="1"/>
    </xf>
    <xf numFmtId="0" fontId="16" fillId="0" borderId="0" xfId="0" applyNumberFormat="1" applyFont="1" applyAlignment="1">
      <alignment horizontal="center" vertical="center" wrapText="1"/>
    </xf>
    <xf numFmtId="0" fontId="17" fillId="0" borderId="1" xfId="0" applyNumberFormat="1" applyFont="1" applyBorder="1" applyAlignment="1">
      <alignment horizontal="center" vertical="center" wrapText="1"/>
    </xf>
    <xf numFmtId="0" fontId="17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left" vertical="center" wrapText="1"/>
    </xf>
    <xf numFmtId="9" fontId="17" fillId="0" borderId="1" xfId="0" applyNumberFormat="1" applyFont="1" applyBorder="1" applyAlignment="1">
      <alignment horizontal="center" vertical="center" wrapText="1"/>
    </xf>
    <xf numFmtId="177" fontId="17" fillId="0" borderId="1" xfId="0" applyNumberFormat="1" applyFont="1" applyBorder="1" applyAlignment="1">
      <alignment horizontal="center" vertical="center"/>
    </xf>
    <xf numFmtId="0" fontId="11" fillId="0" borderId="0" xfId="0" applyNumberFormat="1" applyFont="1" applyAlignment="1">
      <alignment vertical="center"/>
    </xf>
    <xf numFmtId="0" fontId="17" fillId="0" borderId="2" xfId="0" applyNumberFormat="1" applyFont="1" applyBorder="1" applyAlignment="1">
      <alignment horizontal="center" vertical="center" wrapText="1"/>
    </xf>
    <xf numFmtId="0" fontId="18" fillId="0" borderId="2" xfId="0" applyNumberFormat="1" applyFont="1" applyBorder="1" applyAlignment="1">
      <alignment horizontal="center" vertical="center"/>
    </xf>
    <xf numFmtId="9" fontId="19" fillId="0" borderId="2" xfId="0" applyNumberFormat="1" applyFont="1" applyBorder="1" applyAlignment="1">
      <alignment horizontal="center" vertical="center" wrapText="1"/>
    </xf>
    <xf numFmtId="0" fontId="19" fillId="0" borderId="2" xfId="0" applyNumberFormat="1" applyFont="1" applyBorder="1" applyAlignment="1">
      <alignment horizontal="center" vertical="center" wrapText="1"/>
    </xf>
    <xf numFmtId="0" fontId="19" fillId="0" borderId="2" xfId="0" applyNumberFormat="1" applyFont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left" vertical="center" wrapText="1"/>
    </xf>
    <xf numFmtId="0" fontId="19" fillId="2" borderId="1" xfId="0" applyNumberFormat="1" applyFont="1" applyFill="1" applyBorder="1" applyAlignment="1">
      <alignment horizontal="center" vertical="center" wrapText="1"/>
    </xf>
    <xf numFmtId="9" fontId="19" fillId="0" borderId="1" xfId="0" applyNumberFormat="1" applyFont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/>
    </xf>
    <xf numFmtId="0" fontId="17" fillId="0" borderId="3" xfId="0" applyNumberFormat="1" applyFont="1" applyBorder="1" applyAlignment="1">
      <alignment horizontal="center" vertical="center" wrapText="1"/>
    </xf>
    <xf numFmtId="0" fontId="18" fillId="0" borderId="3" xfId="0" applyNumberFormat="1" applyFont="1" applyBorder="1" applyAlignment="1">
      <alignment horizontal="center" vertical="center"/>
    </xf>
    <xf numFmtId="9" fontId="19" fillId="0" borderId="3" xfId="0" applyNumberFormat="1" applyFont="1" applyBorder="1" applyAlignment="1">
      <alignment horizontal="center" vertical="center" wrapText="1"/>
    </xf>
    <xf numFmtId="0" fontId="19" fillId="0" borderId="3" xfId="0" applyNumberFormat="1" applyFont="1" applyBorder="1" applyAlignment="1">
      <alignment horizontal="center" vertical="center" wrapText="1"/>
    </xf>
    <xf numFmtId="0" fontId="19" fillId="0" borderId="3" xfId="0" applyNumberFormat="1" applyFont="1" applyBorder="1" applyAlignment="1">
      <alignment horizontal="center" vertical="center"/>
    </xf>
    <xf numFmtId="0" fontId="19" fillId="0" borderId="4" xfId="0" applyNumberFormat="1" applyFont="1" applyBorder="1" applyAlignment="1">
      <alignment horizontal="center" vertical="center" wrapText="1"/>
    </xf>
    <xf numFmtId="0" fontId="19" fillId="0" borderId="4" xfId="0" applyNumberFormat="1" applyFont="1" applyBorder="1" applyAlignment="1">
      <alignment horizontal="center" vertical="center"/>
    </xf>
    <xf numFmtId="0" fontId="19" fillId="3" borderId="1" xfId="0" applyNumberFormat="1" applyFont="1" applyFill="1" applyBorder="1" applyAlignment="1">
      <alignment horizontal="center" vertical="center"/>
    </xf>
    <xf numFmtId="9" fontId="19" fillId="3" borderId="1" xfId="0" applyNumberFormat="1" applyFont="1" applyFill="1" applyBorder="1" applyAlignment="1">
      <alignment vertical="center"/>
    </xf>
    <xf numFmtId="0" fontId="19" fillId="3" borderId="1" xfId="0" applyNumberFormat="1" applyFont="1" applyFill="1" applyBorder="1" applyAlignment="1">
      <alignment vertical="center"/>
    </xf>
    <xf numFmtId="177" fontId="19" fillId="3" borderId="1" xfId="0" applyNumberFormat="1" applyFont="1" applyFill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0" fontId="17" fillId="0" borderId="4" xfId="0" applyNumberFormat="1" applyFont="1" applyBorder="1" applyAlignment="1">
      <alignment horizontal="center" vertical="center" wrapText="1"/>
    </xf>
    <xf numFmtId="0" fontId="18" fillId="0" borderId="4" xfId="0" applyNumberFormat="1" applyFont="1" applyBorder="1" applyAlignment="1">
      <alignment horizontal="center" vertical="center"/>
    </xf>
    <xf numFmtId="9" fontId="19" fillId="0" borderId="4" xfId="0" applyNumberFormat="1" applyFont="1" applyBorder="1" applyAlignment="1">
      <alignment horizontal="center" vertical="center" wrapText="1"/>
    </xf>
    <xf numFmtId="0" fontId="19" fillId="0" borderId="1" xfId="0" applyNumberFormat="1" applyFont="1" applyBorder="1" applyAlignment="1">
      <alignment vertical="center" wrapText="1"/>
    </xf>
    <xf numFmtId="176" fontId="2" fillId="0" borderId="10" xfId="0" applyFont="1" applyBorder="1" applyAlignment="1">
      <alignment horizontal="center" vertical="center" wrapText="1"/>
    </xf>
    <xf numFmtId="176" fontId="4" fillId="0" borderId="10" xfId="0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center" vertical="center" wrapText="1"/>
    </xf>
    <xf numFmtId="176" fontId="5" fillId="0" borderId="10" xfId="0" applyFont="1" applyBorder="1" applyAlignment="1">
      <alignment horizontal="center" vertical="center" wrapText="1"/>
    </xf>
    <xf numFmtId="176" fontId="5" fillId="0" borderId="10" xfId="0" applyFont="1" applyBorder="1" applyAlignment="1">
      <alignment horizontal="center" vertical="center"/>
    </xf>
    <xf numFmtId="0" fontId="5" fillId="0" borderId="16" xfId="0" applyNumberFormat="1" applyFont="1" applyBorder="1" applyAlignment="1">
      <alignment horizontal="center" vertical="center" wrapText="1"/>
    </xf>
    <xf numFmtId="176" fontId="5" fillId="0" borderId="8" xfId="0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/>
    </xf>
    <xf numFmtId="176" fontId="2" fillId="0" borderId="8" xfId="0" applyFont="1" applyBorder="1" applyAlignment="1">
      <alignment horizontal="center" vertical="center" wrapText="1"/>
    </xf>
    <xf numFmtId="176" fontId="4" fillId="0" borderId="8" xfId="0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Font="1" applyBorder="1" applyAlignment="1">
      <alignment horizontal="center" vertical="center"/>
    </xf>
    <xf numFmtId="176" fontId="5" fillId="0" borderId="5" xfId="0" applyFont="1" applyBorder="1" applyAlignment="1">
      <alignment horizontal="center" vertical="center"/>
    </xf>
    <xf numFmtId="176" fontId="5" fillId="0" borderId="5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vertical="center" wrapText="1"/>
    </xf>
    <xf numFmtId="176" fontId="5" fillId="3" borderId="17" xfId="0" applyFont="1" applyFill="1" applyBorder="1" applyAlignment="1">
      <alignment horizontal="center" vertical="center"/>
    </xf>
    <xf numFmtId="176" fontId="5" fillId="3" borderId="14" xfId="0" applyFont="1" applyFill="1" applyBorder="1" applyAlignment="1">
      <alignment horizontal="center" vertical="center"/>
    </xf>
    <xf numFmtId="176" fontId="5" fillId="3" borderId="18" xfId="0" applyFont="1" applyFill="1" applyBorder="1" applyAlignment="1">
      <alignment horizontal="center" vertical="center"/>
    </xf>
    <xf numFmtId="176" fontId="5" fillId="3" borderId="5" xfId="0" applyFont="1" applyFill="1" applyBorder="1" applyAlignment="1">
      <alignment horizontal="center" vertical="center"/>
    </xf>
    <xf numFmtId="9" fontId="5" fillId="3" borderId="8" xfId="0" applyNumberFormat="1" applyFont="1" applyFill="1" applyBorder="1" applyAlignment="1">
      <alignment vertical="center"/>
    </xf>
    <xf numFmtId="176" fontId="5" fillId="3" borderId="8" xfId="0" applyFont="1" applyFill="1" applyBorder="1" applyAlignment="1">
      <alignment vertical="center"/>
    </xf>
    <xf numFmtId="177" fontId="5" fillId="3" borderId="8" xfId="0" applyNumberFormat="1" applyFont="1" applyFill="1" applyBorder="1" applyAlignment="1">
      <alignment horizontal="center" vertical="center"/>
    </xf>
    <xf numFmtId="176" fontId="5" fillId="0" borderId="19" xfId="0" applyFont="1" applyBorder="1" applyAlignment="1">
      <alignment horizontal="center" vertical="center"/>
    </xf>
    <xf numFmtId="176" fontId="4" fillId="0" borderId="10" xfId="0" applyFont="1" applyBorder="1" applyAlignment="1">
      <alignment horizontal="left" vertical="center" wrapText="1"/>
    </xf>
    <xf numFmtId="9" fontId="5" fillId="0" borderId="20" xfId="0" applyNumberFormat="1" applyFont="1" applyBorder="1" applyAlignment="1">
      <alignment horizontal="center" vertical="center"/>
    </xf>
    <xf numFmtId="176" fontId="5" fillId="0" borderId="21" xfId="0" applyFont="1" applyBorder="1" applyAlignment="1">
      <alignment horizontal="center" vertical="center"/>
    </xf>
    <xf numFmtId="176" fontId="4" fillId="0" borderId="8" xfId="0" applyFont="1" applyBorder="1" applyAlignment="1">
      <alignment vertical="center"/>
    </xf>
    <xf numFmtId="176" fontId="5" fillId="0" borderId="22" xfId="0" applyFont="1" applyBorder="1" applyAlignment="1">
      <alignment vertical="center" wrapText="1"/>
    </xf>
    <xf numFmtId="176" fontId="5" fillId="0" borderId="20" xfId="0" applyFont="1" applyBorder="1" applyAlignment="1">
      <alignment horizontal="center" vertical="center" wrapText="1"/>
    </xf>
    <xf numFmtId="176" fontId="5" fillId="0" borderId="2" xfId="0" applyFont="1" applyBorder="1" applyAlignment="1">
      <alignment horizontal="left" vertical="center" wrapText="1"/>
    </xf>
    <xf numFmtId="176" fontId="5" fillId="0" borderId="3" xfId="0" applyFont="1" applyBorder="1" applyAlignment="1">
      <alignment horizontal="left" vertical="center" wrapText="1"/>
    </xf>
    <xf numFmtId="176" fontId="5" fillId="0" borderId="23" xfId="0" applyFont="1" applyBorder="1" applyAlignment="1">
      <alignment horizontal="left" vertical="center" wrapText="1"/>
    </xf>
    <xf numFmtId="176" fontId="5" fillId="3" borderId="8" xfId="0" applyFont="1" applyFill="1" applyBorder="1" applyAlignment="1">
      <alignment horizontal="center" vertical="center"/>
    </xf>
    <xf numFmtId="0" fontId="5" fillId="0" borderId="8" xfId="0" applyNumberFormat="1" applyFont="1" applyBorder="1" applyAlignment="1">
      <alignment vertical="center" wrapText="1"/>
    </xf>
    <xf numFmtId="9" fontId="5" fillId="0" borderId="8" xfId="0" applyNumberFormat="1" applyFont="1" applyBorder="1" applyAlignment="1">
      <alignment horizontal="center" vertical="center"/>
    </xf>
    <xf numFmtId="0" fontId="5" fillId="0" borderId="24" xfId="0" applyNumberFormat="1" applyFont="1" applyBorder="1" applyAlignment="1">
      <alignment vertical="center" wrapText="1"/>
    </xf>
    <xf numFmtId="0" fontId="5" fillId="0" borderId="2" xfId="0" applyNumberFormat="1" applyFont="1" applyBorder="1" applyAlignment="1">
      <alignment vertical="center" wrapText="1"/>
    </xf>
    <xf numFmtId="0" fontId="5" fillId="0" borderId="25" xfId="0" applyNumberFormat="1" applyFont="1" applyBorder="1" applyAlignment="1">
      <alignment vertical="center" wrapText="1"/>
    </xf>
    <xf numFmtId="0" fontId="5" fillId="0" borderId="8" xfId="0" applyNumberFormat="1" applyFont="1" applyBorder="1" applyAlignment="1">
      <alignment vertical="center"/>
    </xf>
    <xf numFmtId="176" fontId="2" fillId="0" borderId="1" xfId="0" applyFont="1" applyBorder="1" applyAlignment="1">
      <alignment horizontal="center" vertical="center" wrapText="1"/>
    </xf>
    <xf numFmtId="176" fontId="4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6" fontId="5" fillId="0" borderId="1" xfId="0" applyFont="1" applyBorder="1" applyAlignment="1">
      <alignment vertical="center"/>
    </xf>
    <xf numFmtId="176" fontId="5" fillId="0" borderId="4" xfId="0" applyFont="1" applyBorder="1" applyAlignment="1">
      <alignment horizontal="left" vertical="center" wrapText="1"/>
    </xf>
    <xf numFmtId="176" fontId="5" fillId="3" borderId="13" xfId="0" applyFont="1" applyFill="1" applyBorder="1" applyAlignment="1">
      <alignment horizontal="center" vertical="center"/>
    </xf>
    <xf numFmtId="176" fontId="5" fillId="3" borderId="15" xfId="0" applyFont="1" applyFill="1" applyBorder="1" applyAlignment="1">
      <alignment horizontal="center" vertical="center"/>
    </xf>
    <xf numFmtId="176" fontId="5" fillId="3" borderId="1" xfId="0" applyFont="1" applyFill="1" applyBorder="1" applyAlignment="1">
      <alignment vertical="center"/>
    </xf>
    <xf numFmtId="176" fontId="5" fillId="0" borderId="1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vertical="center"/>
    </xf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9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177" fontId="20" fillId="0" borderId="1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Alignment="1">
      <alignment vertical="center" wrapText="1"/>
    </xf>
    <xf numFmtId="0" fontId="16" fillId="0" borderId="0" xfId="0" applyNumberFormat="1" applyFont="1" applyFill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left" vertical="center" wrapText="1"/>
    </xf>
    <xf numFmtId="9" fontId="17" fillId="0" borderId="1" xfId="0" applyNumberFormat="1" applyFont="1" applyFill="1" applyBorder="1" applyAlignment="1">
      <alignment horizontal="center" vertical="center" wrapText="1"/>
    </xf>
    <xf numFmtId="177" fontId="17" fillId="0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Alignment="1">
      <alignment vertical="center"/>
    </xf>
    <xf numFmtId="0" fontId="18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/>
    </xf>
    <xf numFmtId="0" fontId="19" fillId="2" borderId="1" xfId="0" applyNumberFormat="1" applyFont="1" applyFill="1" applyBorder="1" applyAlignment="1">
      <alignment horizontal="left" vertical="center" wrapText="1"/>
    </xf>
    <xf numFmtId="9" fontId="19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9" fontId="19" fillId="0" borderId="1" xfId="0" applyNumberFormat="1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horizontal="center" vertical="center"/>
    </xf>
    <xf numFmtId="0" fontId="19" fillId="0" borderId="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left" vertical="center" wrapText="1"/>
    </xf>
    <xf numFmtId="0" fontId="19" fillId="2" borderId="1" xfId="0" applyNumberFormat="1" applyFont="1" applyFill="1" applyBorder="1" applyAlignment="1">
      <alignment horizontal="center" vertical="center"/>
    </xf>
    <xf numFmtId="9" fontId="19" fillId="2" borderId="1" xfId="0" applyNumberFormat="1" applyFont="1" applyFill="1" applyBorder="1" applyAlignment="1">
      <alignment horizontal="center" vertical="center"/>
    </xf>
    <xf numFmtId="0" fontId="19" fillId="2" borderId="1" xfId="0" applyNumberFormat="1" applyFont="1" applyFill="1" applyBorder="1" applyAlignment="1">
      <alignment vertical="center"/>
    </xf>
    <xf numFmtId="177" fontId="19" fillId="2" borderId="1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 wrapText="1"/>
    </xf>
    <xf numFmtId="0" fontId="19" fillId="0" borderId="3" xfId="0" applyNumberFormat="1" applyFont="1" applyFill="1" applyBorder="1" applyAlignment="1">
      <alignment horizontal="left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left" vertical="center" wrapText="1"/>
    </xf>
    <xf numFmtId="0" fontId="19" fillId="0" borderId="1" xfId="0" applyNumberFormat="1" applyFont="1" applyFill="1" applyBorder="1" applyAlignment="1">
      <alignment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/>
    </xf>
    <xf numFmtId="9" fontId="11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 wrapText="1"/>
    </xf>
    <xf numFmtId="0" fontId="13" fillId="0" borderId="3" xfId="0" applyNumberFormat="1" applyFont="1" applyFill="1" applyBorder="1" applyAlignment="1">
      <alignment horizontal="center" vertical="center"/>
    </xf>
    <xf numFmtId="9" fontId="11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/>
    </xf>
    <xf numFmtId="9" fontId="11" fillId="0" borderId="4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vertical="center" wrapText="1"/>
    </xf>
    <xf numFmtId="0" fontId="13" fillId="0" borderId="1" xfId="0" applyNumberFormat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vertical="center" wrapText="1"/>
    </xf>
    <xf numFmtId="0" fontId="21" fillId="0" borderId="1" xfId="0" applyNumberFormat="1" applyFont="1" applyFill="1" applyBorder="1" applyAlignment="1">
      <alignment horizontal="left" vertical="center" wrapText="1"/>
    </xf>
    <xf numFmtId="0" fontId="0" fillId="0" borderId="0" xfId="0" applyNumberFormat="1"/>
    <xf numFmtId="9" fontId="0" fillId="0" borderId="0" xfId="0" applyNumberFormat="1"/>
    <xf numFmtId="49" fontId="0" fillId="0" borderId="0" xfId="0" applyNumberFormat="1"/>
    <xf numFmtId="176" fontId="22" fillId="4" borderId="1" xfId="0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>
      <alignment horizontal="center" vertical="center"/>
    </xf>
    <xf numFmtId="176" fontId="23" fillId="4" borderId="1" xfId="0" applyFont="1" applyFill="1" applyBorder="1" applyAlignment="1">
      <alignment horizontal="center" vertical="center"/>
    </xf>
    <xf numFmtId="9" fontId="23" fillId="4" borderId="1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>
      <alignment horizontal="center" vertical="center" wrapText="1"/>
    </xf>
    <xf numFmtId="49" fontId="23" fillId="4" borderId="1" xfId="0" applyNumberFormat="1" applyFont="1" applyFill="1" applyBorder="1" applyAlignment="1">
      <alignment horizontal="center" vertical="center" wrapText="1"/>
    </xf>
    <xf numFmtId="176" fontId="23" fillId="4" borderId="1" xfId="0" applyFont="1" applyFill="1" applyBorder="1" applyAlignment="1">
      <alignment horizontal="center" vertical="center" wrapText="1"/>
    </xf>
    <xf numFmtId="0" fontId="24" fillId="0" borderId="1" xfId="0" applyNumberFormat="1" applyFont="1" applyBorder="1" applyAlignment="1">
      <alignment horizontal="center" vertical="center"/>
    </xf>
    <xf numFmtId="176" fontId="24" fillId="0" borderId="2" xfId="0" applyFont="1" applyBorder="1" applyAlignment="1">
      <alignment horizontal="center" vertical="center" wrapText="1"/>
    </xf>
    <xf numFmtId="176" fontId="24" fillId="0" borderId="1" xfId="0" applyFont="1" applyBorder="1" applyAlignment="1">
      <alignment horizontal="center" vertical="center" wrapText="1"/>
    </xf>
    <xf numFmtId="176" fontId="24" fillId="0" borderId="1" xfId="0" applyFont="1" applyBorder="1" applyAlignment="1">
      <alignment vertical="center"/>
    </xf>
    <xf numFmtId="176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/>
    </xf>
    <xf numFmtId="0" fontId="24" fillId="0" borderId="1" xfId="0" applyNumberFormat="1" applyFont="1" applyFill="1" applyBorder="1" applyAlignment="1">
      <alignment horizontal="center" vertical="center" wrapText="1"/>
    </xf>
    <xf numFmtId="176" fontId="24" fillId="0" borderId="1" xfId="0" applyFont="1" applyBorder="1" applyAlignment="1">
      <alignment vertical="center" wrapText="1"/>
    </xf>
    <xf numFmtId="176" fontId="24" fillId="0" borderId="3" xfId="0" applyFont="1" applyBorder="1" applyAlignment="1">
      <alignment horizontal="center" vertical="center"/>
    </xf>
    <xf numFmtId="9" fontId="24" fillId="0" borderId="1" xfId="0" applyNumberFormat="1" applyFont="1" applyFill="1" applyBorder="1" applyAlignment="1" applyProtection="1">
      <alignment horizontal="center" vertical="center"/>
    </xf>
    <xf numFmtId="176" fontId="24" fillId="0" borderId="1" xfId="0" applyFont="1" applyFill="1" applyBorder="1" applyAlignment="1">
      <alignment horizontal="center" vertical="center" wrapText="1"/>
    </xf>
    <xf numFmtId="176" fontId="24" fillId="0" borderId="1" xfId="0" applyFont="1" applyFill="1" applyBorder="1" applyAlignment="1">
      <alignment horizontal="center" vertical="center"/>
    </xf>
    <xf numFmtId="176" fontId="24" fillId="5" borderId="1" xfId="0" applyFont="1" applyFill="1" applyBorder="1" applyAlignment="1">
      <alignment horizontal="center" vertical="center"/>
    </xf>
    <xf numFmtId="9" fontId="24" fillId="0" borderId="1" xfId="0" applyNumberFormat="1" applyFont="1" applyFill="1" applyBorder="1" applyAlignment="1">
      <alignment horizontal="center" vertical="center"/>
    </xf>
    <xf numFmtId="176" fontId="24" fillId="5" borderId="1" xfId="0" applyFont="1" applyFill="1" applyBorder="1" applyAlignment="1">
      <alignment horizontal="center" vertical="center" wrapText="1"/>
    </xf>
    <xf numFmtId="176" fontId="24" fillId="0" borderId="1" xfId="0" applyFont="1" applyFill="1" applyBorder="1" applyAlignment="1">
      <alignment vertical="center"/>
    </xf>
    <xf numFmtId="176" fontId="24" fillId="0" borderId="3" xfId="0" applyFont="1" applyBorder="1" applyAlignment="1">
      <alignment horizontal="center" vertical="center" wrapText="1"/>
    </xf>
    <xf numFmtId="49" fontId="24" fillId="0" borderId="1" xfId="0" applyNumberFormat="1" applyFont="1" applyFill="1" applyBorder="1" applyAlignment="1">
      <alignment horizontal="center" vertical="center" wrapText="1"/>
    </xf>
    <xf numFmtId="0" fontId="24" fillId="3" borderId="1" xfId="0" applyNumberFormat="1" applyFont="1" applyFill="1" applyBorder="1" applyAlignment="1">
      <alignment horizontal="center" vertical="center"/>
    </xf>
    <xf numFmtId="176" fontId="25" fillId="5" borderId="1" xfId="0" applyFont="1" applyFill="1" applyBorder="1" applyAlignment="1">
      <alignment horizontal="center" vertical="center"/>
    </xf>
    <xf numFmtId="0" fontId="24" fillId="0" borderId="26" xfId="0" applyNumberFormat="1" applyFont="1" applyBorder="1" applyAlignment="1">
      <alignment horizontal="center" vertical="center"/>
    </xf>
    <xf numFmtId="176" fontId="24" fillId="0" borderId="27" xfId="0" applyFont="1" applyBorder="1" applyAlignment="1">
      <alignment horizontal="center" vertical="center"/>
    </xf>
    <xf numFmtId="176" fontId="24" fillId="0" borderId="26" xfId="0" applyFont="1" applyBorder="1" applyAlignment="1">
      <alignment horizontal="center" vertical="center"/>
    </xf>
    <xf numFmtId="176" fontId="24" fillId="4" borderId="26" xfId="0" applyFont="1" applyFill="1" applyBorder="1" applyAlignment="1">
      <alignment horizontal="center" vertical="center"/>
    </xf>
    <xf numFmtId="0" fontId="24" fillId="4" borderId="26" xfId="0" applyNumberFormat="1" applyFont="1" applyFill="1" applyBorder="1" applyAlignment="1">
      <alignment horizontal="center" vertical="center"/>
    </xf>
    <xf numFmtId="176" fontId="24" fillId="4" borderId="26" xfId="0" applyFont="1" applyFill="1" applyBorder="1" applyAlignment="1">
      <alignment horizontal="center" vertical="center" wrapText="1"/>
    </xf>
    <xf numFmtId="9" fontId="24" fillId="4" borderId="26" xfId="0" applyNumberFormat="1" applyFont="1" applyFill="1" applyBorder="1" applyAlignment="1">
      <alignment horizontal="center" vertical="center"/>
    </xf>
    <xf numFmtId="176" fontId="24" fillId="0" borderId="26" xfId="0" applyFont="1" applyBorder="1" applyAlignment="1">
      <alignment horizontal="center" vertical="center" wrapText="1"/>
    </xf>
    <xf numFmtId="0" fontId="24" fillId="0" borderId="4" xfId="0" applyNumberFormat="1" applyFont="1" applyBorder="1" applyAlignment="1">
      <alignment horizontal="center" vertical="center"/>
    </xf>
    <xf numFmtId="0" fontId="24" fillId="0" borderId="4" xfId="0" applyNumberFormat="1" applyFont="1" applyFill="1" applyBorder="1" applyAlignment="1">
      <alignment horizontal="center" vertical="center"/>
    </xf>
    <xf numFmtId="176" fontId="24" fillId="0" borderId="4" xfId="0" applyFont="1" applyFill="1" applyBorder="1" applyAlignment="1">
      <alignment vertical="center"/>
    </xf>
    <xf numFmtId="176" fontId="24" fillId="0" borderId="4" xfId="0" applyFont="1" applyFill="1" applyBorder="1" applyAlignment="1">
      <alignment horizontal="center" vertical="center"/>
    </xf>
    <xf numFmtId="9" fontId="24" fillId="0" borderId="4" xfId="0" applyNumberFormat="1" applyFont="1" applyFill="1" applyBorder="1" applyAlignment="1">
      <alignment horizontal="center" vertical="center"/>
    </xf>
    <xf numFmtId="0" fontId="24" fillId="0" borderId="4" xfId="0" applyNumberFormat="1" applyFont="1" applyFill="1" applyBorder="1" applyAlignment="1">
      <alignment horizontal="center" vertical="center" wrapText="1"/>
    </xf>
    <xf numFmtId="176" fontId="26" fillId="0" borderId="4" xfId="0" applyFont="1" applyFill="1" applyBorder="1" applyAlignment="1">
      <alignment vertical="center" wrapText="1"/>
    </xf>
    <xf numFmtId="0" fontId="24" fillId="0" borderId="2" xfId="0" applyNumberFormat="1" applyFont="1" applyFill="1" applyBorder="1" applyAlignment="1">
      <alignment horizontal="center" vertical="center"/>
    </xf>
    <xf numFmtId="0" fontId="24" fillId="0" borderId="2" xfId="0" applyNumberFormat="1" applyFont="1" applyBorder="1" applyAlignment="1">
      <alignment horizontal="center" vertical="center"/>
    </xf>
    <xf numFmtId="176" fontId="24" fillId="0" borderId="2" xfId="0" applyFont="1" applyBorder="1" applyAlignment="1">
      <alignment vertical="center"/>
    </xf>
    <xf numFmtId="176" fontId="24" fillId="0" borderId="2" xfId="0" applyFont="1" applyBorder="1" applyAlignment="1">
      <alignment horizontal="center" vertical="center"/>
    </xf>
    <xf numFmtId="9" fontId="24" fillId="0" borderId="2" xfId="0" applyNumberFormat="1" applyFont="1" applyBorder="1" applyAlignment="1">
      <alignment horizontal="center" vertical="center"/>
    </xf>
    <xf numFmtId="0" fontId="24" fillId="0" borderId="2" xfId="0" applyNumberFormat="1" applyFont="1" applyBorder="1" applyAlignment="1">
      <alignment horizontal="center" vertical="center" wrapText="1"/>
    </xf>
    <xf numFmtId="176" fontId="24" fillId="0" borderId="2" xfId="0" applyFont="1" applyBorder="1" applyAlignment="1">
      <alignment vertical="center" wrapText="1"/>
    </xf>
    <xf numFmtId="176" fontId="24" fillId="0" borderId="2" xfId="0" applyFont="1" applyFill="1" applyBorder="1" applyAlignment="1">
      <alignment horizontal="center" vertical="center"/>
    </xf>
    <xf numFmtId="0" fontId="24" fillId="0" borderId="2" xfId="0" applyNumberFormat="1" applyFont="1" applyFill="1" applyBorder="1" applyAlignment="1">
      <alignment horizontal="center" vertical="center" wrapText="1"/>
    </xf>
    <xf numFmtId="176" fontId="24" fillId="0" borderId="27" xfId="0" applyFont="1" applyBorder="1" applyAlignment="1">
      <alignment horizontal="center" vertical="center" wrapText="1"/>
    </xf>
    <xf numFmtId="176" fontId="24" fillId="0" borderId="4" xfId="0" applyFont="1" applyBorder="1" applyAlignment="1">
      <alignment horizontal="center" vertical="center" wrapText="1"/>
    </xf>
    <xf numFmtId="176" fontId="24" fillId="0" borderId="4" xfId="0" applyFont="1" applyBorder="1" applyAlignment="1">
      <alignment vertical="center"/>
    </xf>
    <xf numFmtId="176" fontId="24" fillId="0" borderId="4" xfId="0" applyFont="1" applyFill="1" applyBorder="1" applyAlignment="1">
      <alignment horizontal="center" vertical="center" wrapText="1"/>
    </xf>
    <xf numFmtId="176" fontId="24" fillId="0" borderId="4" xfId="0" applyFont="1" applyFill="1" applyBorder="1" applyAlignment="1">
      <alignment vertical="center" wrapText="1"/>
    </xf>
    <xf numFmtId="176" fontId="26" fillId="0" borderId="1" xfId="0" applyFont="1" applyFill="1" applyBorder="1" applyAlignment="1">
      <alignment vertical="center" wrapText="1"/>
    </xf>
    <xf numFmtId="0" fontId="24" fillId="0" borderId="13" xfId="0" applyNumberFormat="1" applyFont="1" applyFill="1" applyBorder="1" applyAlignment="1">
      <alignment horizontal="center" vertical="center"/>
    </xf>
    <xf numFmtId="0" fontId="24" fillId="0" borderId="15" xfId="0" applyNumberFormat="1" applyFont="1" applyFill="1" applyBorder="1" applyAlignment="1">
      <alignment horizontal="center" vertical="center"/>
    </xf>
    <xf numFmtId="176" fontId="24" fillId="0" borderId="4" xfId="0" applyFont="1" applyBorder="1" applyAlignment="1">
      <alignment horizontal="center" vertical="center"/>
    </xf>
    <xf numFmtId="9" fontId="24" fillId="0" borderId="4" xfId="0" applyNumberFormat="1" applyFont="1" applyBorder="1" applyAlignment="1">
      <alignment horizontal="center" vertical="center"/>
    </xf>
    <xf numFmtId="49" fontId="24" fillId="0" borderId="4" xfId="0" applyNumberFormat="1" applyFont="1" applyFill="1" applyBorder="1" applyAlignment="1">
      <alignment horizontal="center" vertical="center" wrapText="1"/>
    </xf>
    <xf numFmtId="176" fontId="24" fillId="0" borderId="4" xfId="0" applyFont="1" applyBorder="1" applyAlignment="1">
      <alignment vertical="center" wrapText="1"/>
    </xf>
    <xf numFmtId="0" fontId="24" fillId="0" borderId="0" xfId="0" applyNumberFormat="1" applyFont="1" applyAlignment="1">
      <alignment horizontal="center" vertical="center"/>
    </xf>
    <xf numFmtId="176" fontId="24" fillId="0" borderId="0" xfId="0" applyFont="1" applyAlignment="1">
      <alignment horizontal="center" vertical="center"/>
    </xf>
    <xf numFmtId="176" fontId="24" fillId="0" borderId="0" xfId="0" applyFont="1" applyAlignment="1">
      <alignment vertical="center"/>
    </xf>
    <xf numFmtId="0" fontId="24" fillId="0" borderId="0" xfId="0" applyNumberFormat="1" applyFont="1" applyAlignment="1">
      <alignment vertical="center"/>
    </xf>
    <xf numFmtId="176" fontId="0" fillId="0" borderId="0" xfId="0" applyAlignment="1">
      <alignment vertical="center"/>
    </xf>
    <xf numFmtId="0" fontId="19" fillId="0" borderId="1" xfId="0" applyNumberFormat="1" applyFont="1" applyFill="1" applyBorder="1" applyAlignment="1" quotePrefix="1">
      <alignment horizontal="center" vertical="center" wrapText="1"/>
    </xf>
    <xf numFmtId="0" fontId="5" fillId="0" borderId="2" xfId="0" applyNumberFormat="1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3" xfId="50"/>
    <cellStyle name="常规 10" xfId="51"/>
    <cellStyle name="常规 11" xfId="52"/>
    <cellStyle name="常规 12" xfId="53"/>
    <cellStyle name="常规 13" xfId="54"/>
    <cellStyle name="常规 14" xfId="55"/>
    <cellStyle name="常规 2" xfId="56"/>
    <cellStyle name="常规 3" xfId="57"/>
    <cellStyle name="常规 4" xfId="58"/>
    <cellStyle name="常规 5" xfId="59"/>
    <cellStyle name="常规 6" xfId="60"/>
    <cellStyle name="常规 7" xfId="61"/>
    <cellStyle name="常规 8" xfId="62"/>
    <cellStyle name="常规 9" xfId="6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4.11-2026.4.17&#39033;&#30446;&#21608;&#25253;&#27719;&#24635;%20-%20&#21103;&#2641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4.13-2026.4.17&#39033;&#30446;&#21608;&#25253;&#27719;&#24635;-&#20132;&#20184;-&#29289;&#19994;&#3245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4.13-2026.4.17&#39033;&#30446;&#21608;&#25253;&#27719;&#24635;-&#20132;&#20184;-AI&#22823;&#25968;&#25454;&#3245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4.13-2025.4.17&#39033;&#30446;&#21608;&#25253;&#27719;&#24635;-&#20132;&#20184;-JD&#3245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54"/>
  <sheetViews>
    <sheetView tabSelected="1" zoomScale="70" zoomScaleNormal="70" workbookViewId="0">
      <pane xSplit="5" ySplit="2" topLeftCell="F3" activePane="bottomRight" state="frozen"/>
      <selection/>
      <selection pane="topRight"/>
      <selection pane="bottomLeft"/>
      <selection pane="bottomRight" activeCell="J22" sqref="J22"/>
    </sheetView>
  </sheetViews>
  <sheetFormatPr defaultColWidth="9" defaultRowHeight="13.8"/>
  <cols>
    <col min="1" max="1" width="7.11111111111111" style="321" customWidth="1"/>
    <col min="2" max="2" width="15.4444444444444" customWidth="1"/>
    <col min="3" max="3" width="14.4444444444444" customWidth="1"/>
    <col min="4" max="4" width="21.8888888888889" style="321" customWidth="1"/>
    <col min="5" max="5" width="41.8888888888889" customWidth="1"/>
    <col min="6" max="6" width="21.2222222222222" customWidth="1"/>
    <col min="7" max="7" width="9.88888888888889" customWidth="1"/>
    <col min="8" max="8" width="11.4444444444444" customWidth="1"/>
    <col min="9" max="9" width="10.8888888888889" customWidth="1"/>
    <col min="10" max="10" width="15.3333333333333" style="322" customWidth="1"/>
    <col min="11" max="11" width="11.3333333333333" style="321" customWidth="1"/>
    <col min="12" max="12" width="20.6296296296296" customWidth="1"/>
    <col min="13" max="13" width="19.7777777777778" style="321" customWidth="1"/>
    <col min="14" max="14" width="20.1574074074074" style="321" customWidth="1"/>
    <col min="15" max="15" width="21.2685185185185" style="323" hidden="1" customWidth="1"/>
    <col min="16" max="16" width="19.2037037037037" customWidth="1"/>
    <col min="17" max="17" width="16.3518518518519" customWidth="1"/>
    <col min="18" max="18" width="85.2314814814815" customWidth="1"/>
  </cols>
  <sheetData>
    <row r="1" ht="37.5" customHeight="1" spans="1:18">
      <c r="A1" s="324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</row>
    <row r="2" ht="30" customHeight="1" spans="1:18">
      <c r="A2" s="325" t="s">
        <v>1</v>
      </c>
      <c r="B2" s="326" t="s">
        <v>2</v>
      </c>
      <c r="C2" s="326" t="s">
        <v>3</v>
      </c>
      <c r="D2" s="325" t="s">
        <v>4</v>
      </c>
      <c r="E2" s="326" t="s">
        <v>5</v>
      </c>
      <c r="F2" s="326" t="s">
        <v>6</v>
      </c>
      <c r="G2" s="326" t="s">
        <v>7</v>
      </c>
      <c r="H2" s="326" t="s">
        <v>8</v>
      </c>
      <c r="I2" s="326" t="s">
        <v>9</v>
      </c>
      <c r="J2" s="327" t="s">
        <v>10</v>
      </c>
      <c r="K2" s="328" t="s">
        <v>11</v>
      </c>
      <c r="L2" s="326" t="s">
        <v>12</v>
      </c>
      <c r="M2" s="325" t="s">
        <v>13</v>
      </c>
      <c r="N2" s="325" t="s">
        <v>14</v>
      </c>
      <c r="O2" s="329" t="s">
        <v>15</v>
      </c>
      <c r="P2" s="330" t="s">
        <v>16</v>
      </c>
      <c r="Q2" s="326" t="s">
        <v>17</v>
      </c>
      <c r="R2" s="326" t="s">
        <v>18</v>
      </c>
    </row>
    <row r="3" ht="35" customHeight="1" spans="1:18">
      <c r="A3" s="331">
        <v>1</v>
      </c>
      <c r="B3" s="332" t="s">
        <v>19</v>
      </c>
      <c r="C3" s="333" t="s">
        <v>20</v>
      </c>
      <c r="D3" s="331">
        <v>22220901</v>
      </c>
      <c r="E3" s="334" t="s">
        <v>21</v>
      </c>
      <c r="F3" s="335" t="s">
        <v>22</v>
      </c>
      <c r="G3" s="335" t="s">
        <v>23</v>
      </c>
      <c r="H3" s="335" t="s">
        <v>24</v>
      </c>
      <c r="I3" s="335" t="s">
        <v>25</v>
      </c>
      <c r="J3" s="336" t="s">
        <v>26</v>
      </c>
      <c r="K3" s="337" t="s">
        <v>27</v>
      </c>
      <c r="L3" s="335"/>
      <c r="M3" s="338">
        <v>10.75</v>
      </c>
      <c r="N3" s="338">
        <v>10.5</v>
      </c>
      <c r="O3" s="339" t="str">
        <f>N3-M3&amp;"("&amp;ROUND(((N3-M3)/M3*100),0)&amp;"%)"</f>
        <v>-0.25(-2%)</v>
      </c>
      <c r="P3" s="340"/>
      <c r="Q3" s="334"/>
      <c r="R3" s="335"/>
    </row>
    <row r="4" ht="46" customHeight="1" spans="1:18">
      <c r="A4" s="331">
        <v>2</v>
      </c>
      <c r="B4" s="341"/>
      <c r="C4" s="335"/>
      <c r="D4" s="331">
        <v>22250226</v>
      </c>
      <c r="E4" s="334" t="s">
        <v>28</v>
      </c>
      <c r="F4" s="335" t="s">
        <v>22</v>
      </c>
      <c r="G4" s="335" t="s">
        <v>29</v>
      </c>
      <c r="H4" s="335" t="s">
        <v>30</v>
      </c>
      <c r="I4" s="335" t="s">
        <v>25</v>
      </c>
      <c r="J4" s="342">
        <v>0.93</v>
      </c>
      <c r="K4" s="337" t="s">
        <v>31</v>
      </c>
      <c r="L4" s="335"/>
      <c r="M4" s="338">
        <v>16</v>
      </c>
      <c r="N4" s="338">
        <v>22.13</v>
      </c>
      <c r="O4" s="339" t="str">
        <f t="shared" ref="O4:O6" si="0">ROUND(N4-M4,2)&amp;"("&amp;ROUND(((N4-M4)/M4*100),0)&amp;"%)"</f>
        <v>6.13(38%)</v>
      </c>
      <c r="P4" s="340"/>
      <c r="Q4" s="334"/>
      <c r="R4" s="343" t="s">
        <v>32</v>
      </c>
    </row>
    <row r="5" ht="32" customHeight="1" spans="1:18">
      <c r="A5" s="331">
        <v>3</v>
      </c>
      <c r="B5" s="341"/>
      <c r="C5" s="335"/>
      <c r="D5" s="331">
        <v>22220202</v>
      </c>
      <c r="E5" s="334" t="s">
        <v>33</v>
      </c>
      <c r="F5" s="335" t="s">
        <v>34</v>
      </c>
      <c r="G5" s="333" t="s">
        <v>35</v>
      </c>
      <c r="H5" s="335" t="s">
        <v>24</v>
      </c>
      <c r="I5" s="335" t="s">
        <v>25</v>
      </c>
      <c r="J5" s="336" t="s">
        <v>26</v>
      </c>
      <c r="K5" s="337" t="s">
        <v>31</v>
      </c>
      <c r="L5" s="340"/>
      <c r="M5" s="338">
        <v>0</v>
      </c>
      <c r="N5" s="338">
        <v>0</v>
      </c>
      <c r="O5" s="339">
        <v>0</v>
      </c>
      <c r="P5" s="333"/>
      <c r="Q5" s="334"/>
      <c r="R5" s="343" t="s">
        <v>36</v>
      </c>
    </row>
    <row r="6" ht="23" customHeight="1" spans="1:18">
      <c r="A6" s="331">
        <v>4</v>
      </c>
      <c r="B6" s="341"/>
      <c r="C6" s="335"/>
      <c r="D6" s="331">
        <v>22220701</v>
      </c>
      <c r="E6" s="334" t="s">
        <v>37</v>
      </c>
      <c r="F6" s="335" t="s">
        <v>34</v>
      </c>
      <c r="G6" s="333" t="s">
        <v>35</v>
      </c>
      <c r="H6" s="335" t="s">
        <v>24</v>
      </c>
      <c r="I6" s="335" t="s">
        <v>25</v>
      </c>
      <c r="J6" s="336" t="s">
        <v>26</v>
      </c>
      <c r="K6" s="337" t="s">
        <v>31</v>
      </c>
      <c r="L6" s="340"/>
      <c r="M6" s="338">
        <v>0</v>
      </c>
      <c r="N6" s="338">
        <v>0</v>
      </c>
      <c r="O6" s="339">
        <v>0</v>
      </c>
      <c r="P6" s="333"/>
      <c r="Q6" s="334"/>
      <c r="R6" s="343" t="s">
        <v>38</v>
      </c>
    </row>
    <row r="7" ht="23" customHeight="1" spans="1:18">
      <c r="A7" s="331">
        <v>5</v>
      </c>
      <c r="B7" s="341"/>
      <c r="C7" s="333" t="s">
        <v>39</v>
      </c>
      <c r="D7" s="331">
        <v>22221201</v>
      </c>
      <c r="E7" s="334" t="s">
        <v>40</v>
      </c>
      <c r="F7" s="335" t="s">
        <v>41</v>
      </c>
      <c r="G7" s="333" t="s">
        <v>23</v>
      </c>
      <c r="H7" s="335" t="s">
        <v>24</v>
      </c>
      <c r="I7" s="335" t="s">
        <v>25</v>
      </c>
      <c r="J7" s="336">
        <v>0.99</v>
      </c>
      <c r="K7" s="337" t="s">
        <v>42</v>
      </c>
      <c r="L7" s="335"/>
      <c r="M7" s="338">
        <v>0</v>
      </c>
      <c r="N7" s="338">
        <v>0.5</v>
      </c>
      <c r="O7" s="339" t="e">
        <f t="shared" ref="O7:O15" si="1">N7-M7&amp;"("&amp;ROUND(((N7-M7)/M7*100),0)&amp;"%)"</f>
        <v>#DIV/0!</v>
      </c>
      <c r="P7" s="340"/>
      <c r="Q7" s="334"/>
      <c r="R7" s="344"/>
    </row>
    <row r="8" ht="23" customHeight="1" spans="1:18">
      <c r="A8" s="331">
        <v>6</v>
      </c>
      <c r="B8" s="341"/>
      <c r="C8" s="335"/>
      <c r="D8" s="331">
        <v>22250314</v>
      </c>
      <c r="E8" s="334" t="s">
        <v>43</v>
      </c>
      <c r="F8" s="335" t="s">
        <v>44</v>
      </c>
      <c r="G8" s="335" t="s">
        <v>29</v>
      </c>
      <c r="H8" s="335" t="s">
        <v>30</v>
      </c>
      <c r="I8" s="345" t="s">
        <v>45</v>
      </c>
      <c r="J8" s="346">
        <v>0.95</v>
      </c>
      <c r="K8" s="337" t="s">
        <v>46</v>
      </c>
      <c r="L8" s="335"/>
      <c r="M8" s="338">
        <v>5</v>
      </c>
      <c r="N8" s="338">
        <v>7</v>
      </c>
      <c r="O8" s="339" t="str">
        <f t="shared" si="1"/>
        <v>2(40%)</v>
      </c>
      <c r="P8" s="347" t="s">
        <v>47</v>
      </c>
      <c r="Q8" s="334"/>
      <c r="R8" s="344" t="s">
        <v>48</v>
      </c>
    </row>
    <row r="9" ht="23" customHeight="1" spans="1:18">
      <c r="A9" s="331">
        <v>7</v>
      </c>
      <c r="B9" s="341"/>
      <c r="C9" s="335"/>
      <c r="D9" s="338" t="s">
        <v>49</v>
      </c>
      <c r="E9" s="348" t="s">
        <v>50</v>
      </c>
      <c r="F9" s="344" t="s">
        <v>51</v>
      </c>
      <c r="G9" s="344" t="s">
        <v>29</v>
      </c>
      <c r="H9" s="344" t="s">
        <v>52</v>
      </c>
      <c r="I9" s="344" t="s">
        <v>25</v>
      </c>
      <c r="J9" s="336" t="s">
        <v>26</v>
      </c>
      <c r="K9" s="339" t="s">
        <v>46</v>
      </c>
      <c r="L9" s="344"/>
      <c r="M9" s="338">
        <v>8</v>
      </c>
      <c r="N9" s="338">
        <v>10</v>
      </c>
      <c r="O9" s="339" t="str">
        <f t="shared" si="1"/>
        <v>2(25%)</v>
      </c>
      <c r="P9" s="340"/>
      <c r="Q9" s="334"/>
      <c r="R9" s="344" t="s">
        <v>53</v>
      </c>
    </row>
    <row r="10" ht="23" customHeight="1" spans="1:18">
      <c r="A10" s="331">
        <v>8</v>
      </c>
      <c r="B10" s="341"/>
      <c r="C10" s="335"/>
      <c r="D10" s="338">
        <v>23260410</v>
      </c>
      <c r="E10" s="348" t="s">
        <v>54</v>
      </c>
      <c r="F10" s="344" t="s">
        <v>55</v>
      </c>
      <c r="G10" s="344" t="s">
        <v>35</v>
      </c>
      <c r="H10" s="335" t="s">
        <v>56</v>
      </c>
      <c r="I10" s="344" t="s">
        <v>25</v>
      </c>
      <c r="J10" s="346"/>
      <c r="K10" s="339" t="s">
        <v>42</v>
      </c>
      <c r="L10" s="344"/>
      <c r="M10" s="338">
        <v>5</v>
      </c>
      <c r="N10" s="338">
        <v>10.5</v>
      </c>
      <c r="O10" s="338" t="str">
        <f t="shared" si="1"/>
        <v>5.5(110%)</v>
      </c>
      <c r="P10" s="343"/>
      <c r="Q10" s="348"/>
      <c r="R10" s="343" t="s">
        <v>57</v>
      </c>
    </row>
    <row r="11" ht="23" customHeight="1" spans="1:18">
      <c r="A11" s="331">
        <v>9</v>
      </c>
      <c r="B11" s="341"/>
      <c r="C11" s="332" t="s">
        <v>58</v>
      </c>
      <c r="D11" s="338">
        <v>22240822</v>
      </c>
      <c r="E11" s="348" t="s">
        <v>59</v>
      </c>
      <c r="F11" s="344" t="s">
        <v>60</v>
      </c>
      <c r="G11" s="344" t="s">
        <v>29</v>
      </c>
      <c r="H11" s="335" t="s">
        <v>30</v>
      </c>
      <c r="I11" s="344" t="s">
        <v>25</v>
      </c>
      <c r="J11" s="346">
        <v>1</v>
      </c>
      <c r="K11" s="339" t="s">
        <v>31</v>
      </c>
      <c r="L11" s="344"/>
      <c r="M11" s="338">
        <v>12.5</v>
      </c>
      <c r="N11" s="338">
        <v>19</v>
      </c>
      <c r="O11" s="339" t="str">
        <f t="shared" si="1"/>
        <v>6.5(52%)</v>
      </c>
      <c r="P11" s="343"/>
      <c r="Q11" s="348"/>
      <c r="R11" s="344" t="s">
        <v>61</v>
      </c>
    </row>
    <row r="12" ht="23" customHeight="1" spans="1:18">
      <c r="A12" s="331">
        <v>10</v>
      </c>
      <c r="B12" s="341"/>
      <c r="C12" s="349"/>
      <c r="D12" s="338">
        <v>23251211</v>
      </c>
      <c r="E12" s="348" t="s">
        <v>62</v>
      </c>
      <c r="F12" s="344" t="s">
        <v>63</v>
      </c>
      <c r="G12" s="344" t="s">
        <v>29</v>
      </c>
      <c r="H12" s="344" t="s">
        <v>56</v>
      </c>
      <c r="I12" s="344" t="s">
        <v>25</v>
      </c>
      <c r="J12" s="346">
        <v>0.85</v>
      </c>
      <c r="K12" s="339" t="s">
        <v>64</v>
      </c>
      <c r="L12" s="344"/>
      <c r="M12" s="338">
        <v>6</v>
      </c>
      <c r="N12" s="338">
        <v>6</v>
      </c>
      <c r="O12" s="350" t="str">
        <f t="shared" si="1"/>
        <v>0(0%)</v>
      </c>
      <c r="P12" s="343"/>
      <c r="Q12" s="348"/>
      <c r="R12" s="344"/>
    </row>
    <row r="13" ht="23" customHeight="1" spans="1:18">
      <c r="A13" s="331">
        <v>11</v>
      </c>
      <c r="B13" s="341"/>
      <c r="C13" s="349"/>
      <c r="D13" s="331">
        <v>121018</v>
      </c>
      <c r="E13" s="334" t="s">
        <v>65</v>
      </c>
      <c r="F13" s="335" t="s">
        <v>66</v>
      </c>
      <c r="G13" s="335" t="s">
        <v>67</v>
      </c>
      <c r="H13" s="335" t="s">
        <v>68</v>
      </c>
      <c r="I13" s="335" t="s">
        <v>25</v>
      </c>
      <c r="J13" s="336" t="s">
        <v>26</v>
      </c>
      <c r="K13" s="337"/>
      <c r="L13" s="335"/>
      <c r="M13" s="338">
        <v>17</v>
      </c>
      <c r="N13" s="338">
        <v>27.5</v>
      </c>
      <c r="O13" s="350" t="str">
        <f t="shared" si="1"/>
        <v>10.5(62%)</v>
      </c>
      <c r="P13" s="333"/>
      <c r="Q13" s="334"/>
      <c r="R13" s="344"/>
    </row>
    <row r="14" ht="23" customHeight="1" spans="1:18">
      <c r="A14" s="351">
        <v>12</v>
      </c>
      <c r="B14" s="341"/>
      <c r="C14" s="333" t="s">
        <v>69</v>
      </c>
      <c r="D14" s="331">
        <v>222201001</v>
      </c>
      <c r="E14" s="334" t="s">
        <v>70</v>
      </c>
      <c r="F14" s="335" t="s">
        <v>71</v>
      </c>
      <c r="G14" s="333" t="s">
        <v>35</v>
      </c>
      <c r="H14" s="335" t="s">
        <v>24</v>
      </c>
      <c r="I14" s="335" t="s">
        <v>25</v>
      </c>
      <c r="J14" s="336">
        <v>0.99</v>
      </c>
      <c r="K14" s="337" t="s">
        <v>31</v>
      </c>
      <c r="L14" s="340"/>
      <c r="M14" s="338">
        <v>0.25</v>
      </c>
      <c r="N14" s="338">
        <v>0</v>
      </c>
      <c r="O14" s="350" t="str">
        <f t="shared" si="1"/>
        <v>-0.25(-100%)</v>
      </c>
      <c r="P14" s="333"/>
      <c r="Q14" s="334"/>
      <c r="R14" s="344" t="s">
        <v>72</v>
      </c>
    </row>
    <row r="15" ht="41" customHeight="1" spans="1:18">
      <c r="A15" s="351">
        <v>13</v>
      </c>
      <c r="B15" s="341"/>
      <c r="C15" s="335"/>
      <c r="D15" s="331">
        <v>22220905</v>
      </c>
      <c r="E15" s="334" t="s">
        <v>73</v>
      </c>
      <c r="F15" s="335" t="s">
        <v>71</v>
      </c>
      <c r="G15" s="333" t="s">
        <v>35</v>
      </c>
      <c r="H15" s="335" t="s">
        <v>24</v>
      </c>
      <c r="I15" s="335" t="s">
        <v>25</v>
      </c>
      <c r="J15" s="336">
        <v>0.99</v>
      </c>
      <c r="K15" s="337" t="s">
        <v>27</v>
      </c>
      <c r="L15" s="340"/>
      <c r="M15" s="338">
        <v>0.25</v>
      </c>
      <c r="N15" s="338">
        <v>8.5</v>
      </c>
      <c r="O15" s="350" t="str">
        <f t="shared" si="1"/>
        <v>8.25(3300%)</v>
      </c>
      <c r="P15" s="340"/>
      <c r="Q15" s="334"/>
      <c r="R15" s="344" t="s">
        <v>74</v>
      </c>
    </row>
    <row r="16" ht="23" customHeight="1" spans="1:18">
      <c r="A16" s="351">
        <v>14</v>
      </c>
      <c r="B16" s="341"/>
      <c r="C16" s="335"/>
      <c r="D16" s="331">
        <v>21250326</v>
      </c>
      <c r="E16" s="334" t="s">
        <v>75</v>
      </c>
      <c r="F16" s="335" t="s">
        <v>71</v>
      </c>
      <c r="G16" s="333" t="s">
        <v>29</v>
      </c>
      <c r="H16" s="335" t="s">
        <v>76</v>
      </c>
      <c r="I16" s="352" t="s">
        <v>77</v>
      </c>
      <c r="J16" s="346">
        <v>0.85</v>
      </c>
      <c r="K16" s="337" t="s">
        <v>78</v>
      </c>
      <c r="L16" s="333"/>
      <c r="M16" s="338">
        <v>9</v>
      </c>
      <c r="N16" s="338">
        <v>3</v>
      </c>
      <c r="O16" s="339" t="str">
        <f t="shared" ref="O15:O23" si="2">N16-M16&amp;"("&amp;ROUND(((N16-M16)/M16*100),0)&amp;"%)"</f>
        <v>-6(-67%)</v>
      </c>
      <c r="P16" s="340"/>
      <c r="Q16" s="334"/>
      <c r="R16" s="345" t="s">
        <v>79</v>
      </c>
    </row>
    <row r="17" ht="23" customHeight="1" spans="1:18">
      <c r="A17" s="351">
        <v>15</v>
      </c>
      <c r="B17" s="341"/>
      <c r="C17" s="335"/>
      <c r="D17" s="331" t="s">
        <v>80</v>
      </c>
      <c r="E17" s="334" t="s">
        <v>81</v>
      </c>
      <c r="F17" s="335" t="s">
        <v>82</v>
      </c>
      <c r="G17" s="333" t="s">
        <v>29</v>
      </c>
      <c r="H17" s="335" t="s">
        <v>83</v>
      </c>
      <c r="I17" s="335" t="s">
        <v>25</v>
      </c>
      <c r="J17" s="346">
        <v>0.99</v>
      </c>
      <c r="K17" s="337" t="s">
        <v>78</v>
      </c>
      <c r="L17" s="333"/>
      <c r="M17" s="338">
        <v>0</v>
      </c>
      <c r="N17" s="338">
        <v>0</v>
      </c>
      <c r="O17" s="339" t="e">
        <f t="shared" si="2"/>
        <v>#DIV/0!</v>
      </c>
      <c r="P17" s="340"/>
      <c r="Q17" s="334"/>
      <c r="R17" s="335" t="s">
        <v>84</v>
      </c>
    </row>
    <row r="18" ht="23" customHeight="1" spans="1:18">
      <c r="A18" s="331">
        <v>16</v>
      </c>
      <c r="B18" s="341"/>
      <c r="C18" s="333" t="s">
        <v>85</v>
      </c>
      <c r="D18" s="331" t="s">
        <v>86</v>
      </c>
      <c r="E18" s="334" t="s">
        <v>87</v>
      </c>
      <c r="F18" s="335" t="s">
        <v>88</v>
      </c>
      <c r="G18" s="335" t="s">
        <v>29</v>
      </c>
      <c r="H18" s="335" t="s">
        <v>30</v>
      </c>
      <c r="I18" s="335" t="s">
        <v>25</v>
      </c>
      <c r="J18" s="336" t="s">
        <v>26</v>
      </c>
      <c r="K18" s="337"/>
      <c r="L18" s="335"/>
      <c r="M18" s="338">
        <v>5</v>
      </c>
      <c r="N18" s="338">
        <v>7</v>
      </c>
      <c r="O18" s="350" t="str">
        <f t="shared" si="2"/>
        <v>2(40%)</v>
      </c>
      <c r="P18" s="340"/>
      <c r="Q18" s="334"/>
      <c r="R18" s="333" t="s">
        <v>89</v>
      </c>
    </row>
    <row r="19" ht="23" customHeight="1" spans="1:18">
      <c r="A19" s="331">
        <v>17</v>
      </c>
      <c r="B19" s="341"/>
      <c r="C19" s="335"/>
      <c r="D19" s="338"/>
      <c r="E19" s="334" t="s">
        <v>90</v>
      </c>
      <c r="F19" s="335" t="s">
        <v>88</v>
      </c>
      <c r="G19" s="335" t="s">
        <v>29</v>
      </c>
      <c r="H19" s="344" t="s">
        <v>52</v>
      </c>
      <c r="I19" s="335" t="s">
        <v>25</v>
      </c>
      <c r="J19" s="336" t="s">
        <v>26</v>
      </c>
      <c r="K19" s="337"/>
      <c r="L19" s="335"/>
      <c r="M19" s="338">
        <v>6.5</v>
      </c>
      <c r="N19" s="338">
        <v>10.25</v>
      </c>
      <c r="O19" s="350" t="str">
        <f t="shared" si="2"/>
        <v>3.75(58%)</v>
      </c>
      <c r="P19" s="340"/>
      <c r="Q19" s="334"/>
      <c r="R19" s="343"/>
    </row>
    <row r="20" ht="23" customHeight="1" spans="1:18">
      <c r="A20" s="331">
        <v>18</v>
      </c>
      <c r="B20" s="341"/>
      <c r="C20" s="333" t="s">
        <v>91</v>
      </c>
      <c r="D20" s="331" t="s">
        <v>92</v>
      </c>
      <c r="E20" s="334" t="s">
        <v>93</v>
      </c>
      <c r="F20" s="335" t="s">
        <v>94</v>
      </c>
      <c r="G20" s="335" t="s">
        <v>29</v>
      </c>
      <c r="H20" s="344" t="s">
        <v>52</v>
      </c>
      <c r="I20" s="335" t="s">
        <v>25</v>
      </c>
      <c r="J20" s="336" t="s">
        <v>26</v>
      </c>
      <c r="K20" s="337"/>
      <c r="L20" s="335"/>
      <c r="M20" s="338">
        <v>16</v>
      </c>
      <c r="N20" s="338">
        <v>22</v>
      </c>
      <c r="O20" s="350" t="str">
        <f t="shared" si="2"/>
        <v>6(38%)</v>
      </c>
      <c r="P20" s="343"/>
      <c r="Q20" s="348"/>
      <c r="R20" s="344"/>
    </row>
    <row r="21" ht="23" customHeight="1" spans="1:18">
      <c r="A21" s="331">
        <v>19</v>
      </c>
      <c r="B21" s="341"/>
      <c r="C21" s="335"/>
      <c r="D21" s="331"/>
      <c r="E21" s="334" t="s">
        <v>95</v>
      </c>
      <c r="F21" s="335" t="s">
        <v>44</v>
      </c>
      <c r="G21" s="335" t="s">
        <v>29</v>
      </c>
      <c r="H21" s="344" t="s">
        <v>52</v>
      </c>
      <c r="I21" s="335" t="s">
        <v>25</v>
      </c>
      <c r="J21" s="336" t="s">
        <v>26</v>
      </c>
      <c r="K21" s="337"/>
      <c r="L21" s="335"/>
      <c r="M21" s="338">
        <v>8.75</v>
      </c>
      <c r="N21" s="338">
        <v>10.75</v>
      </c>
      <c r="O21" s="339" t="str">
        <f t="shared" si="2"/>
        <v>2(23%)</v>
      </c>
      <c r="P21" s="343"/>
      <c r="Q21" s="348"/>
      <c r="R21" s="344" t="s">
        <v>96</v>
      </c>
    </row>
    <row r="22" ht="23" customHeight="1" spans="1:18">
      <c r="A22" s="331">
        <v>20</v>
      </c>
      <c r="B22" s="341"/>
      <c r="C22" s="335"/>
      <c r="D22" s="331"/>
      <c r="E22" s="334" t="s">
        <v>97</v>
      </c>
      <c r="F22" s="335" t="s">
        <v>55</v>
      </c>
      <c r="G22" s="335" t="s">
        <v>29</v>
      </c>
      <c r="H22" s="344" t="s">
        <v>52</v>
      </c>
      <c r="I22" s="335" t="s">
        <v>25</v>
      </c>
      <c r="J22" s="336" t="s">
        <v>26</v>
      </c>
      <c r="K22" s="337"/>
      <c r="L22" s="333"/>
      <c r="M22" s="338">
        <v>11.5</v>
      </c>
      <c r="N22" s="338">
        <v>15</v>
      </c>
      <c r="O22" s="339" t="str">
        <f t="shared" si="2"/>
        <v>3.5(30%)</v>
      </c>
      <c r="P22" s="340"/>
      <c r="Q22" s="334"/>
      <c r="R22" s="344"/>
    </row>
    <row r="23" ht="23" customHeight="1" spans="1:18">
      <c r="A23" s="331">
        <v>21</v>
      </c>
      <c r="B23" s="341"/>
      <c r="C23" s="335"/>
      <c r="D23" s="331"/>
      <c r="E23" s="334" t="s">
        <v>98</v>
      </c>
      <c r="F23" s="335" t="s">
        <v>63</v>
      </c>
      <c r="G23" s="335" t="s">
        <v>29</v>
      </c>
      <c r="H23" s="344" t="s">
        <v>52</v>
      </c>
      <c r="I23" s="335" t="s">
        <v>25</v>
      </c>
      <c r="J23" s="336" t="s">
        <v>26</v>
      </c>
      <c r="K23" s="337"/>
      <c r="L23" s="333"/>
      <c r="M23" s="338">
        <v>16.5</v>
      </c>
      <c r="N23" s="338">
        <v>19</v>
      </c>
      <c r="O23" s="339" t="str">
        <f t="shared" si="2"/>
        <v>2.5(15%)</v>
      </c>
      <c r="P23" s="340"/>
      <c r="Q23" s="334"/>
      <c r="R23" s="344"/>
    </row>
    <row r="24" ht="38.25" customHeight="1" spans="1:18">
      <c r="A24" s="353"/>
      <c r="B24" s="354"/>
      <c r="C24" s="355"/>
      <c r="D24" s="355"/>
      <c r="E24" s="355"/>
      <c r="F24" s="355"/>
      <c r="G24" s="355"/>
      <c r="H24" s="356"/>
      <c r="I24" s="356"/>
      <c r="J24" s="357"/>
      <c r="K24" s="357"/>
      <c r="L24" s="356" t="s">
        <v>99</v>
      </c>
      <c r="M24" s="357">
        <f>SUM(M3:M23)</f>
        <v>154</v>
      </c>
      <c r="N24" s="357">
        <f>SUM(N3:N23)</f>
        <v>208.63</v>
      </c>
      <c r="O24" s="357"/>
      <c r="P24" s="358" t="s">
        <v>100</v>
      </c>
      <c r="Q24" s="359">
        <f>N24/34/5</f>
        <v>1.22723529411765</v>
      </c>
      <c r="R24" s="360"/>
    </row>
    <row r="25" ht="29" customHeight="1" spans="1:18">
      <c r="A25" s="361">
        <v>22</v>
      </c>
      <c r="B25" s="349" t="s">
        <v>101</v>
      </c>
      <c r="C25" s="349" t="s">
        <v>102</v>
      </c>
      <c r="D25" s="362" t="s">
        <v>103</v>
      </c>
      <c r="E25" s="363" t="s">
        <v>104</v>
      </c>
      <c r="F25" s="364" t="s">
        <v>105</v>
      </c>
      <c r="G25" s="364" t="s">
        <v>29</v>
      </c>
      <c r="H25" s="364" t="s">
        <v>106</v>
      </c>
      <c r="I25" s="364" t="s">
        <v>25</v>
      </c>
      <c r="J25" s="365">
        <v>0.5</v>
      </c>
      <c r="K25" s="366"/>
      <c r="L25" s="364"/>
      <c r="M25" s="362">
        <v>0</v>
      </c>
      <c r="N25" s="362"/>
      <c r="O25" s="339" t="e">
        <f t="shared" ref="O25:O28" si="3">N25-M25&amp;"("&amp;ROUND(((N25-M25)/M25*100),0)&amp;"%)"</f>
        <v>#DIV/0!</v>
      </c>
      <c r="P25" s="367"/>
      <c r="Q25" s="363"/>
      <c r="R25" s="364"/>
    </row>
    <row r="26" ht="29" customHeight="1" spans="1:18">
      <c r="A26" s="361"/>
      <c r="B26" s="349"/>
      <c r="C26" s="349"/>
      <c r="D26" s="362"/>
      <c r="E26" s="363" t="s">
        <v>107</v>
      </c>
      <c r="F26" s="364" t="s">
        <v>108</v>
      </c>
      <c r="G26" s="364" t="s">
        <v>29</v>
      </c>
      <c r="H26" s="335" t="s">
        <v>76</v>
      </c>
      <c r="I26" s="364" t="s">
        <v>25</v>
      </c>
      <c r="J26" s="365" t="s">
        <v>23</v>
      </c>
      <c r="K26" s="366"/>
      <c r="L26" s="364"/>
      <c r="M26" s="338">
        <v>1.5</v>
      </c>
      <c r="N26" s="338">
        <v>1.2</v>
      </c>
      <c r="O26" s="339" t="str">
        <f t="shared" si="3"/>
        <v>-0.3(-20%)</v>
      </c>
      <c r="P26" s="367"/>
      <c r="Q26" s="363"/>
      <c r="R26" s="364" t="s">
        <v>109</v>
      </c>
    </row>
    <row r="27" ht="25" customHeight="1" spans="1:18">
      <c r="A27" s="331">
        <v>23</v>
      </c>
      <c r="B27" s="349"/>
      <c r="C27" s="349"/>
      <c r="D27" s="331"/>
      <c r="E27" s="334" t="s">
        <v>110</v>
      </c>
      <c r="F27" s="335" t="s">
        <v>111</v>
      </c>
      <c r="G27" s="364" t="s">
        <v>112</v>
      </c>
      <c r="H27" s="335" t="s">
        <v>106</v>
      </c>
      <c r="I27" s="335" t="s">
        <v>25</v>
      </c>
      <c r="J27" s="336"/>
      <c r="K27" s="337"/>
      <c r="L27" s="333"/>
      <c r="M27" s="368">
        <v>21</v>
      </c>
      <c r="N27" s="368">
        <v>25</v>
      </c>
      <c r="O27" s="339" t="str">
        <f t="shared" si="3"/>
        <v>4(19%)</v>
      </c>
      <c r="P27" s="340"/>
      <c r="Q27" s="334"/>
      <c r="R27" s="344"/>
    </row>
    <row r="28" ht="25" customHeight="1" spans="1:18">
      <c r="A28" s="369"/>
      <c r="B28" s="349"/>
      <c r="C28" s="349"/>
      <c r="D28" s="369"/>
      <c r="E28" s="370" t="s">
        <v>113</v>
      </c>
      <c r="F28" s="335" t="s">
        <v>111</v>
      </c>
      <c r="G28" s="364" t="s">
        <v>112</v>
      </c>
      <c r="H28" s="371" t="s">
        <v>106</v>
      </c>
      <c r="I28" s="371" t="s">
        <v>25</v>
      </c>
      <c r="J28" s="372"/>
      <c r="K28" s="373"/>
      <c r="L28" s="332"/>
      <c r="M28" s="368">
        <v>7</v>
      </c>
      <c r="N28" s="368">
        <v>5.13</v>
      </c>
      <c r="O28" s="339" t="str">
        <f t="shared" si="3"/>
        <v>-1.87(-27%)</v>
      </c>
      <c r="P28" s="374"/>
      <c r="Q28" s="370"/>
      <c r="R28" s="375"/>
    </row>
    <row r="29" ht="25" customHeight="1" spans="1:18">
      <c r="A29" s="369"/>
      <c r="B29" s="349"/>
      <c r="C29" s="349"/>
      <c r="D29" s="331">
        <v>22220901</v>
      </c>
      <c r="E29" s="334" t="s">
        <v>114</v>
      </c>
      <c r="F29" s="335" t="s">
        <v>22</v>
      </c>
      <c r="G29" s="335" t="s">
        <v>23</v>
      </c>
      <c r="H29" s="335" t="s">
        <v>24</v>
      </c>
      <c r="I29" s="335" t="s">
        <v>25</v>
      </c>
      <c r="J29" s="372"/>
      <c r="K29" s="373"/>
      <c r="L29" s="332"/>
      <c r="M29" s="368">
        <v>8.5</v>
      </c>
      <c r="N29" s="368">
        <v>6.5</v>
      </c>
      <c r="O29" s="376">
        <v>8.5</v>
      </c>
      <c r="P29" s="374"/>
      <c r="Q29" s="370"/>
      <c r="R29" s="375"/>
    </row>
    <row r="30" ht="25" customHeight="1" spans="1:18">
      <c r="A30" s="369"/>
      <c r="B30" s="349"/>
      <c r="C30" s="349"/>
      <c r="D30" s="369">
        <v>22220905</v>
      </c>
      <c r="E30" s="374" t="s">
        <v>115</v>
      </c>
      <c r="F30" s="371" t="s">
        <v>71</v>
      </c>
      <c r="G30" s="335" t="s">
        <v>23</v>
      </c>
      <c r="H30" s="371" t="s">
        <v>76</v>
      </c>
      <c r="I30" s="371" t="s">
        <v>25</v>
      </c>
      <c r="J30" s="372"/>
      <c r="K30" s="373"/>
      <c r="L30" s="332"/>
      <c r="M30" s="368"/>
      <c r="N30" s="368">
        <v>2.5</v>
      </c>
      <c r="O30" s="376"/>
      <c r="P30" s="374"/>
      <c r="Q30" s="370"/>
      <c r="R30" s="375"/>
    </row>
    <row r="31" ht="41" customHeight="1" spans="1:18">
      <c r="A31" s="353"/>
      <c r="B31" s="377"/>
      <c r="C31" s="355"/>
      <c r="D31" s="355"/>
      <c r="E31" s="355"/>
      <c r="F31" s="355"/>
      <c r="G31" s="355"/>
      <c r="H31" s="356"/>
      <c r="I31" s="356"/>
      <c r="J31" s="357"/>
      <c r="K31" s="357"/>
      <c r="L31" s="356" t="s">
        <v>99</v>
      </c>
      <c r="M31" s="357">
        <f>SUM(M25:M30)</f>
        <v>38</v>
      </c>
      <c r="N31" s="357">
        <f>SUM(N25:N30)</f>
        <v>40.33</v>
      </c>
      <c r="O31" s="357"/>
      <c r="P31" s="358" t="s">
        <v>100</v>
      </c>
      <c r="Q31" s="359">
        <f>N31/10/4</f>
        <v>1.00825</v>
      </c>
      <c r="R31" s="360"/>
    </row>
    <row r="32" ht="23" customHeight="1" spans="1:18">
      <c r="A32" s="361">
        <v>24</v>
      </c>
      <c r="B32" s="349" t="s">
        <v>116</v>
      </c>
      <c r="C32" s="378" t="s">
        <v>102</v>
      </c>
      <c r="D32" s="362" t="s">
        <v>117</v>
      </c>
      <c r="E32" s="379" t="s">
        <v>118</v>
      </c>
      <c r="F32" s="364" t="s">
        <v>119</v>
      </c>
      <c r="G32" s="380" t="s">
        <v>29</v>
      </c>
      <c r="H32" s="364" t="s">
        <v>76</v>
      </c>
      <c r="I32" s="364" t="s">
        <v>25</v>
      </c>
      <c r="J32" s="365">
        <v>0.92</v>
      </c>
      <c r="K32" s="366" t="s">
        <v>31</v>
      </c>
      <c r="L32" s="364"/>
      <c r="M32" s="362">
        <v>16.75</v>
      </c>
      <c r="N32" s="362">
        <v>13.75</v>
      </c>
      <c r="O32" s="366" t="str">
        <f>ROUND(N32-M32,2)&amp;"("&amp;ROUND(((N32-M32)/M32)*100,0)&amp;"%)"</f>
        <v>-3(-18%)</v>
      </c>
      <c r="P32" s="381"/>
      <c r="Q32" s="363"/>
      <c r="R32" s="364"/>
    </row>
    <row r="33" ht="23" customHeight="1" spans="1:18">
      <c r="A33" s="361">
        <v>25</v>
      </c>
      <c r="B33" s="349"/>
      <c r="C33" s="333"/>
      <c r="D33" s="331">
        <v>21250418</v>
      </c>
      <c r="E33" s="348" t="s">
        <v>120</v>
      </c>
      <c r="F33" s="335" t="s">
        <v>121</v>
      </c>
      <c r="G33" s="335" t="s">
        <v>29</v>
      </c>
      <c r="H33" s="335" t="s">
        <v>83</v>
      </c>
      <c r="I33" s="335" t="s">
        <v>25</v>
      </c>
      <c r="J33" s="336" t="s">
        <v>26</v>
      </c>
      <c r="K33" s="331" t="s">
        <v>78</v>
      </c>
      <c r="L33" s="344"/>
      <c r="M33" s="338">
        <v>9.75</v>
      </c>
      <c r="N33" s="338">
        <v>11.8</v>
      </c>
      <c r="O33" s="366" t="str">
        <f>ROUND(N33-M33,2)&amp;"("&amp;ROUND(((N33-M33)/M33)*100,0)&amp;"%)"</f>
        <v>2.05(21%)</v>
      </c>
      <c r="P33" s="382"/>
      <c r="Q33" s="348"/>
      <c r="R33" s="343"/>
    </row>
    <row r="34" ht="23" customHeight="1" spans="1:18">
      <c r="A34" s="361">
        <v>26</v>
      </c>
      <c r="B34" s="349"/>
      <c r="C34" s="333"/>
      <c r="D34" s="338" t="s">
        <v>122</v>
      </c>
      <c r="E34" s="334" t="s">
        <v>123</v>
      </c>
      <c r="F34" s="344" t="s">
        <v>121</v>
      </c>
      <c r="G34" s="343" t="s">
        <v>29</v>
      </c>
      <c r="H34" s="344" t="s">
        <v>76</v>
      </c>
      <c r="I34" s="344" t="s">
        <v>25</v>
      </c>
      <c r="J34" s="346">
        <v>0.95</v>
      </c>
      <c r="K34" s="339" t="s">
        <v>31</v>
      </c>
      <c r="L34" s="344"/>
      <c r="M34" s="338"/>
      <c r="N34" s="338">
        <v>9</v>
      </c>
      <c r="O34" s="366" t="e">
        <f>ROUND(N34-M34,2)&amp;"("&amp;ROUND(((N34-M34)/M34)*100,0)&amp;"%)"</f>
        <v>#DIV/0!</v>
      </c>
      <c r="P34" s="382"/>
      <c r="Q34" s="348"/>
      <c r="R34" s="343"/>
    </row>
    <row r="35" ht="23" customHeight="1" spans="1:18">
      <c r="A35" s="361">
        <v>27</v>
      </c>
      <c r="B35" s="349"/>
      <c r="C35" s="333"/>
      <c r="D35" s="338" t="s">
        <v>124</v>
      </c>
      <c r="E35" s="348" t="s">
        <v>125</v>
      </c>
      <c r="F35" s="344" t="s">
        <v>121</v>
      </c>
      <c r="G35" s="343" t="s">
        <v>29</v>
      </c>
      <c r="H35" s="344" t="s">
        <v>30</v>
      </c>
      <c r="I35" s="344" t="s">
        <v>25</v>
      </c>
      <c r="J35" s="346">
        <v>0.95</v>
      </c>
      <c r="K35" s="339"/>
      <c r="L35" s="344"/>
      <c r="M35" s="338">
        <v>14</v>
      </c>
      <c r="N35" s="338">
        <v>11</v>
      </c>
      <c r="O35" s="366" t="str">
        <f>ROUND(N35-M35,2)&amp;"("&amp;ROUND(((N35-M35)/M35)*100,0)&amp;"%)"</f>
        <v>-3(-21%)</v>
      </c>
      <c r="P35" s="382"/>
      <c r="Q35" s="348"/>
      <c r="R35" s="343" t="s">
        <v>126</v>
      </c>
    </row>
    <row r="36" ht="23" customHeight="1" spans="1:18">
      <c r="A36" s="361">
        <v>28</v>
      </c>
      <c r="B36" s="349"/>
      <c r="C36" s="333"/>
      <c r="D36" s="331" t="s">
        <v>127</v>
      </c>
      <c r="E36" s="334" t="s">
        <v>128</v>
      </c>
      <c r="F36" s="344" t="s">
        <v>121</v>
      </c>
      <c r="G36" s="335" t="s">
        <v>29</v>
      </c>
      <c r="H36" s="335" t="s">
        <v>24</v>
      </c>
      <c r="I36" s="344" t="s">
        <v>25</v>
      </c>
      <c r="J36" s="346">
        <v>0.3</v>
      </c>
      <c r="K36" s="331" t="s">
        <v>78</v>
      </c>
      <c r="L36" s="334"/>
      <c r="M36" s="331"/>
      <c r="N36" s="331">
        <v>2.5</v>
      </c>
      <c r="O36" s="366" t="e">
        <f>ROUND(N36-M36,2)&amp;"("&amp;ROUND(((N36-M36)/M36)*100,0)&amp;"%)"</f>
        <v>#DIV/0!</v>
      </c>
      <c r="P36" s="334"/>
      <c r="Q36" s="348"/>
      <c r="R36" s="343"/>
    </row>
    <row r="37" ht="23" customHeight="1" spans="1:18">
      <c r="A37" s="361">
        <v>29</v>
      </c>
      <c r="B37" s="349"/>
      <c r="C37" s="333"/>
      <c r="D37" s="331" t="s">
        <v>129</v>
      </c>
      <c r="E37" s="334" t="s">
        <v>130</v>
      </c>
      <c r="F37" s="335" t="s">
        <v>121</v>
      </c>
      <c r="G37" s="335" t="s">
        <v>29</v>
      </c>
      <c r="H37" s="344" t="s">
        <v>52</v>
      </c>
      <c r="I37" s="335" t="s">
        <v>25</v>
      </c>
      <c r="J37" s="336" t="s">
        <v>131</v>
      </c>
      <c r="K37" s="337" t="s">
        <v>78</v>
      </c>
      <c r="L37" s="333"/>
      <c r="M37" s="331"/>
      <c r="N37" s="331"/>
      <c r="O37" s="366"/>
      <c r="P37" s="340"/>
      <c r="Q37" s="334"/>
      <c r="R37" s="343"/>
    </row>
    <row r="38" ht="23" customHeight="1" spans="1:18">
      <c r="A38" s="361">
        <v>30</v>
      </c>
      <c r="B38" s="349"/>
      <c r="C38" s="333"/>
      <c r="D38" s="331">
        <v>21250417</v>
      </c>
      <c r="E38" s="334" t="s">
        <v>132</v>
      </c>
      <c r="F38" s="335" t="s">
        <v>133</v>
      </c>
      <c r="G38" s="335" t="s">
        <v>29</v>
      </c>
      <c r="H38" s="344" t="s">
        <v>24</v>
      </c>
      <c r="I38" s="335" t="s">
        <v>25</v>
      </c>
      <c r="J38" s="336" t="s">
        <v>26</v>
      </c>
      <c r="K38" s="331" t="s">
        <v>78</v>
      </c>
      <c r="L38" s="334"/>
      <c r="M38" s="331"/>
      <c r="N38" s="331"/>
      <c r="O38" s="366"/>
      <c r="P38" s="334"/>
      <c r="Q38" s="334"/>
      <c r="R38" s="343"/>
    </row>
    <row r="39" ht="23" customHeight="1" spans="1:18">
      <c r="A39" s="361">
        <v>31</v>
      </c>
      <c r="B39" s="349"/>
      <c r="C39" s="333"/>
      <c r="D39" s="331"/>
      <c r="E39" s="348" t="s">
        <v>134</v>
      </c>
      <c r="F39" s="344"/>
      <c r="G39" s="343" t="s">
        <v>35</v>
      </c>
      <c r="H39" s="344" t="s">
        <v>68</v>
      </c>
      <c r="I39" s="335"/>
      <c r="J39" s="336"/>
      <c r="K39" s="337"/>
      <c r="L39" s="333"/>
      <c r="M39" s="331"/>
      <c r="N39" s="331"/>
      <c r="O39" s="366"/>
      <c r="P39" s="340"/>
      <c r="Q39" s="334"/>
      <c r="R39" s="343" t="s">
        <v>135</v>
      </c>
    </row>
    <row r="40" ht="23" customHeight="1" spans="1:18">
      <c r="A40" s="361">
        <v>32</v>
      </c>
      <c r="B40" s="349"/>
      <c r="C40" s="333"/>
      <c r="D40" s="331"/>
      <c r="E40" s="348" t="s">
        <v>136</v>
      </c>
      <c r="F40" s="335"/>
      <c r="G40" s="335" t="s">
        <v>137</v>
      </c>
      <c r="H40" s="335" t="s">
        <v>138</v>
      </c>
      <c r="I40" s="335"/>
      <c r="J40" s="336"/>
      <c r="K40" s="337"/>
      <c r="L40" s="333"/>
      <c r="M40" s="331"/>
      <c r="N40" s="331"/>
      <c r="O40" s="366"/>
      <c r="P40" s="340"/>
      <c r="Q40" s="334"/>
      <c r="R40" s="343"/>
    </row>
    <row r="41" ht="23" customHeight="1" spans="1:18">
      <c r="A41" s="361">
        <v>33</v>
      </c>
      <c r="B41" s="349"/>
      <c r="C41" s="383" t="s">
        <v>92</v>
      </c>
      <c r="D41" s="384"/>
      <c r="E41" s="334" t="s">
        <v>139</v>
      </c>
      <c r="F41" s="335" t="s">
        <v>140</v>
      </c>
      <c r="G41" s="335" t="s">
        <v>29</v>
      </c>
      <c r="H41" s="344"/>
      <c r="I41" s="344"/>
      <c r="J41" s="346"/>
      <c r="K41" s="339"/>
      <c r="L41" s="344"/>
      <c r="M41" s="338"/>
      <c r="N41" s="338">
        <v>1.5</v>
      </c>
      <c r="O41" s="366"/>
      <c r="P41" s="382"/>
      <c r="Q41" s="348"/>
      <c r="R41" s="343"/>
    </row>
    <row r="42" ht="47" customHeight="1" spans="1:18">
      <c r="A42" s="353"/>
      <c r="B42" s="377"/>
      <c r="C42" s="355"/>
      <c r="D42" s="355"/>
      <c r="E42" s="355"/>
      <c r="F42" s="355"/>
      <c r="G42" s="355"/>
      <c r="H42" s="356"/>
      <c r="I42" s="356"/>
      <c r="J42" s="357"/>
      <c r="K42" s="357"/>
      <c r="L42" s="356" t="s">
        <v>99</v>
      </c>
      <c r="M42" s="357">
        <f>SUM(M32:M41)</f>
        <v>40.5</v>
      </c>
      <c r="N42" s="357">
        <f>SUM(N32:N41)</f>
        <v>49.55</v>
      </c>
      <c r="O42" s="357"/>
      <c r="P42" s="358" t="s">
        <v>100</v>
      </c>
      <c r="Q42" s="359">
        <f>N42/7/4</f>
        <v>1.76964285714286</v>
      </c>
      <c r="R42" s="360"/>
    </row>
    <row r="43" ht="28" customHeight="1" spans="1:18">
      <c r="A43" s="361">
        <v>34</v>
      </c>
      <c r="B43" s="349" t="s">
        <v>141</v>
      </c>
      <c r="C43" s="385" t="s">
        <v>102</v>
      </c>
      <c r="D43" s="361">
        <v>22210906</v>
      </c>
      <c r="E43" s="379" t="s">
        <v>142</v>
      </c>
      <c r="F43" s="385" t="s">
        <v>60</v>
      </c>
      <c r="G43" s="385" t="s">
        <v>23</v>
      </c>
      <c r="H43" s="385" t="s">
        <v>76</v>
      </c>
      <c r="I43" s="385" t="s">
        <v>25</v>
      </c>
      <c r="J43" s="386" t="s">
        <v>23</v>
      </c>
      <c r="K43" s="361"/>
      <c r="L43" s="385"/>
      <c r="M43" s="362">
        <v>38</v>
      </c>
      <c r="N43" s="362">
        <v>38.5</v>
      </c>
      <c r="O43" s="387" t="str">
        <f>N43-M43&amp;"("&amp;ROUND(((N43-M43)/M43*100),0)&amp;"%)"</f>
        <v>0.5(1%)</v>
      </c>
      <c r="P43" s="388"/>
      <c r="Q43" s="379"/>
      <c r="R43" s="378"/>
    </row>
    <row r="44" ht="40" customHeight="1" spans="1:18">
      <c r="A44" s="353"/>
      <c r="B44" s="354"/>
      <c r="C44" s="355"/>
      <c r="D44" s="355"/>
      <c r="E44" s="355"/>
      <c r="F44" s="355"/>
      <c r="G44" s="355"/>
      <c r="H44" s="356"/>
      <c r="I44" s="356"/>
      <c r="J44" s="357"/>
      <c r="K44" s="357"/>
      <c r="L44" s="356" t="s">
        <v>99</v>
      </c>
      <c r="M44" s="357">
        <f>SUM(M43:M43)</f>
        <v>38</v>
      </c>
      <c r="N44" s="357">
        <f>SUM(N43)</f>
        <v>38.5</v>
      </c>
      <c r="O44" s="357"/>
      <c r="P44" s="358" t="s">
        <v>100</v>
      </c>
      <c r="Q44" s="359">
        <f>N44/22/4</f>
        <v>0.4375</v>
      </c>
      <c r="R44" s="360"/>
    </row>
    <row r="45" ht="43.2" customHeight="1" spans="1:18">
      <c r="A45" s="389"/>
      <c r="B45" s="390"/>
      <c r="C45" s="390"/>
      <c r="D45" s="389"/>
      <c r="E45" s="391"/>
      <c r="F45" s="390"/>
    </row>
    <row r="46" ht="43.2" customHeight="1" spans="1:18">
      <c r="A46" s="389"/>
      <c r="B46" s="390"/>
      <c r="C46" s="390"/>
      <c r="D46" s="389"/>
      <c r="E46" s="391"/>
      <c r="F46" s="390"/>
    </row>
    <row r="47" ht="15.6" spans="1:18">
      <c r="A47" s="392"/>
      <c r="B47" s="391"/>
      <c r="C47" s="391"/>
      <c r="D47" s="392"/>
      <c r="E47" s="391"/>
      <c r="F47" s="391"/>
    </row>
    <row r="48" ht="15.6" customHeight="1" spans="1:18">
      <c r="A48" s="392"/>
      <c r="B48" s="391"/>
      <c r="C48" s="391"/>
      <c r="D48" s="392"/>
      <c r="E48" s="391"/>
      <c r="F48" s="391"/>
    </row>
    <row r="49" ht="15.6" spans="1:6">
      <c r="A49" s="392"/>
      <c r="B49" s="391"/>
      <c r="C49" s="391"/>
      <c r="D49" s="392"/>
      <c r="E49" s="391"/>
      <c r="F49" s="391"/>
    </row>
    <row r="50" ht="15.6" spans="1:6">
      <c r="A50" s="392"/>
      <c r="B50" s="391"/>
      <c r="C50" s="391"/>
      <c r="D50" s="392"/>
      <c r="E50" s="391"/>
      <c r="F50" s="391"/>
    </row>
    <row r="51" ht="15.6" spans="1:6">
      <c r="A51" s="392"/>
      <c r="B51" s="391"/>
      <c r="C51" s="391"/>
      <c r="D51" s="392"/>
      <c r="E51" s="391"/>
      <c r="F51" s="391"/>
    </row>
    <row r="52" ht="15.6" spans="1:6">
      <c r="A52" s="392"/>
      <c r="B52" s="391"/>
      <c r="C52" s="391"/>
      <c r="D52" s="392"/>
      <c r="E52" s="391"/>
      <c r="F52" s="391"/>
    </row>
    <row r="53" spans="1:6">
      <c r="A53" s="43"/>
      <c r="B53" s="393"/>
      <c r="C53" s="393"/>
      <c r="D53" s="43"/>
      <c r="E53" s="393"/>
      <c r="F53" s="393"/>
    </row>
    <row r="54" spans="1:6">
      <c r="A54" s="43"/>
      <c r="B54" s="393"/>
      <c r="C54" s="393"/>
      <c r="D54" s="43"/>
      <c r="E54" s="393"/>
      <c r="F54" s="393"/>
    </row>
  </sheetData>
  <mergeCells count="27">
    <mergeCell ref="A1:R1"/>
    <mergeCell ref="C24:G24"/>
    <mergeCell ref="H24:I24"/>
    <mergeCell ref="J24:K24"/>
    <mergeCell ref="C31:G31"/>
    <mergeCell ref="H31:I31"/>
    <mergeCell ref="J31:K31"/>
    <mergeCell ref="C41:D41"/>
    <mergeCell ref="C42:G42"/>
    <mergeCell ref="H42:I42"/>
    <mergeCell ref="J42:K42"/>
    <mergeCell ref="C44:G44"/>
    <mergeCell ref="H44:I44"/>
    <mergeCell ref="J44:K44"/>
    <mergeCell ref="B3:B24"/>
    <mergeCell ref="B25:B31"/>
    <mergeCell ref="B32:B42"/>
    <mergeCell ref="B43:B44"/>
    <mergeCell ref="C3:C6"/>
    <mergeCell ref="C7:C10"/>
    <mergeCell ref="C11:C13"/>
    <mergeCell ref="C14:C17"/>
    <mergeCell ref="C18:C19"/>
    <mergeCell ref="C20:C23"/>
    <mergeCell ref="C25:C30"/>
    <mergeCell ref="C32:C40"/>
    <mergeCell ref="D20:D23"/>
  </mergeCells>
  <dataValidations count="7">
    <dataValidation type="list" allowBlank="1" showInputMessage="1" showErrorMessage="1" sqref="H8 H43 H12:H13">
      <formula1>"售前,立项,需求,开发,发布,实施,验收"</formula1>
    </dataValidation>
    <dataValidation type="list" allowBlank="1" showInputMessage="1" showErrorMessage="1" sqref="H9 H32 H19:H23 H34:H35 H37:H39">
      <formula1>"售前,立项,需求,开发,发布,实施,验收,上线运行,维护"</formula1>
    </dataValidation>
    <dataValidation type="list" allowBlank="1" showInputMessage="1" showErrorMessage="1" sqref="H25 H33 H41">
      <formula1>"售前,立项,需求,设计,开发,发布,实施,验收"</formula1>
    </dataValidation>
    <dataValidation type="list" allowBlank="1" showInputMessage="1" showErrorMessage="1" sqref="H36 H3:H7 H10:H11 H14:H18 H26:H30">
      <formula1>"售前,立项,需求,开发,发布,实施,验收,上线运行"</formula1>
    </dataValidation>
    <dataValidation type="list" allowBlank="1" showInputMessage="1" showErrorMessage="1" sqref="I36">
      <formula1>"长期项目,正常,提前,延迟,严重延迟,暂停"</formula1>
    </dataValidation>
    <dataValidation type="list" allowBlank="1" showInputMessage="1" showErrorMessage="1" sqref="H40">
      <formula1>"售前,立项,需求,设计,开发,发布,实施,验收,挂起,暂停"</formula1>
    </dataValidation>
    <dataValidation type="list" allowBlank="1" showInputMessage="1" showErrorMessage="1" sqref="I43 I3:I23 I25:I30 I32:I35 I37:I41">
      <formula1>"长期项目,正常,提前,延迟,严重延迟"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46"/>
  <sheetViews>
    <sheetView workbookViewId="0">
      <pane ySplit="1" topLeftCell="A2" activePane="bottomLeft" state="frozen"/>
      <selection/>
      <selection pane="bottomLeft" activeCell="C39" sqref="C39:C44"/>
    </sheetView>
  </sheetViews>
  <sheetFormatPr defaultColWidth="9.11111111111111" defaultRowHeight="13.2"/>
  <cols>
    <col min="1" max="1" width="22.4444444444444" style="274" customWidth="1"/>
    <col min="2" max="2" width="11.6666666666667" style="274" customWidth="1"/>
    <col min="3" max="5" width="9.11111111111111" style="274"/>
    <col min="6" max="6" width="19.5555555555556" style="274" customWidth="1"/>
    <col min="7" max="7" width="9.11111111111111" style="274"/>
    <col min="8" max="8" width="69.7777777777778" style="274" customWidth="1"/>
    <col min="9" max="11" width="9.11111111111111" style="274"/>
    <col min="12" max="12" width="30.4444444444444" style="275" customWidth="1"/>
    <col min="13" max="16384" width="9.11111111111111" style="274"/>
  </cols>
  <sheetData>
    <row r="1" ht="69.6" spans="1:26">
      <c r="A1" s="276" t="s">
        <v>143</v>
      </c>
      <c r="B1" s="277" t="s">
        <v>6</v>
      </c>
      <c r="C1" s="276" t="s">
        <v>144</v>
      </c>
      <c r="D1" s="276" t="s">
        <v>145</v>
      </c>
      <c r="E1" s="277" t="s">
        <v>146</v>
      </c>
      <c r="F1" s="276" t="s">
        <v>147</v>
      </c>
      <c r="G1" s="276" t="s">
        <v>1</v>
      </c>
      <c r="H1" s="278" t="s">
        <v>148</v>
      </c>
      <c r="I1" s="276" t="s">
        <v>149</v>
      </c>
      <c r="J1" s="279" t="s">
        <v>150</v>
      </c>
      <c r="K1" s="276" t="s">
        <v>151</v>
      </c>
      <c r="L1" s="280" t="s">
        <v>152</v>
      </c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</row>
    <row r="2" ht="15.6" spans="1:26">
      <c r="A2" s="276" t="s">
        <v>153</v>
      </c>
      <c r="B2" s="282" t="s">
        <v>22</v>
      </c>
      <c r="C2" s="394" t="s">
        <v>154</v>
      </c>
      <c r="D2" s="283"/>
      <c r="E2" s="284" t="s">
        <v>155</v>
      </c>
      <c r="F2" s="283" t="s">
        <v>76</v>
      </c>
      <c r="G2" s="283">
        <v>1</v>
      </c>
      <c r="H2" s="285" t="s">
        <v>156</v>
      </c>
      <c r="I2" s="159" t="s">
        <v>22</v>
      </c>
      <c r="J2" s="286">
        <v>1</v>
      </c>
      <c r="K2" s="283"/>
      <c r="L2" s="282">
        <v>0.5</v>
      </c>
    </row>
    <row r="3" ht="30" spans="1:26">
      <c r="A3" s="276"/>
      <c r="B3" s="282"/>
      <c r="C3" s="283"/>
      <c r="D3" s="283"/>
      <c r="E3" s="284"/>
      <c r="F3" s="283"/>
      <c r="G3" s="283">
        <v>2</v>
      </c>
      <c r="H3" s="285" t="s">
        <v>157</v>
      </c>
      <c r="I3" s="159" t="s">
        <v>22</v>
      </c>
      <c r="J3" s="286">
        <v>1</v>
      </c>
      <c r="K3" s="283"/>
      <c r="L3" s="282">
        <v>1</v>
      </c>
    </row>
    <row r="4" ht="30" spans="1:26">
      <c r="A4" s="276"/>
      <c r="B4" s="282"/>
      <c r="C4" s="283"/>
      <c r="D4" s="283"/>
      <c r="E4" s="284"/>
      <c r="F4" s="283"/>
      <c r="G4" s="283">
        <v>3</v>
      </c>
      <c r="H4" s="285" t="s">
        <v>158</v>
      </c>
      <c r="I4" s="159" t="s">
        <v>22</v>
      </c>
      <c r="J4" s="286">
        <v>1</v>
      </c>
      <c r="K4" s="283"/>
      <c r="L4" s="282">
        <v>0.5</v>
      </c>
    </row>
    <row r="5" ht="30" spans="1:26">
      <c r="A5" s="276"/>
      <c r="B5" s="282"/>
      <c r="C5" s="283"/>
      <c r="D5" s="283"/>
      <c r="E5" s="284"/>
      <c r="F5" s="283"/>
      <c r="G5" s="283">
        <v>4</v>
      </c>
      <c r="H5" s="285" t="s">
        <v>159</v>
      </c>
      <c r="I5" s="159" t="s">
        <v>22</v>
      </c>
      <c r="J5" s="286">
        <v>1</v>
      </c>
      <c r="K5" s="283"/>
      <c r="L5" s="282">
        <v>0.5</v>
      </c>
    </row>
    <row r="6" ht="15.6" spans="1:26">
      <c r="A6" s="276"/>
      <c r="B6" s="282"/>
      <c r="C6" s="283"/>
      <c r="D6" s="283"/>
      <c r="E6" s="284"/>
      <c r="F6" s="283"/>
      <c r="G6" s="283">
        <v>5</v>
      </c>
      <c r="H6" s="285" t="s">
        <v>160</v>
      </c>
      <c r="I6" s="159" t="s">
        <v>22</v>
      </c>
      <c r="J6" s="286">
        <v>1</v>
      </c>
      <c r="K6" s="283"/>
      <c r="L6" s="282">
        <v>1</v>
      </c>
    </row>
    <row r="7" ht="15.6" spans="1:26">
      <c r="A7" s="276"/>
      <c r="B7" s="282"/>
      <c r="C7" s="283"/>
      <c r="D7" s="283"/>
      <c r="E7" s="284"/>
      <c r="F7" s="283"/>
      <c r="G7" s="283">
        <v>6</v>
      </c>
      <c r="H7" s="285" t="s">
        <v>161</v>
      </c>
      <c r="I7" s="159" t="s">
        <v>22</v>
      </c>
      <c r="J7" s="286">
        <v>1</v>
      </c>
      <c r="K7" s="283"/>
      <c r="L7" s="282">
        <v>1</v>
      </c>
    </row>
    <row r="8" ht="30" spans="1:26">
      <c r="A8" s="276"/>
      <c r="B8" s="282"/>
      <c r="C8" s="283"/>
      <c r="D8" s="283"/>
      <c r="E8" s="284"/>
      <c r="F8" s="283"/>
      <c r="G8" s="283">
        <v>7</v>
      </c>
      <c r="H8" s="287" t="s">
        <v>162</v>
      </c>
      <c r="I8" s="283" t="s">
        <v>163</v>
      </c>
      <c r="J8" s="286">
        <v>1</v>
      </c>
      <c r="K8" s="283"/>
      <c r="L8" s="282">
        <v>0.5</v>
      </c>
    </row>
    <row r="9" ht="15.6" spans="1:26">
      <c r="A9" s="276"/>
      <c r="B9" s="282"/>
      <c r="C9" s="283"/>
      <c r="D9" s="283"/>
      <c r="E9" s="284"/>
      <c r="F9" s="283"/>
      <c r="G9" s="283">
        <v>8</v>
      </c>
      <c r="H9" s="287" t="s">
        <v>164</v>
      </c>
      <c r="I9" s="283" t="s">
        <v>165</v>
      </c>
      <c r="J9" s="286">
        <v>1</v>
      </c>
      <c r="K9" s="283"/>
      <c r="L9" s="282">
        <v>0.5</v>
      </c>
    </row>
    <row r="10" ht="15.6" spans="1:26">
      <c r="A10" s="276"/>
      <c r="B10" s="282"/>
      <c r="C10" s="283"/>
      <c r="D10" s="283"/>
      <c r="E10" s="284"/>
      <c r="F10" s="283"/>
      <c r="G10" s="283">
        <v>10</v>
      </c>
      <c r="H10" s="287" t="s">
        <v>166</v>
      </c>
      <c r="I10" s="283" t="s">
        <v>167</v>
      </c>
      <c r="J10" s="286">
        <v>1</v>
      </c>
      <c r="K10" s="283"/>
      <c r="L10" s="282">
        <v>2</v>
      </c>
    </row>
    <row r="11" ht="15.6" spans="1:26">
      <c r="A11" s="276"/>
      <c r="B11" s="282"/>
      <c r="C11" s="283"/>
      <c r="D11" s="283"/>
      <c r="E11" s="284"/>
      <c r="F11" s="283"/>
      <c r="G11" s="283">
        <v>11</v>
      </c>
      <c r="H11" s="287" t="s">
        <v>168</v>
      </c>
      <c r="I11" s="283" t="s">
        <v>167</v>
      </c>
      <c r="J11" s="286">
        <v>1</v>
      </c>
      <c r="K11" s="283"/>
      <c r="L11" s="282">
        <v>2</v>
      </c>
    </row>
    <row r="12" ht="15.6" spans="1:26">
      <c r="A12" s="276"/>
      <c r="B12" s="282"/>
      <c r="C12" s="283"/>
      <c r="D12" s="283"/>
      <c r="E12" s="284"/>
      <c r="F12" s="283"/>
      <c r="G12" s="283">
        <v>12</v>
      </c>
      <c r="H12" s="287" t="s">
        <v>169</v>
      </c>
      <c r="I12" s="283" t="s">
        <v>167</v>
      </c>
      <c r="J12" s="286">
        <v>1</v>
      </c>
      <c r="K12" s="283"/>
      <c r="L12" s="282">
        <v>1</v>
      </c>
    </row>
    <row r="13" ht="15" spans="1:26">
      <c r="A13" s="276"/>
      <c r="B13" s="282"/>
      <c r="C13" s="283"/>
      <c r="D13" s="283"/>
      <c r="E13" s="170" t="s">
        <v>170</v>
      </c>
      <c r="F13" s="170"/>
      <c r="G13" s="170"/>
      <c r="H13" s="170"/>
      <c r="I13" s="170"/>
      <c r="J13" s="171"/>
      <c r="K13" s="172"/>
      <c r="L13" s="173">
        <f>SUM(L2:L12)</f>
        <v>10.5</v>
      </c>
    </row>
    <row r="14" ht="15.6" spans="1:26">
      <c r="A14" s="276"/>
      <c r="B14" s="282"/>
      <c r="C14" s="283"/>
      <c r="D14" s="283"/>
      <c r="E14" s="284" t="s">
        <v>171</v>
      </c>
      <c r="F14" s="284" t="s">
        <v>76</v>
      </c>
      <c r="G14" s="284">
        <v>1</v>
      </c>
      <c r="H14" s="288"/>
      <c r="I14" s="283"/>
      <c r="J14" s="289"/>
      <c r="K14" s="284"/>
      <c r="L14" s="290"/>
    </row>
    <row r="15" ht="15.6" spans="1:26">
      <c r="A15" s="276"/>
      <c r="B15" s="282"/>
      <c r="C15" s="283"/>
      <c r="D15" s="283"/>
      <c r="E15" s="284"/>
      <c r="F15" s="284"/>
      <c r="G15" s="284">
        <v>2</v>
      </c>
      <c r="H15" s="288"/>
      <c r="I15" s="284"/>
      <c r="J15" s="289"/>
      <c r="K15" s="284"/>
      <c r="L15" s="290"/>
    </row>
    <row r="16" ht="15.6" spans="1:26">
      <c r="A16" s="276" t="s">
        <v>172</v>
      </c>
      <c r="B16" s="282" t="s">
        <v>22</v>
      </c>
      <c r="C16" s="286">
        <v>0.93</v>
      </c>
      <c r="D16" s="283"/>
      <c r="E16" s="284" t="s">
        <v>155</v>
      </c>
      <c r="F16" s="291" t="s">
        <v>173</v>
      </c>
      <c r="G16" s="283">
        <v>1</v>
      </c>
      <c r="H16" s="292" t="s">
        <v>174</v>
      </c>
      <c r="I16" s="159" t="s">
        <v>22</v>
      </c>
      <c r="J16" s="286">
        <v>0.3</v>
      </c>
      <c r="K16" s="284"/>
      <c r="L16" s="282">
        <v>0.5</v>
      </c>
    </row>
    <row r="17" ht="45" spans="1:12">
      <c r="A17" s="276"/>
      <c r="B17" s="282"/>
      <c r="C17" s="286"/>
      <c r="D17" s="283"/>
      <c r="E17" s="284"/>
      <c r="F17" s="291" t="s">
        <v>175</v>
      </c>
      <c r="G17" s="283">
        <v>1</v>
      </c>
      <c r="H17" s="292" t="s">
        <v>176</v>
      </c>
      <c r="I17" s="159" t="s">
        <v>165</v>
      </c>
      <c r="J17" s="286">
        <v>1</v>
      </c>
      <c r="K17" s="284"/>
      <c r="L17" s="282">
        <v>4.5</v>
      </c>
    </row>
    <row r="18" ht="39" customHeight="1" spans="1:12">
      <c r="A18" s="276"/>
      <c r="B18" s="282"/>
      <c r="C18" s="283"/>
      <c r="D18" s="283"/>
      <c r="E18" s="284"/>
      <c r="F18" s="291" t="s">
        <v>177</v>
      </c>
      <c r="G18" s="293">
        <v>1</v>
      </c>
      <c r="H18" s="292" t="s">
        <v>178</v>
      </c>
      <c r="I18" s="293" t="s">
        <v>71</v>
      </c>
      <c r="J18" s="294">
        <v>1</v>
      </c>
      <c r="K18" s="295"/>
      <c r="L18" s="296">
        <v>1.5</v>
      </c>
    </row>
    <row r="19" ht="39" customHeight="1" spans="1:12">
      <c r="A19" s="276"/>
      <c r="B19" s="282"/>
      <c r="C19" s="283"/>
      <c r="D19" s="283"/>
      <c r="E19" s="284"/>
      <c r="F19" s="297"/>
      <c r="G19" s="293">
        <v>2</v>
      </c>
      <c r="H19" s="298"/>
      <c r="I19" s="293" t="s">
        <v>82</v>
      </c>
      <c r="J19" s="294">
        <v>1</v>
      </c>
      <c r="K19" s="295"/>
      <c r="L19" s="296">
        <v>3.625</v>
      </c>
    </row>
    <row r="20" ht="39" customHeight="1" spans="1:12">
      <c r="A20" s="276"/>
      <c r="B20" s="282"/>
      <c r="C20" s="283"/>
      <c r="D20" s="283"/>
      <c r="E20" s="284"/>
      <c r="F20" s="297"/>
      <c r="G20" s="293">
        <v>3</v>
      </c>
      <c r="H20" s="298"/>
      <c r="I20" s="293" t="s">
        <v>179</v>
      </c>
      <c r="J20" s="294">
        <v>1</v>
      </c>
      <c r="K20" s="295"/>
      <c r="L20" s="296">
        <v>4</v>
      </c>
    </row>
    <row r="21" ht="39" customHeight="1" spans="1:12">
      <c r="A21" s="276"/>
      <c r="B21" s="282"/>
      <c r="C21" s="283"/>
      <c r="D21" s="283"/>
      <c r="E21" s="284"/>
      <c r="F21" s="299"/>
      <c r="G21" s="293">
        <v>4</v>
      </c>
      <c r="H21" s="300"/>
      <c r="I21" s="293" t="s">
        <v>180</v>
      </c>
      <c r="J21" s="294">
        <v>1</v>
      </c>
      <c r="K21" s="295"/>
      <c r="L21" s="296">
        <v>1</v>
      </c>
    </row>
    <row r="22" ht="30" spans="1:12">
      <c r="A22" s="276"/>
      <c r="B22" s="282"/>
      <c r="C22" s="283"/>
      <c r="D22" s="283"/>
      <c r="E22" s="284"/>
      <c r="F22" s="159" t="s">
        <v>181</v>
      </c>
      <c r="G22" s="293">
        <v>1</v>
      </c>
      <c r="H22" s="285" t="s">
        <v>182</v>
      </c>
      <c r="I22" s="159" t="s">
        <v>183</v>
      </c>
      <c r="J22" s="294">
        <v>1</v>
      </c>
      <c r="K22" s="295"/>
      <c r="L22" s="296">
        <v>2.5</v>
      </c>
    </row>
    <row r="23" ht="15" spans="1:12">
      <c r="A23" s="276"/>
      <c r="B23" s="282"/>
      <c r="C23" s="283"/>
      <c r="D23" s="283"/>
      <c r="E23" s="284"/>
      <c r="F23" s="159"/>
      <c r="G23" s="293">
        <v>2</v>
      </c>
      <c r="H23" s="285" t="s">
        <v>184</v>
      </c>
      <c r="I23" s="159" t="s">
        <v>163</v>
      </c>
      <c r="J23" s="294">
        <v>0.7</v>
      </c>
      <c r="K23" s="295"/>
      <c r="L23" s="296">
        <v>1.5</v>
      </c>
    </row>
    <row r="24" ht="30" spans="1:12">
      <c r="A24" s="276"/>
      <c r="B24" s="282"/>
      <c r="C24" s="283"/>
      <c r="D24" s="283"/>
      <c r="E24" s="284"/>
      <c r="F24" s="159"/>
      <c r="G24" s="293">
        <v>3</v>
      </c>
      <c r="H24" s="285" t="s">
        <v>185</v>
      </c>
      <c r="I24" s="159" t="s">
        <v>163</v>
      </c>
      <c r="J24" s="294">
        <v>1</v>
      </c>
      <c r="K24" s="295"/>
      <c r="L24" s="296">
        <v>3</v>
      </c>
    </row>
    <row r="25" ht="15" spans="1:12">
      <c r="A25" s="276"/>
      <c r="B25" s="282"/>
      <c r="C25" s="283"/>
      <c r="D25" s="283"/>
      <c r="E25" s="170" t="s">
        <v>170</v>
      </c>
      <c r="F25" s="170"/>
      <c r="G25" s="170"/>
      <c r="H25" s="170"/>
      <c r="I25" s="170"/>
      <c r="J25" s="171"/>
      <c r="K25" s="172"/>
      <c r="L25" s="173">
        <f>SUM(L16:L24)</f>
        <v>22.125</v>
      </c>
    </row>
    <row r="26" ht="15.6" spans="1:12">
      <c r="A26" s="276"/>
      <c r="B26" s="282"/>
      <c r="C26" s="283"/>
      <c r="D26" s="283"/>
      <c r="E26" s="284" t="s">
        <v>171</v>
      </c>
      <c r="F26" s="284" t="s">
        <v>76</v>
      </c>
      <c r="G26" s="284">
        <v>1</v>
      </c>
      <c r="H26" s="288"/>
      <c r="I26" s="283"/>
      <c r="J26" s="289"/>
      <c r="K26" s="284"/>
      <c r="L26" s="290"/>
    </row>
    <row r="27" ht="15" spans="1:12">
      <c r="A27" s="276"/>
      <c r="B27" s="282"/>
      <c r="C27" s="283"/>
      <c r="D27" s="283"/>
      <c r="E27" s="284"/>
      <c r="F27" s="284"/>
      <c r="G27" s="284">
        <v>2</v>
      </c>
      <c r="H27" s="287"/>
      <c r="I27" s="284"/>
      <c r="J27" s="289"/>
      <c r="K27" s="284"/>
      <c r="L27" s="290"/>
    </row>
    <row r="28" ht="15" spans="1:12">
      <c r="A28" s="276" t="s">
        <v>186</v>
      </c>
      <c r="B28" s="282" t="s">
        <v>34</v>
      </c>
      <c r="C28" s="283"/>
      <c r="D28" s="283"/>
      <c r="E28" s="284" t="s">
        <v>155</v>
      </c>
      <c r="F28" s="283" t="s">
        <v>187</v>
      </c>
      <c r="G28" s="283">
        <v>1</v>
      </c>
      <c r="H28" s="301"/>
      <c r="I28" s="159"/>
      <c r="J28" s="286"/>
      <c r="K28" s="284"/>
      <c r="L28" s="290"/>
    </row>
    <row r="29" ht="15" spans="1:12">
      <c r="A29" s="276"/>
      <c r="B29" s="282"/>
      <c r="C29" s="283"/>
      <c r="D29" s="283"/>
      <c r="E29" s="284"/>
      <c r="F29" s="283"/>
      <c r="G29" s="283">
        <v>2</v>
      </c>
      <c r="H29" s="287"/>
      <c r="I29" s="159"/>
      <c r="J29" s="286"/>
      <c r="K29" s="284"/>
      <c r="L29" s="290"/>
    </row>
    <row r="30" ht="15" spans="1:12">
      <c r="A30" s="276"/>
      <c r="B30" s="282"/>
      <c r="C30" s="283"/>
      <c r="D30" s="283"/>
      <c r="E30" s="170" t="s">
        <v>170</v>
      </c>
      <c r="F30" s="170"/>
      <c r="G30" s="170"/>
      <c r="H30" s="170"/>
      <c r="I30" s="170"/>
      <c r="J30" s="171"/>
      <c r="K30" s="172"/>
      <c r="L30" s="173">
        <f>SUM(L28:L29)</f>
        <v>0</v>
      </c>
    </row>
    <row r="31" ht="15.6" spans="1:12">
      <c r="A31" s="276"/>
      <c r="B31" s="282"/>
      <c r="C31" s="283"/>
      <c r="D31" s="283"/>
      <c r="E31" s="284" t="s">
        <v>171</v>
      </c>
      <c r="F31" s="284"/>
      <c r="G31" s="284"/>
      <c r="H31" s="288"/>
      <c r="I31" s="283"/>
      <c r="J31" s="289"/>
      <c r="K31" s="284"/>
      <c r="L31" s="290"/>
    </row>
    <row r="32" ht="15" spans="1:12">
      <c r="A32" s="276"/>
      <c r="B32" s="282"/>
      <c r="C32" s="283"/>
      <c r="D32" s="283"/>
      <c r="E32" s="284"/>
      <c r="F32" s="284"/>
      <c r="G32" s="284"/>
      <c r="H32" s="287"/>
      <c r="I32" s="284"/>
      <c r="J32" s="289"/>
      <c r="K32" s="284"/>
      <c r="L32" s="290"/>
    </row>
    <row r="33" ht="34.8" customHeight="1" spans="1:12">
      <c r="A33" s="276" t="s">
        <v>188</v>
      </c>
      <c r="B33" s="282" t="s">
        <v>34</v>
      </c>
      <c r="C33" s="283"/>
      <c r="D33" s="283"/>
      <c r="E33" s="284" t="s">
        <v>155</v>
      </c>
      <c r="F33" s="283" t="s">
        <v>187</v>
      </c>
      <c r="G33" s="283">
        <v>1</v>
      </c>
      <c r="H33" s="301"/>
      <c r="I33" s="159"/>
      <c r="J33" s="286"/>
      <c r="K33" s="284"/>
      <c r="L33" s="290"/>
    </row>
    <row r="34" ht="15" spans="1:12">
      <c r="A34" s="276"/>
      <c r="B34" s="282"/>
      <c r="C34" s="283"/>
      <c r="D34" s="283"/>
      <c r="E34" s="284"/>
      <c r="F34" s="283"/>
      <c r="G34" s="283">
        <v>2</v>
      </c>
      <c r="H34" s="287"/>
      <c r="I34" s="159"/>
      <c r="J34" s="286"/>
      <c r="K34" s="284"/>
      <c r="L34" s="290"/>
    </row>
    <row r="35" ht="15" spans="1:12">
      <c r="A35" s="276"/>
      <c r="B35" s="282"/>
      <c r="C35" s="283"/>
      <c r="D35" s="283"/>
      <c r="E35" s="284"/>
      <c r="F35" s="283"/>
      <c r="G35" s="283">
        <v>3</v>
      </c>
      <c r="H35" s="287"/>
      <c r="I35" s="159"/>
      <c r="J35" s="286"/>
      <c r="K35" s="284"/>
      <c r="L35" s="290"/>
    </row>
    <row r="36" ht="15" spans="1:12">
      <c r="A36" s="276"/>
      <c r="B36" s="282"/>
      <c r="C36" s="283"/>
      <c r="D36" s="283"/>
      <c r="E36" s="170" t="s">
        <v>170</v>
      </c>
      <c r="F36" s="170"/>
      <c r="G36" s="170"/>
      <c r="H36" s="170"/>
      <c r="I36" s="170"/>
      <c r="J36" s="171"/>
      <c r="K36" s="172"/>
      <c r="L36" s="173">
        <v>0</v>
      </c>
    </row>
    <row r="37" ht="15.6" spans="1:12">
      <c r="A37" s="276"/>
      <c r="B37" s="282"/>
      <c r="C37" s="283"/>
      <c r="D37" s="283"/>
      <c r="E37" s="284" t="s">
        <v>171</v>
      </c>
      <c r="F37" s="284"/>
      <c r="G37" s="284"/>
      <c r="H37" s="288"/>
      <c r="I37" s="283"/>
      <c r="J37" s="289"/>
      <c r="K37" s="284"/>
      <c r="L37" s="290"/>
    </row>
    <row r="38" ht="15" spans="1:12">
      <c r="A38" s="276"/>
      <c r="B38" s="282"/>
      <c r="C38" s="283"/>
      <c r="D38" s="283"/>
      <c r="E38" s="284"/>
      <c r="F38" s="284"/>
      <c r="G38" s="284"/>
      <c r="H38" s="287"/>
      <c r="I38" s="284"/>
      <c r="J38" s="289"/>
      <c r="K38" s="284"/>
      <c r="L38" s="290"/>
    </row>
    <row r="39" s="115" customFormat="1" customHeight="1" spans="1:12">
      <c r="A39" s="302" t="s">
        <v>189</v>
      </c>
      <c r="B39" s="303" t="s">
        <v>94</v>
      </c>
      <c r="C39" s="304"/>
      <c r="D39" s="305"/>
      <c r="E39" s="306" t="s">
        <v>155</v>
      </c>
      <c r="F39" s="125" t="s">
        <v>190</v>
      </c>
      <c r="G39" s="125">
        <v>1</v>
      </c>
      <c r="H39" s="139" t="s">
        <v>191</v>
      </c>
      <c r="I39" s="267" t="s">
        <v>94</v>
      </c>
      <c r="J39" s="129">
        <v>1</v>
      </c>
      <c r="K39" s="126"/>
      <c r="L39" s="268">
        <v>3</v>
      </c>
    </row>
    <row r="40" s="115" customFormat="1" customHeight="1" spans="1:12">
      <c r="A40" s="307"/>
      <c r="B40" s="308"/>
      <c r="C40" s="309"/>
      <c r="D40" s="310"/>
      <c r="E40" s="311"/>
      <c r="F40" s="125"/>
      <c r="G40" s="125"/>
      <c r="H40" s="139"/>
      <c r="I40" s="267" t="s">
        <v>192</v>
      </c>
      <c r="J40" s="129">
        <v>1</v>
      </c>
      <c r="K40" s="126"/>
      <c r="L40" s="268">
        <v>5</v>
      </c>
    </row>
    <row r="41" s="115" customFormat="1" customHeight="1" spans="1:12">
      <c r="A41" s="307"/>
      <c r="B41" s="308"/>
      <c r="C41" s="309"/>
      <c r="D41" s="310"/>
      <c r="E41" s="311"/>
      <c r="F41" s="125"/>
      <c r="G41" s="125"/>
      <c r="H41" s="139"/>
      <c r="I41" s="267" t="s">
        <v>193</v>
      </c>
      <c r="J41" s="129">
        <v>1</v>
      </c>
      <c r="K41" s="126"/>
      <c r="L41" s="268">
        <v>6</v>
      </c>
    </row>
    <row r="42" s="115" customFormat="1" ht="159" customHeight="1" spans="1:12">
      <c r="A42" s="307"/>
      <c r="B42" s="308"/>
      <c r="C42" s="309"/>
      <c r="D42" s="310"/>
      <c r="E42" s="311"/>
      <c r="F42" s="126" t="s">
        <v>194</v>
      </c>
      <c r="G42" s="125">
        <v>1</v>
      </c>
      <c r="H42" s="139" t="s">
        <v>195</v>
      </c>
      <c r="I42" s="267" t="s">
        <v>196</v>
      </c>
      <c r="J42" s="129">
        <v>1</v>
      </c>
      <c r="K42" s="126"/>
      <c r="L42" s="130">
        <v>4</v>
      </c>
    </row>
    <row r="43" s="115" customFormat="1" ht="129.6" customHeight="1" spans="1:12">
      <c r="A43" s="307"/>
      <c r="B43" s="308"/>
      <c r="C43" s="309"/>
      <c r="D43" s="310"/>
      <c r="E43" s="312"/>
      <c r="F43" s="126"/>
      <c r="G43" s="125"/>
      <c r="H43" s="139"/>
      <c r="I43" s="267" t="s">
        <v>197</v>
      </c>
      <c r="J43" s="129">
        <v>1</v>
      </c>
      <c r="K43" s="126"/>
      <c r="L43" s="130">
        <v>4</v>
      </c>
    </row>
    <row r="44" s="115" customFormat="1" customHeight="1" spans="1:12">
      <c r="A44" s="313"/>
      <c r="B44" s="314"/>
      <c r="C44" s="315"/>
      <c r="D44" s="316"/>
      <c r="E44" s="132" t="s">
        <v>170</v>
      </c>
      <c r="F44" s="132"/>
      <c r="G44" s="132"/>
      <c r="H44" s="132"/>
      <c r="I44" s="132"/>
      <c r="J44" s="133"/>
      <c r="K44" s="134"/>
      <c r="L44" s="135">
        <f>SUM(L39:L43)</f>
        <v>22</v>
      </c>
    </row>
    <row r="45" s="115" customFormat="1" ht="13.8" customHeight="1" spans="1:12">
      <c r="A45" s="317"/>
      <c r="B45" s="318"/>
      <c r="C45" s="319"/>
      <c r="D45" s="319"/>
      <c r="E45" s="126" t="s">
        <v>171</v>
      </c>
      <c r="F45" s="126"/>
      <c r="G45" s="126"/>
      <c r="H45" s="320"/>
      <c r="I45" s="125"/>
      <c r="J45" s="136"/>
      <c r="K45" s="126"/>
      <c r="L45" s="130"/>
    </row>
    <row r="46" s="115" customFormat="1" customHeight="1" spans="1:12">
      <c r="A46" s="317"/>
      <c r="B46" s="318"/>
      <c r="C46" s="319"/>
      <c r="D46" s="319"/>
      <c r="E46" s="126"/>
      <c r="F46" s="126"/>
      <c r="G46" s="126"/>
      <c r="H46" s="139"/>
      <c r="I46" s="126"/>
      <c r="J46" s="136"/>
      <c r="K46" s="126"/>
      <c r="L46" s="130"/>
    </row>
  </sheetData>
  <autoFilter xmlns:etc="http://www.wps.cn/officeDocument/2017/etCustomData" ref="A1:L38" etc:filterBottomFollowUsedRange="0">
    <extLst/>
  </autoFilter>
  <mergeCells count="52">
    <mergeCell ref="E13:H13"/>
    <mergeCell ref="E25:H25"/>
    <mergeCell ref="E30:H30"/>
    <mergeCell ref="E36:H36"/>
    <mergeCell ref="E44:H44"/>
    <mergeCell ref="A2:A15"/>
    <mergeCell ref="A16:A27"/>
    <mergeCell ref="A28:A32"/>
    <mergeCell ref="A33:A38"/>
    <mergeCell ref="A39:A44"/>
    <mergeCell ref="B2:B15"/>
    <mergeCell ref="B16:B27"/>
    <mergeCell ref="B28:B32"/>
    <mergeCell ref="B33:B38"/>
    <mergeCell ref="B39:B44"/>
    <mergeCell ref="C2:C15"/>
    <mergeCell ref="C16:C27"/>
    <mergeCell ref="C28:C32"/>
    <mergeCell ref="C33:C38"/>
    <mergeCell ref="C39:C44"/>
    <mergeCell ref="D2:D15"/>
    <mergeCell ref="D16:D27"/>
    <mergeCell ref="D28:D32"/>
    <mergeCell ref="D33:D38"/>
    <mergeCell ref="D39:D44"/>
    <mergeCell ref="E2:E12"/>
    <mergeCell ref="E14:E15"/>
    <mergeCell ref="E16:E24"/>
    <mergeCell ref="E26:E27"/>
    <mergeCell ref="E28:E29"/>
    <mergeCell ref="E31:E32"/>
    <mergeCell ref="E33:E35"/>
    <mergeCell ref="E37:E38"/>
    <mergeCell ref="E39:E43"/>
    <mergeCell ref="E45:E46"/>
    <mergeCell ref="F2:F12"/>
    <mergeCell ref="F14:F15"/>
    <mergeCell ref="F18:F21"/>
    <mergeCell ref="F22:F24"/>
    <mergeCell ref="F26:F27"/>
    <mergeCell ref="F28:F29"/>
    <mergeCell ref="F31:F32"/>
    <mergeCell ref="F33:F35"/>
    <mergeCell ref="F37:F38"/>
    <mergeCell ref="F39:F41"/>
    <mergeCell ref="F42:F43"/>
    <mergeCell ref="F45:F46"/>
    <mergeCell ref="G39:G41"/>
    <mergeCell ref="G42:G43"/>
    <mergeCell ref="H18:H21"/>
    <mergeCell ref="H39:H41"/>
    <mergeCell ref="H42:H4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56"/>
  <sheetViews>
    <sheetView workbookViewId="0">
      <pane ySplit="1" topLeftCell="A2" activePane="bottomLeft" state="frozen"/>
      <selection/>
      <selection pane="bottomLeft" activeCell="L23" sqref="L23"/>
    </sheetView>
  </sheetViews>
  <sheetFormatPr defaultColWidth="9.11111111111111" defaultRowHeight="13.2"/>
  <cols>
    <col min="1" max="1" width="22.4444444444444" style="1" customWidth="1"/>
    <col min="2" max="2" width="11.6666666666667" style="1" customWidth="1"/>
    <col min="3" max="7" width="9.11111111111111" style="1"/>
    <col min="8" max="8" width="59.6666666666667" style="1" customWidth="1"/>
    <col min="9" max="11" width="9.11111111111111" style="1"/>
    <col min="12" max="12" width="19.5555555555556" style="2" customWidth="1"/>
    <col min="13" max="16384" width="9.11111111111111" style="1"/>
  </cols>
  <sheetData>
    <row r="1" ht="69.6" spans="1:26">
      <c r="A1" s="3" t="s">
        <v>143</v>
      </c>
      <c r="B1" s="4" t="s">
        <v>6</v>
      </c>
      <c r="C1" s="3" t="s">
        <v>144</v>
      </c>
      <c r="D1" s="3" t="s">
        <v>145</v>
      </c>
      <c r="E1" s="4" t="s">
        <v>146</v>
      </c>
      <c r="F1" s="3" t="s">
        <v>147</v>
      </c>
      <c r="G1" s="3" t="s">
        <v>1</v>
      </c>
      <c r="H1" s="5" t="s">
        <v>148</v>
      </c>
      <c r="I1" s="3" t="s">
        <v>149</v>
      </c>
      <c r="J1" s="6" t="s">
        <v>150</v>
      </c>
      <c r="K1" s="3" t="s">
        <v>151</v>
      </c>
      <c r="L1" s="7" t="s">
        <v>152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7.4" spans="1:26">
      <c r="A2" s="3"/>
      <c r="B2" s="4"/>
      <c r="C2" s="3"/>
      <c r="D2" s="3"/>
      <c r="E2" s="259"/>
      <c r="F2" s="18"/>
      <c r="G2" s="9"/>
      <c r="H2" s="5"/>
      <c r="I2" s="9"/>
      <c r="J2" s="6"/>
      <c r="K2" s="3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="1" customFormat="1" ht="15.6" spans="1:26">
      <c r="A3" s="3" t="s">
        <v>198</v>
      </c>
      <c r="B3" s="17" t="s">
        <v>41</v>
      </c>
      <c r="C3" s="13"/>
      <c r="D3" s="13"/>
      <c r="E3" s="30" t="s">
        <v>155</v>
      </c>
      <c r="F3" s="13" t="s">
        <v>76</v>
      </c>
      <c r="G3" s="13">
        <v>1</v>
      </c>
      <c r="H3" s="14" t="s">
        <v>199</v>
      </c>
      <c r="I3" s="15" t="s">
        <v>41</v>
      </c>
      <c r="J3" s="16">
        <v>1</v>
      </c>
      <c r="K3" s="13"/>
      <c r="L3" s="17">
        <v>0.5</v>
      </c>
    </row>
    <row r="4" s="1" customFormat="1" ht="15.6" spans="1:26">
      <c r="A4" s="3"/>
      <c r="B4" s="17"/>
      <c r="C4" s="13"/>
      <c r="D4" s="13"/>
      <c r="E4" s="30"/>
      <c r="F4" s="13"/>
      <c r="G4" s="13">
        <v>2</v>
      </c>
      <c r="H4" s="22"/>
      <c r="I4" s="15"/>
      <c r="J4" s="16"/>
      <c r="K4" s="13"/>
      <c r="L4" s="17"/>
    </row>
    <row r="5" s="1" customFormat="1" ht="15" spans="1:26">
      <c r="A5" s="3"/>
      <c r="B5" s="17"/>
      <c r="C5" s="13"/>
      <c r="D5" s="13"/>
      <c r="E5" s="33" t="s">
        <v>170</v>
      </c>
      <c r="F5" s="33"/>
      <c r="G5" s="33"/>
      <c r="H5" s="33"/>
      <c r="I5" s="33"/>
      <c r="J5" s="34"/>
      <c r="K5" s="35"/>
      <c r="L5" s="36">
        <f>SUM(L3:L4)</f>
        <v>0.5</v>
      </c>
    </row>
    <row r="6" s="1" customFormat="1" ht="15" spans="1:26">
      <c r="A6" s="3"/>
      <c r="B6" s="17"/>
      <c r="C6" s="13"/>
      <c r="D6" s="13"/>
      <c r="E6" s="30" t="s">
        <v>171</v>
      </c>
      <c r="F6" s="30" t="s">
        <v>76</v>
      </c>
      <c r="G6" s="30">
        <v>1</v>
      </c>
      <c r="H6" s="14"/>
      <c r="I6" s="13"/>
      <c r="J6" s="38"/>
      <c r="K6" s="30"/>
      <c r="L6" s="39"/>
    </row>
    <row r="7" s="1" customFormat="1" ht="15" spans="1:26">
      <c r="A7" s="3"/>
      <c r="B7" s="17"/>
      <c r="C7" s="13"/>
      <c r="D7" s="13"/>
      <c r="E7" s="30"/>
      <c r="F7" s="30"/>
      <c r="G7" s="30">
        <v>2</v>
      </c>
      <c r="H7" s="14"/>
      <c r="I7" s="30"/>
      <c r="J7" s="38"/>
      <c r="K7" s="30"/>
      <c r="L7" s="39"/>
    </row>
    <row r="8" ht="135" spans="1:26">
      <c r="A8" s="3" t="s">
        <v>200</v>
      </c>
      <c r="B8" s="17" t="s">
        <v>51</v>
      </c>
      <c r="C8" s="13"/>
      <c r="D8" s="13"/>
      <c r="E8" s="12" t="s">
        <v>155</v>
      </c>
      <c r="F8" s="11" t="s">
        <v>187</v>
      </c>
      <c r="G8" s="13">
        <v>1</v>
      </c>
      <c r="H8" s="260" t="s">
        <v>201</v>
      </c>
      <c r="I8" s="15" t="s">
        <v>51</v>
      </c>
      <c r="J8" s="16">
        <v>1</v>
      </c>
      <c r="K8" s="30"/>
      <c r="L8" s="17">
        <v>3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0" spans="1:26">
      <c r="A9" s="3"/>
      <c r="B9" s="17"/>
      <c r="C9" s="13"/>
      <c r="D9" s="13"/>
      <c r="E9" s="21"/>
      <c r="F9" s="27"/>
      <c r="G9" s="13">
        <v>2</v>
      </c>
      <c r="H9" s="260" t="s">
        <v>202</v>
      </c>
      <c r="I9" s="15" t="s">
        <v>203</v>
      </c>
      <c r="J9" s="16">
        <v>1</v>
      </c>
      <c r="K9" s="13"/>
      <c r="L9" s="17">
        <v>5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" spans="1:26">
      <c r="A10" s="3"/>
      <c r="B10" s="17"/>
      <c r="C10" s="13"/>
      <c r="D10" s="13"/>
      <c r="E10" s="21"/>
      <c r="F10" s="11" t="s">
        <v>76</v>
      </c>
      <c r="G10" s="13">
        <v>3</v>
      </c>
      <c r="H10" s="14" t="s">
        <v>204</v>
      </c>
      <c r="I10" s="15" t="s">
        <v>51</v>
      </c>
      <c r="J10" s="16">
        <v>0.7</v>
      </c>
      <c r="K10" s="30"/>
      <c r="L10" s="17">
        <v>2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6" spans="1:26">
      <c r="A11" s="3"/>
      <c r="B11" s="17"/>
      <c r="C11" s="13"/>
      <c r="D11" s="13"/>
      <c r="E11" s="33" t="s">
        <v>170</v>
      </c>
      <c r="F11" s="33"/>
      <c r="G11" s="33"/>
      <c r="H11" s="33"/>
      <c r="I11" s="33"/>
      <c r="J11" s="34"/>
      <c r="K11" s="35"/>
      <c r="L11" s="261">
        <f>SUM(L8:L10)</f>
        <v>10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6" spans="1:26">
      <c r="A12" s="3"/>
      <c r="B12" s="17"/>
      <c r="C12" s="13"/>
      <c r="D12" s="13"/>
      <c r="E12" s="30" t="s">
        <v>171</v>
      </c>
      <c r="F12" s="30"/>
      <c r="G12" s="30"/>
      <c r="H12" s="37"/>
      <c r="I12" s="13"/>
      <c r="J12" s="38"/>
      <c r="K12" s="30"/>
      <c r="L12" s="39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" spans="1:26">
      <c r="A13" s="3"/>
      <c r="B13" s="17"/>
      <c r="C13" s="13"/>
      <c r="D13" s="13"/>
      <c r="E13" s="30"/>
      <c r="F13" s="30"/>
      <c r="G13" s="30"/>
      <c r="H13" s="14"/>
      <c r="I13" s="30"/>
      <c r="J13" s="38"/>
      <c r="K13" s="30"/>
      <c r="L13" s="39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" spans="1:26">
      <c r="A14" s="3" t="s">
        <v>95</v>
      </c>
      <c r="B14" s="17"/>
      <c r="C14" s="13"/>
      <c r="D14" s="13"/>
      <c r="E14" s="262"/>
      <c r="F14" s="263"/>
      <c r="G14" s="13">
        <v>1</v>
      </c>
      <c r="H14" s="14" t="s">
        <v>205</v>
      </c>
      <c r="I14" s="15" t="s">
        <v>82</v>
      </c>
      <c r="J14" s="16">
        <v>1</v>
      </c>
      <c r="K14" s="30"/>
      <c r="L14" s="39">
        <v>0.25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90" spans="1:26">
      <c r="A15" s="3"/>
      <c r="B15" s="17"/>
      <c r="C15" s="13"/>
      <c r="D15" s="13"/>
      <c r="E15" s="264"/>
      <c r="F15" s="265"/>
      <c r="G15" s="13">
        <v>2</v>
      </c>
      <c r="H15" s="266" t="s">
        <v>206</v>
      </c>
      <c r="I15" s="15" t="s">
        <v>44</v>
      </c>
      <c r="J15" s="16">
        <v>1</v>
      </c>
      <c r="K15" s="30"/>
      <c r="L15" s="39">
        <v>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90" spans="1:26">
      <c r="A16" s="3"/>
      <c r="B16" s="17"/>
      <c r="C16" s="13"/>
      <c r="D16" s="13"/>
      <c r="E16" s="264"/>
      <c r="F16" s="265"/>
      <c r="G16" s="13">
        <v>3</v>
      </c>
      <c r="H16" s="266" t="s">
        <v>207</v>
      </c>
      <c r="I16" s="15" t="s">
        <v>208</v>
      </c>
      <c r="J16" s="16">
        <v>1</v>
      </c>
      <c r="K16" s="30"/>
      <c r="L16" s="39">
        <v>2.5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" spans="1:26">
      <c r="A17" s="3"/>
      <c r="B17" s="17"/>
      <c r="C17" s="13"/>
      <c r="D17" s="13"/>
      <c r="E17" s="264"/>
      <c r="F17" s="265"/>
      <c r="G17" s="125">
        <v>1</v>
      </c>
      <c r="H17" s="139" t="s">
        <v>209</v>
      </c>
      <c r="I17" s="267" t="s">
        <v>94</v>
      </c>
      <c r="J17" s="129">
        <v>1</v>
      </c>
      <c r="K17" s="126"/>
      <c r="L17" s="268">
        <v>2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" spans="1:26">
      <c r="A18" s="3"/>
      <c r="B18" s="17"/>
      <c r="C18" s="13"/>
      <c r="D18" s="13"/>
      <c r="E18" s="264"/>
      <c r="F18" s="265"/>
      <c r="G18" s="125"/>
      <c r="H18" s="139"/>
      <c r="I18" s="267" t="s">
        <v>192</v>
      </c>
      <c r="J18" s="129">
        <v>1</v>
      </c>
      <c r="K18" s="126"/>
      <c r="L18" s="268"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" spans="1:26">
      <c r="A19" s="3"/>
      <c r="B19" s="17"/>
      <c r="C19" s="13"/>
      <c r="D19" s="13"/>
      <c r="E19" s="264"/>
      <c r="F19" s="265"/>
      <c r="G19" s="125"/>
      <c r="H19" s="139"/>
      <c r="I19" s="267" t="s">
        <v>193</v>
      </c>
      <c r="J19" s="129">
        <v>1</v>
      </c>
      <c r="K19" s="126"/>
      <c r="L19" s="268">
        <v>1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" spans="1:26">
      <c r="A20" s="3"/>
      <c r="B20" s="17"/>
      <c r="C20" s="13"/>
      <c r="D20" s="13"/>
      <c r="E20" s="269"/>
      <c r="F20" s="265"/>
      <c r="G20" s="125">
        <v>1</v>
      </c>
      <c r="H20" s="139" t="s">
        <v>210</v>
      </c>
      <c r="I20" s="267" t="s">
        <v>196</v>
      </c>
      <c r="J20" s="129">
        <v>1</v>
      </c>
      <c r="K20" s="126"/>
      <c r="L20" s="130">
        <v>1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" spans="1:26">
      <c r="A21" s="3"/>
      <c r="B21" s="17"/>
      <c r="C21" s="13"/>
      <c r="D21" s="13"/>
      <c r="E21" s="30"/>
      <c r="F21" s="270"/>
      <c r="G21" s="125"/>
      <c r="H21" s="139"/>
      <c r="I21" s="267" t="s">
        <v>197</v>
      </c>
      <c r="J21" s="129">
        <v>1</v>
      </c>
      <c r="K21" s="126"/>
      <c r="L21" s="130">
        <v>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" spans="1:26">
      <c r="A22" s="3"/>
      <c r="B22" s="17"/>
      <c r="C22" s="13"/>
      <c r="D22" s="13"/>
      <c r="E22" s="33" t="s">
        <v>170</v>
      </c>
      <c r="F22" s="33"/>
      <c r="G22" s="33"/>
      <c r="H22" s="33"/>
      <c r="I22" s="33"/>
      <c r="J22" s="34"/>
      <c r="K22" s="35"/>
      <c r="L22" s="36">
        <f>SUM(L14:L21)</f>
        <v>10.75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6" spans="1:26">
      <c r="A23" s="3"/>
      <c r="B23" s="17"/>
      <c r="C23" s="13"/>
      <c r="D23" s="13"/>
      <c r="E23" s="30" t="s">
        <v>171</v>
      </c>
      <c r="F23" s="30"/>
      <c r="G23" s="30"/>
      <c r="H23" s="37"/>
      <c r="I23" s="13"/>
      <c r="J23" s="38"/>
      <c r="K23" s="30"/>
      <c r="L23" s="3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" spans="1:26">
      <c r="A24" s="3"/>
      <c r="B24" s="17"/>
      <c r="C24" s="13"/>
      <c r="D24" s="13"/>
      <c r="E24" s="30"/>
      <c r="F24" s="30"/>
      <c r="G24" s="30"/>
      <c r="H24" s="14"/>
      <c r="I24" s="30"/>
      <c r="J24" s="38"/>
      <c r="K24" s="30"/>
      <c r="L24" s="3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5" spans="1:26">
      <c r="A25" s="3" t="s">
        <v>43</v>
      </c>
      <c r="B25" s="17" t="s">
        <v>44</v>
      </c>
      <c r="C25" s="13"/>
      <c r="D25" s="13"/>
      <c r="E25" s="30" t="s">
        <v>155</v>
      </c>
      <c r="F25" s="13" t="s">
        <v>187</v>
      </c>
      <c r="G25" s="13">
        <v>1</v>
      </c>
      <c r="H25" s="266" t="s">
        <v>211</v>
      </c>
      <c r="I25" s="15" t="s">
        <v>183</v>
      </c>
      <c r="J25" s="16">
        <v>1</v>
      </c>
      <c r="K25" s="30"/>
      <c r="L25" s="39">
        <v>2.5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60" spans="1:26">
      <c r="A26" s="3"/>
      <c r="B26" s="17"/>
      <c r="C26" s="13"/>
      <c r="D26" s="13"/>
      <c r="E26" s="30"/>
      <c r="F26" s="13"/>
      <c r="G26" s="13">
        <v>2</v>
      </c>
      <c r="H26" s="14" t="s">
        <v>212</v>
      </c>
      <c r="I26" s="15" t="s">
        <v>208</v>
      </c>
      <c r="J26" s="16">
        <v>1</v>
      </c>
      <c r="K26" s="30"/>
      <c r="L26" s="39">
        <v>2.5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" spans="1:26">
      <c r="A27" s="3"/>
      <c r="B27" s="17"/>
      <c r="C27" s="13"/>
      <c r="D27" s="13"/>
      <c r="E27" s="30"/>
      <c r="F27" s="13"/>
      <c r="G27" s="13">
        <v>3</v>
      </c>
      <c r="H27" s="14" t="s">
        <v>213</v>
      </c>
      <c r="I27" s="15" t="s">
        <v>44</v>
      </c>
      <c r="J27" s="16">
        <v>1</v>
      </c>
      <c r="K27" s="30"/>
      <c r="L27" s="39">
        <v>2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" spans="1:26">
      <c r="A28" s="3"/>
      <c r="B28" s="17"/>
      <c r="C28" s="13"/>
      <c r="D28" s="13"/>
      <c r="E28" s="33" t="s">
        <v>170</v>
      </c>
      <c r="F28" s="33"/>
      <c r="G28" s="33"/>
      <c r="H28" s="33"/>
      <c r="I28" s="33"/>
      <c r="J28" s="34"/>
      <c r="K28" s="35"/>
      <c r="L28" s="36">
        <f>SUM(L25:L27)</f>
        <v>7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6" spans="1:26">
      <c r="A29" s="3"/>
      <c r="B29" s="17"/>
      <c r="C29" s="13"/>
      <c r="D29" s="13"/>
      <c r="E29" s="30" t="s">
        <v>171</v>
      </c>
      <c r="F29" s="30"/>
      <c r="G29" s="30"/>
      <c r="H29" s="37"/>
      <c r="I29" s="13"/>
      <c r="J29" s="38"/>
      <c r="K29" s="30"/>
      <c r="L29" s="3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" spans="1:26">
      <c r="A30" s="3"/>
      <c r="B30" s="17"/>
      <c r="C30" s="13"/>
      <c r="D30" s="13"/>
      <c r="E30" s="30"/>
      <c r="F30" s="30"/>
      <c r="G30" s="30"/>
      <c r="H30" s="14"/>
      <c r="I30" s="30"/>
      <c r="J30" s="38"/>
      <c r="K30" s="30"/>
      <c r="L30" s="3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" spans="1:26">
      <c r="A31" s="3" t="s">
        <v>54</v>
      </c>
      <c r="B31" s="17" t="s">
        <v>55</v>
      </c>
      <c r="C31" s="13"/>
      <c r="D31" s="13"/>
      <c r="E31" s="21" t="s">
        <v>155</v>
      </c>
      <c r="F31" s="20" t="s">
        <v>76</v>
      </c>
      <c r="G31" s="11">
        <v>1</v>
      </c>
      <c r="H31" s="266" t="s">
        <v>214</v>
      </c>
      <c r="I31" s="271" t="s">
        <v>215</v>
      </c>
      <c r="J31" s="16">
        <v>1</v>
      </c>
      <c r="K31" s="30"/>
      <c r="L31" s="39">
        <v>3.5</v>
      </c>
    </row>
    <row r="32" ht="15" spans="1:26">
      <c r="A32" s="3"/>
      <c r="B32" s="17"/>
      <c r="C32" s="13"/>
      <c r="D32" s="13"/>
      <c r="E32" s="21"/>
      <c r="F32" s="20"/>
      <c r="G32" s="11">
        <v>2</v>
      </c>
      <c r="H32" s="266" t="s">
        <v>216</v>
      </c>
      <c r="I32" s="271" t="s">
        <v>217</v>
      </c>
      <c r="J32" s="16">
        <v>0.8</v>
      </c>
      <c r="K32" s="30"/>
      <c r="L32" s="39">
        <v>3</v>
      </c>
    </row>
    <row r="33" ht="15" spans="1:12">
      <c r="A33" s="3"/>
      <c r="B33" s="17"/>
      <c r="C33" s="13"/>
      <c r="D33" s="13"/>
      <c r="E33" s="32"/>
      <c r="F33" s="27"/>
      <c r="G33" s="13">
        <v>3</v>
      </c>
      <c r="H33" s="266" t="s">
        <v>218</v>
      </c>
      <c r="I33" s="15" t="s">
        <v>55</v>
      </c>
      <c r="J33" s="16">
        <v>1</v>
      </c>
      <c r="K33" s="30"/>
      <c r="L33" s="39">
        <v>4</v>
      </c>
    </row>
    <row r="34" ht="15" spans="1:12">
      <c r="A34" s="3"/>
      <c r="B34" s="17"/>
      <c r="C34" s="13"/>
      <c r="D34" s="13"/>
      <c r="E34" s="33" t="s">
        <v>170</v>
      </c>
      <c r="F34" s="33"/>
      <c r="G34" s="33"/>
      <c r="H34" s="33"/>
      <c r="I34" s="33"/>
      <c r="J34" s="34"/>
      <c r="K34" s="35"/>
      <c r="L34" s="36">
        <f>SUM(L31:L33)</f>
        <v>10.5</v>
      </c>
    </row>
    <row r="35" ht="15" spans="1:12">
      <c r="A35" s="3"/>
      <c r="B35" s="17"/>
      <c r="C35" s="13"/>
      <c r="D35" s="13"/>
      <c r="E35" s="30"/>
      <c r="F35" s="30"/>
      <c r="G35" s="30"/>
      <c r="H35" s="14"/>
      <c r="I35" s="13"/>
      <c r="J35" s="38"/>
      <c r="K35" s="30"/>
      <c r="L35" s="39"/>
    </row>
    <row r="36" ht="15" spans="1:12">
      <c r="A36" s="3"/>
      <c r="B36" s="17"/>
      <c r="C36" s="13"/>
      <c r="D36" s="13"/>
      <c r="E36" s="30"/>
      <c r="F36" s="30"/>
      <c r="G36" s="30"/>
      <c r="H36" s="14"/>
      <c r="I36" s="30"/>
      <c r="J36" s="38"/>
      <c r="K36" s="30"/>
      <c r="L36" s="39"/>
    </row>
    <row r="37" ht="15" spans="1:12">
      <c r="A37" s="3" t="s">
        <v>97</v>
      </c>
      <c r="B37" s="17" t="s">
        <v>55</v>
      </c>
      <c r="C37" s="13"/>
      <c r="D37" s="13"/>
      <c r="E37" s="12" t="s">
        <v>155</v>
      </c>
      <c r="F37" s="11" t="s">
        <v>187</v>
      </c>
      <c r="G37" s="13">
        <v>1</v>
      </c>
      <c r="H37" s="266" t="s">
        <v>219</v>
      </c>
      <c r="I37" s="15" t="s">
        <v>220</v>
      </c>
      <c r="J37" s="16">
        <v>1</v>
      </c>
      <c r="K37" s="30"/>
      <c r="L37" s="39">
        <v>5</v>
      </c>
    </row>
    <row r="38" ht="15" spans="1:12">
      <c r="A38" s="3"/>
      <c r="B38" s="17"/>
      <c r="C38" s="13"/>
      <c r="D38" s="13"/>
      <c r="E38" s="21"/>
      <c r="F38" s="20"/>
      <c r="G38" s="13">
        <v>2</v>
      </c>
      <c r="H38" s="266" t="s">
        <v>221</v>
      </c>
      <c r="I38" s="15" t="s">
        <v>222</v>
      </c>
      <c r="J38" s="16">
        <v>1</v>
      </c>
      <c r="K38" s="30"/>
      <c r="L38" s="39">
        <v>2</v>
      </c>
    </row>
    <row r="39" ht="15" spans="1:12">
      <c r="A39" s="3"/>
      <c r="B39" s="17"/>
      <c r="C39" s="13"/>
      <c r="D39" s="13"/>
      <c r="E39" s="21"/>
      <c r="F39" s="20"/>
      <c r="G39" s="13">
        <v>3</v>
      </c>
      <c r="H39" s="266" t="s">
        <v>223</v>
      </c>
      <c r="I39" s="15" t="s">
        <v>55</v>
      </c>
      <c r="J39" s="16">
        <v>1</v>
      </c>
      <c r="K39" s="30"/>
      <c r="L39" s="39">
        <v>1</v>
      </c>
    </row>
    <row r="40" ht="15" spans="1:12">
      <c r="A40" s="3"/>
      <c r="B40" s="17"/>
      <c r="C40" s="13"/>
      <c r="D40" s="13"/>
      <c r="E40" s="21"/>
      <c r="F40" s="20"/>
      <c r="G40" s="13">
        <v>4</v>
      </c>
      <c r="H40" s="266" t="s">
        <v>224</v>
      </c>
      <c r="I40" s="15" t="s">
        <v>217</v>
      </c>
      <c r="J40" s="16">
        <v>1</v>
      </c>
      <c r="K40" s="30"/>
      <c r="L40" s="39">
        <v>2</v>
      </c>
    </row>
    <row r="41" ht="15" spans="1:12">
      <c r="A41" s="3"/>
      <c r="B41" s="17"/>
      <c r="C41" s="13"/>
      <c r="D41" s="13"/>
      <c r="E41" s="21"/>
      <c r="F41" s="20"/>
      <c r="G41" s="13">
        <v>5</v>
      </c>
      <c r="H41" s="266" t="s">
        <v>225</v>
      </c>
      <c r="I41" s="15" t="s">
        <v>226</v>
      </c>
      <c r="J41" s="16">
        <v>1</v>
      </c>
      <c r="K41" s="30"/>
      <c r="L41" s="39">
        <v>5</v>
      </c>
    </row>
    <row r="42" ht="15" spans="1:12">
      <c r="A42" s="3"/>
      <c r="B42" s="17"/>
      <c r="C42" s="13"/>
      <c r="D42" s="13"/>
      <c r="E42" s="33" t="s">
        <v>170</v>
      </c>
      <c r="F42" s="33"/>
      <c r="G42" s="33"/>
      <c r="H42" s="33"/>
      <c r="I42" s="33"/>
      <c r="J42" s="34"/>
      <c r="K42" s="35"/>
      <c r="L42" s="36">
        <f>SUM(L37:L41)</f>
        <v>15</v>
      </c>
    </row>
    <row r="43" ht="15" spans="1:12">
      <c r="A43" s="3"/>
      <c r="B43" s="17"/>
      <c r="C43" s="13"/>
      <c r="D43" s="13"/>
      <c r="E43" s="30" t="s">
        <v>171</v>
      </c>
      <c r="F43" s="30"/>
      <c r="G43" s="30"/>
      <c r="H43" s="14"/>
      <c r="I43" s="13"/>
      <c r="J43" s="38"/>
      <c r="K43" s="30"/>
      <c r="L43" s="39"/>
    </row>
    <row r="44" ht="15" spans="1:12">
      <c r="A44" s="3"/>
      <c r="B44" s="17"/>
      <c r="C44" s="13"/>
      <c r="D44" s="13"/>
      <c r="E44" s="30"/>
      <c r="F44" s="30"/>
      <c r="G44" s="30"/>
      <c r="H44" s="14"/>
      <c r="I44" s="30"/>
      <c r="J44" s="38"/>
      <c r="K44" s="30"/>
      <c r="L44" s="39"/>
    </row>
    <row r="45" ht="15" spans="1:12">
      <c r="A45" s="259" t="s">
        <v>227</v>
      </c>
      <c r="B45" s="17"/>
      <c r="C45" s="13"/>
      <c r="D45" s="13"/>
      <c r="E45" s="21"/>
      <c r="F45" s="20"/>
      <c r="G45" s="13">
        <v>1</v>
      </c>
      <c r="H45" s="266" t="s">
        <v>228</v>
      </c>
      <c r="I45" s="15" t="s">
        <v>229</v>
      </c>
      <c r="J45" s="16">
        <v>1</v>
      </c>
      <c r="K45" s="30"/>
      <c r="L45" s="39">
        <v>3</v>
      </c>
    </row>
    <row r="46" ht="30" spans="1:12">
      <c r="A46" s="259"/>
      <c r="B46" s="17"/>
      <c r="C46" s="13"/>
      <c r="D46" s="13"/>
      <c r="E46" s="21"/>
      <c r="F46" s="20"/>
      <c r="G46" s="13">
        <v>2</v>
      </c>
      <c r="H46" s="266" t="s">
        <v>230</v>
      </c>
      <c r="I46" s="15" t="s">
        <v>231</v>
      </c>
      <c r="J46" s="16">
        <v>1</v>
      </c>
      <c r="K46" s="30"/>
      <c r="L46" s="39">
        <v>5</v>
      </c>
    </row>
    <row r="47" ht="15" spans="1:12">
      <c r="A47" s="259"/>
      <c r="B47" s="17"/>
      <c r="C47" s="13"/>
      <c r="D47" s="13"/>
      <c r="E47" s="21"/>
      <c r="F47" s="20"/>
      <c r="G47" s="13">
        <v>3</v>
      </c>
      <c r="H47" s="266" t="s">
        <v>232</v>
      </c>
      <c r="I47" s="15" t="s">
        <v>233</v>
      </c>
      <c r="J47" s="16">
        <v>1</v>
      </c>
      <c r="K47" s="30"/>
      <c r="L47" s="39">
        <v>5</v>
      </c>
    </row>
    <row r="48" ht="15" spans="1:12">
      <c r="A48" s="259"/>
      <c r="B48" s="17"/>
      <c r="C48" s="13"/>
      <c r="D48" s="13"/>
      <c r="E48" s="21"/>
      <c r="F48" s="20"/>
      <c r="G48" s="13">
        <v>4</v>
      </c>
      <c r="H48" s="266" t="s">
        <v>234</v>
      </c>
      <c r="I48" s="15" t="s">
        <v>63</v>
      </c>
      <c r="J48" s="16"/>
      <c r="K48" s="30"/>
      <c r="L48" s="39">
        <v>3</v>
      </c>
    </row>
    <row r="49" ht="15" spans="1:12">
      <c r="A49" s="259"/>
      <c r="B49" s="17"/>
      <c r="C49" s="13"/>
      <c r="D49" s="13"/>
      <c r="E49" s="33" t="s">
        <v>170</v>
      </c>
      <c r="F49" s="33"/>
      <c r="G49" s="33"/>
      <c r="H49" s="33"/>
      <c r="I49" s="33"/>
      <c r="J49" s="34"/>
      <c r="K49" s="35"/>
      <c r="L49" s="36">
        <f>SUM(L45:L48)</f>
        <v>16</v>
      </c>
    </row>
    <row r="50" ht="15.6" spans="1:12">
      <c r="A50" s="259"/>
      <c r="B50" s="17"/>
      <c r="C50" s="13"/>
      <c r="D50" s="13"/>
      <c r="E50" s="30" t="s">
        <v>171</v>
      </c>
      <c r="F50" s="30"/>
      <c r="G50" s="30"/>
      <c r="H50" s="37"/>
      <c r="I50" s="13"/>
      <c r="J50" s="38"/>
      <c r="K50" s="30"/>
      <c r="L50" s="39"/>
    </row>
    <row r="51" ht="15" spans="1:12">
      <c r="A51" s="272"/>
      <c r="B51" s="17"/>
      <c r="C51" s="13"/>
      <c r="D51" s="13"/>
      <c r="E51" s="30"/>
      <c r="F51" s="30"/>
      <c r="G51" s="30"/>
      <c r="H51" s="14"/>
      <c r="I51" s="30"/>
      <c r="J51" s="38"/>
      <c r="K51" s="30"/>
      <c r="L51" s="39"/>
    </row>
    <row r="52" ht="15" spans="1:12">
      <c r="A52" s="273" t="s">
        <v>235</v>
      </c>
      <c r="B52" s="17"/>
      <c r="C52" s="13"/>
      <c r="D52" s="13"/>
      <c r="E52" s="21"/>
      <c r="F52" s="20"/>
      <c r="G52" s="13">
        <v>1</v>
      </c>
      <c r="H52" s="266" t="s">
        <v>236</v>
      </c>
      <c r="I52" s="15" t="s">
        <v>222</v>
      </c>
      <c r="J52" s="16">
        <v>1</v>
      </c>
      <c r="K52" s="30"/>
      <c r="L52" s="39">
        <v>3</v>
      </c>
    </row>
    <row r="53" ht="15" spans="1:12">
      <c r="A53" s="259"/>
      <c r="B53" s="17"/>
      <c r="C53" s="13"/>
      <c r="D53" s="13"/>
      <c r="E53" s="21"/>
      <c r="F53" s="20"/>
      <c r="G53" s="13">
        <v>2</v>
      </c>
      <c r="H53" s="266" t="s">
        <v>237</v>
      </c>
      <c r="I53" s="15"/>
      <c r="J53" s="16"/>
      <c r="K53" s="30"/>
      <c r="L53" s="39"/>
    </row>
    <row r="54" ht="15" spans="1:12">
      <c r="A54" s="259"/>
      <c r="B54" s="17"/>
      <c r="C54" s="13"/>
      <c r="D54" s="13"/>
      <c r="E54" s="33" t="s">
        <v>170</v>
      </c>
      <c r="F54" s="33"/>
      <c r="G54" s="33"/>
      <c r="H54" s="33"/>
      <c r="I54" s="33"/>
      <c r="J54" s="34"/>
      <c r="K54" s="35"/>
      <c r="L54" s="36">
        <f>SUM(L52:L53)</f>
        <v>3</v>
      </c>
    </row>
    <row r="55" ht="15.6" spans="1:12">
      <c r="A55" s="259"/>
      <c r="B55" s="17"/>
      <c r="C55" s="13"/>
      <c r="D55" s="13"/>
      <c r="E55" s="30" t="s">
        <v>171</v>
      </c>
      <c r="F55" s="30"/>
      <c r="G55" s="30"/>
      <c r="H55" s="37"/>
      <c r="I55" s="13"/>
      <c r="J55" s="38"/>
      <c r="K55" s="30"/>
      <c r="L55" s="39"/>
    </row>
    <row r="56" ht="15" spans="1:12">
      <c r="A56" s="272"/>
      <c r="B56" s="17"/>
      <c r="C56" s="13"/>
      <c r="D56" s="13"/>
      <c r="E56" s="30"/>
      <c r="F56" s="30"/>
      <c r="G56" s="30"/>
      <c r="H56" s="14"/>
      <c r="I56" s="30"/>
      <c r="J56" s="38"/>
      <c r="K56" s="30"/>
      <c r="L56" s="39"/>
    </row>
  </sheetData>
  <mergeCells count="76">
    <mergeCell ref="E5:H5"/>
    <mergeCell ref="E11:H11"/>
    <mergeCell ref="E22:H22"/>
    <mergeCell ref="E28:H28"/>
    <mergeCell ref="E34:H34"/>
    <mergeCell ref="E42:H42"/>
    <mergeCell ref="E49:H49"/>
    <mergeCell ref="E54:H54"/>
    <mergeCell ref="A3:A7"/>
    <mergeCell ref="A8:A13"/>
    <mergeCell ref="A14:A24"/>
    <mergeCell ref="A25:A30"/>
    <mergeCell ref="A31:A36"/>
    <mergeCell ref="A37:A44"/>
    <mergeCell ref="A45:A51"/>
    <mergeCell ref="A52:A56"/>
    <mergeCell ref="B3:B7"/>
    <mergeCell ref="B8:B13"/>
    <mergeCell ref="B14:B24"/>
    <mergeCell ref="B25:B30"/>
    <mergeCell ref="B31:B36"/>
    <mergeCell ref="B37:B44"/>
    <mergeCell ref="B45:B51"/>
    <mergeCell ref="B52:B56"/>
    <mergeCell ref="C3:C7"/>
    <mergeCell ref="C8:C13"/>
    <mergeCell ref="C14:C24"/>
    <mergeCell ref="C25:C30"/>
    <mergeCell ref="C31:C36"/>
    <mergeCell ref="C37:C44"/>
    <mergeCell ref="C45:C51"/>
    <mergeCell ref="C52:C56"/>
    <mergeCell ref="D3:D7"/>
    <mergeCell ref="D8:D13"/>
    <mergeCell ref="D14:D24"/>
    <mergeCell ref="D25:D30"/>
    <mergeCell ref="D31:D36"/>
    <mergeCell ref="D37:D44"/>
    <mergeCell ref="D45:D51"/>
    <mergeCell ref="D52:D56"/>
    <mergeCell ref="E3:E4"/>
    <mergeCell ref="E6:E7"/>
    <mergeCell ref="E8:E10"/>
    <mergeCell ref="E12:E13"/>
    <mergeCell ref="E14:E20"/>
    <mergeCell ref="E23:E24"/>
    <mergeCell ref="E25:E27"/>
    <mergeCell ref="E29:E30"/>
    <mergeCell ref="E31:E33"/>
    <mergeCell ref="E35:E36"/>
    <mergeCell ref="E37:E41"/>
    <mergeCell ref="E43:E44"/>
    <mergeCell ref="E45:E48"/>
    <mergeCell ref="E50:E51"/>
    <mergeCell ref="E52:E53"/>
    <mergeCell ref="E55:E56"/>
    <mergeCell ref="F3:F4"/>
    <mergeCell ref="F6:F7"/>
    <mergeCell ref="F8:F9"/>
    <mergeCell ref="F12:F13"/>
    <mergeCell ref="F14:F21"/>
    <mergeCell ref="F23:F24"/>
    <mergeCell ref="F25:F27"/>
    <mergeCell ref="F29:F30"/>
    <mergeCell ref="F31:F33"/>
    <mergeCell ref="F35:F36"/>
    <mergeCell ref="F37:F41"/>
    <mergeCell ref="F43:F44"/>
    <mergeCell ref="F45:F48"/>
    <mergeCell ref="F50:F51"/>
    <mergeCell ref="F52:F53"/>
    <mergeCell ref="F55:F56"/>
    <mergeCell ref="G17:G19"/>
    <mergeCell ref="G20:G21"/>
    <mergeCell ref="H17:H19"/>
    <mergeCell ref="H20:H2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34"/>
  <sheetViews>
    <sheetView workbookViewId="0">
      <pane ySplit="1" topLeftCell="A2" activePane="bottomLeft" state="frozen"/>
      <selection/>
      <selection pane="bottomLeft" activeCell="F18" sqref="F18"/>
    </sheetView>
  </sheetViews>
  <sheetFormatPr defaultColWidth="8.71296296296296" defaultRowHeight="13.2"/>
  <cols>
    <col min="1" max="1" width="22.4259259259259" style="231" customWidth="1"/>
    <col min="2" max="2" width="11.7222222222222" style="231" customWidth="1"/>
    <col min="3" max="7" width="9.14814814814815" style="231"/>
    <col min="8" max="8" width="59.7222222222222" style="231" customWidth="1"/>
    <col min="9" max="11" width="9.14814814814815" style="231"/>
    <col min="12" max="12" width="19.5740740740741" style="232" customWidth="1"/>
    <col min="13" max="16384" width="9.14814814814815" style="231"/>
  </cols>
  <sheetData>
    <row r="1" ht="69.6" spans="1:26">
      <c r="A1" s="233" t="s">
        <v>143</v>
      </c>
      <c r="B1" s="234" t="s">
        <v>6</v>
      </c>
      <c r="C1" s="233" t="s">
        <v>144</v>
      </c>
      <c r="D1" s="233" t="s">
        <v>145</v>
      </c>
      <c r="E1" s="234" t="s">
        <v>146</v>
      </c>
      <c r="F1" s="233" t="s">
        <v>147</v>
      </c>
      <c r="G1" s="233" t="s">
        <v>1</v>
      </c>
      <c r="H1" s="235" t="s">
        <v>148</v>
      </c>
      <c r="I1" s="233" t="s">
        <v>149</v>
      </c>
      <c r="J1" s="236" t="s">
        <v>150</v>
      </c>
      <c r="K1" s="233" t="s">
        <v>151</v>
      </c>
      <c r="L1" s="237" t="s">
        <v>152</v>
      </c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</row>
    <row r="2" ht="15.6" spans="1:26">
      <c r="A2" s="233" t="s">
        <v>238</v>
      </c>
      <c r="B2" s="239" t="s">
        <v>60</v>
      </c>
      <c r="C2" s="240">
        <v>1</v>
      </c>
      <c r="D2" s="241"/>
      <c r="E2" s="242" t="s">
        <v>155</v>
      </c>
      <c r="F2" s="241" t="s">
        <v>187</v>
      </c>
      <c r="G2" s="241">
        <v>1</v>
      </c>
      <c r="H2" s="243" t="s">
        <v>239</v>
      </c>
      <c r="I2" s="15" t="s">
        <v>240</v>
      </c>
      <c r="J2" s="240">
        <v>0.99</v>
      </c>
      <c r="K2" s="242"/>
      <c r="L2" s="239">
        <v>3</v>
      </c>
    </row>
    <row r="3" ht="15.6" spans="1:26">
      <c r="A3" s="233"/>
      <c r="B3" s="239"/>
      <c r="C3" s="240"/>
      <c r="D3" s="241"/>
      <c r="E3" s="242"/>
      <c r="F3" s="241"/>
      <c r="G3" s="241">
        <v>2</v>
      </c>
      <c r="H3" s="244" t="s">
        <v>241</v>
      </c>
      <c r="I3" s="15" t="s">
        <v>242</v>
      </c>
      <c r="J3" s="240">
        <v>1</v>
      </c>
      <c r="K3" s="242"/>
      <c r="L3" s="239">
        <v>2.5</v>
      </c>
    </row>
    <row r="4" ht="15.6" spans="1:26">
      <c r="A4" s="233"/>
      <c r="B4" s="239"/>
      <c r="C4" s="240"/>
      <c r="D4" s="241"/>
      <c r="E4" s="242"/>
      <c r="F4" s="241"/>
      <c r="G4" s="241">
        <v>3</v>
      </c>
      <c r="H4" s="244" t="s">
        <v>243</v>
      </c>
      <c r="I4" s="15" t="s">
        <v>242</v>
      </c>
      <c r="J4" s="240">
        <v>1</v>
      </c>
      <c r="K4" s="242"/>
      <c r="L4" s="239">
        <v>2.5</v>
      </c>
    </row>
    <row r="5" ht="15.6" spans="1:26">
      <c r="A5" s="233"/>
      <c r="B5" s="239"/>
      <c r="C5" s="240"/>
      <c r="D5" s="241"/>
      <c r="E5" s="242"/>
      <c r="F5" s="241"/>
      <c r="G5" s="241">
        <v>4</v>
      </c>
      <c r="H5" s="243" t="s">
        <v>244</v>
      </c>
      <c r="I5" s="15" t="s">
        <v>245</v>
      </c>
      <c r="J5" s="240">
        <v>0.85</v>
      </c>
      <c r="K5" s="242"/>
      <c r="L5" s="239">
        <v>1.5</v>
      </c>
    </row>
    <row r="6" ht="15.6" spans="1:26">
      <c r="A6" s="233"/>
      <c r="B6" s="239"/>
      <c r="C6" s="240"/>
      <c r="D6" s="241"/>
      <c r="E6" s="242"/>
      <c r="F6" s="241"/>
      <c r="G6" s="241">
        <v>5</v>
      </c>
      <c r="H6" s="243" t="s">
        <v>246</v>
      </c>
      <c r="I6" s="15" t="s">
        <v>247</v>
      </c>
      <c r="J6" s="240"/>
      <c r="K6" s="242"/>
      <c r="L6" s="239">
        <v>3</v>
      </c>
    </row>
    <row r="7" ht="15.6" spans="1:26">
      <c r="A7" s="233"/>
      <c r="B7" s="239"/>
      <c r="C7" s="240"/>
      <c r="D7" s="241"/>
      <c r="E7" s="242"/>
      <c r="F7" s="241"/>
      <c r="G7" s="241">
        <v>6</v>
      </c>
      <c r="H7" s="243" t="s">
        <v>248</v>
      </c>
      <c r="I7" s="15" t="s">
        <v>249</v>
      </c>
      <c r="J7" s="240">
        <v>1</v>
      </c>
      <c r="K7" s="242"/>
      <c r="L7" s="239">
        <v>2</v>
      </c>
    </row>
    <row r="8" ht="15.6" spans="1:26">
      <c r="A8" s="233"/>
      <c r="B8" s="239"/>
      <c r="C8" s="240"/>
      <c r="D8" s="241"/>
      <c r="E8" s="242"/>
      <c r="F8" s="241"/>
      <c r="G8" s="241"/>
      <c r="H8" s="243"/>
      <c r="I8" s="15" t="s">
        <v>250</v>
      </c>
      <c r="J8" s="240"/>
      <c r="K8" s="242"/>
      <c r="L8" s="239">
        <v>3.5</v>
      </c>
    </row>
    <row r="9" ht="15.6" spans="1:26">
      <c r="A9" s="233"/>
      <c r="B9" s="239"/>
      <c r="C9" s="240"/>
      <c r="D9" s="241"/>
      <c r="E9" s="242"/>
      <c r="F9" s="241"/>
      <c r="G9" s="241">
        <v>7</v>
      </c>
      <c r="H9" s="243" t="s">
        <v>251</v>
      </c>
      <c r="I9" s="15" t="s">
        <v>252</v>
      </c>
      <c r="J9" s="240">
        <v>1</v>
      </c>
      <c r="K9" s="242"/>
      <c r="L9" s="239">
        <v>1</v>
      </c>
    </row>
    <row r="10" ht="27" customHeight="1" spans="1:26">
      <c r="A10" s="233"/>
      <c r="B10" s="239"/>
      <c r="C10" s="240"/>
      <c r="D10" s="241"/>
      <c r="E10" s="33" t="s">
        <v>170</v>
      </c>
      <c r="F10" s="33"/>
      <c r="G10" s="33"/>
      <c r="H10" s="33"/>
      <c r="I10" s="33"/>
      <c r="J10" s="34"/>
      <c r="K10" s="35"/>
      <c r="L10" s="36">
        <f>SUM(L2:L9)</f>
        <v>19</v>
      </c>
    </row>
    <row r="11" ht="15.6" spans="1:26">
      <c r="A11" s="233"/>
      <c r="B11" s="239"/>
      <c r="C11" s="240"/>
      <c r="D11" s="241"/>
      <c r="E11" s="242" t="s">
        <v>171</v>
      </c>
      <c r="F11" s="242" t="s">
        <v>187</v>
      </c>
      <c r="G11" s="242">
        <v>1</v>
      </c>
      <c r="H11" s="245" t="s">
        <v>253</v>
      </c>
      <c r="I11" s="241" t="s">
        <v>240</v>
      </c>
      <c r="J11" s="246"/>
      <c r="K11" s="242"/>
      <c r="L11" s="247"/>
    </row>
    <row r="12" ht="15" spans="1:26">
      <c r="A12" s="248"/>
      <c r="B12" s="249"/>
      <c r="C12" s="250"/>
      <c r="D12" s="251"/>
      <c r="E12" s="252"/>
      <c r="F12" s="252"/>
      <c r="G12" s="242">
        <v>2</v>
      </c>
      <c r="H12" s="244" t="s">
        <v>254</v>
      </c>
      <c r="I12" s="15" t="s">
        <v>242</v>
      </c>
      <c r="J12" s="240"/>
      <c r="K12" s="242"/>
      <c r="L12" s="247"/>
    </row>
    <row r="13" ht="15" spans="1:26">
      <c r="A13" s="248" t="s">
        <v>255</v>
      </c>
      <c r="B13" s="249" t="s">
        <v>63</v>
      </c>
      <c r="C13" s="250">
        <v>0.85</v>
      </c>
      <c r="D13" s="251"/>
      <c r="E13" s="252" t="s">
        <v>155</v>
      </c>
      <c r="F13" s="251" t="s">
        <v>76</v>
      </c>
      <c r="G13" s="241">
        <v>1</v>
      </c>
      <c r="H13" s="244" t="s">
        <v>256</v>
      </c>
      <c r="I13" s="15" t="s">
        <v>215</v>
      </c>
      <c r="J13" s="240">
        <v>0.95</v>
      </c>
      <c r="K13" s="242"/>
      <c r="L13" s="247">
        <v>0.5</v>
      </c>
    </row>
    <row r="14" ht="15" spans="1:26">
      <c r="A14" s="253"/>
      <c r="B14" s="254"/>
      <c r="C14" s="255"/>
      <c r="D14" s="256"/>
      <c r="E14" s="257"/>
      <c r="F14" s="256"/>
      <c r="G14" s="241">
        <v>2</v>
      </c>
      <c r="H14" s="244" t="s">
        <v>257</v>
      </c>
      <c r="I14" s="15" t="s">
        <v>249</v>
      </c>
      <c r="J14" s="240">
        <v>1</v>
      </c>
      <c r="K14" s="242"/>
      <c r="L14" s="247">
        <v>3</v>
      </c>
    </row>
    <row r="15" ht="15" spans="1:26">
      <c r="A15" s="253"/>
      <c r="B15" s="254"/>
      <c r="C15" s="255"/>
      <c r="D15" s="256"/>
      <c r="E15" s="257"/>
      <c r="F15" s="256"/>
      <c r="G15" s="241">
        <v>3</v>
      </c>
      <c r="H15" s="243" t="s">
        <v>258</v>
      </c>
      <c r="I15" s="15" t="s">
        <v>250</v>
      </c>
      <c r="J15" s="240">
        <v>1</v>
      </c>
      <c r="K15" s="242"/>
      <c r="L15" s="247">
        <v>1.5</v>
      </c>
    </row>
    <row r="16" ht="15" spans="1:26">
      <c r="A16" s="253"/>
      <c r="B16" s="254"/>
      <c r="C16" s="255"/>
      <c r="D16" s="256"/>
      <c r="E16" s="257"/>
      <c r="F16" s="256"/>
      <c r="G16" s="241"/>
      <c r="H16" s="243"/>
      <c r="I16" s="15" t="s">
        <v>252</v>
      </c>
      <c r="J16" s="240"/>
      <c r="K16" s="242"/>
      <c r="L16" s="247">
        <v>1</v>
      </c>
    </row>
    <row r="17" ht="15" spans="1:12">
      <c r="A17" s="253"/>
      <c r="B17" s="254"/>
      <c r="C17" s="255"/>
      <c r="D17" s="256"/>
      <c r="E17" s="33" t="s">
        <v>170</v>
      </c>
      <c r="F17" s="33"/>
      <c r="G17" s="33"/>
      <c r="H17" s="33"/>
      <c r="I17" s="33"/>
      <c r="J17" s="34"/>
      <c r="K17" s="35"/>
      <c r="L17" s="36">
        <f>SUM(L13:L16)</f>
        <v>6</v>
      </c>
    </row>
    <row r="18" ht="15" spans="1:12">
      <c r="A18" s="253"/>
      <c r="B18" s="254"/>
      <c r="C18" s="255"/>
      <c r="D18" s="256"/>
      <c r="E18" s="252" t="s">
        <v>171</v>
      </c>
      <c r="F18" s="251" t="s">
        <v>76</v>
      </c>
      <c r="G18" s="241">
        <v>1</v>
      </c>
      <c r="H18" s="244" t="s">
        <v>259</v>
      </c>
      <c r="I18" s="15" t="s">
        <v>215</v>
      </c>
      <c r="J18" s="258"/>
      <c r="K18" s="242"/>
      <c r="L18" s="247"/>
    </row>
    <row r="19" ht="27" customHeight="1" spans="1:12">
      <c r="A19" s="233" t="s">
        <v>260</v>
      </c>
      <c r="B19" s="239" t="s">
        <v>66</v>
      </c>
      <c r="C19" s="241"/>
      <c r="D19" s="241"/>
      <c r="E19" s="242" t="s">
        <v>155</v>
      </c>
      <c r="F19" s="241" t="s">
        <v>68</v>
      </c>
      <c r="G19" s="241">
        <v>1</v>
      </c>
      <c r="H19" s="243" t="s">
        <v>261</v>
      </c>
      <c r="I19" s="15" t="s">
        <v>262</v>
      </c>
      <c r="J19" s="240">
        <v>1</v>
      </c>
      <c r="K19" s="242"/>
      <c r="L19" s="247">
        <v>0.5</v>
      </c>
    </row>
    <row r="20" ht="15" spans="1:12">
      <c r="A20" s="233"/>
      <c r="B20" s="239"/>
      <c r="C20" s="241"/>
      <c r="D20" s="241"/>
      <c r="E20" s="242"/>
      <c r="F20" s="241"/>
      <c r="G20" s="241"/>
      <c r="H20" s="243"/>
      <c r="I20" s="15" t="s">
        <v>41</v>
      </c>
      <c r="J20" s="240"/>
      <c r="K20" s="242"/>
      <c r="L20" s="247">
        <v>4.5</v>
      </c>
    </row>
    <row r="21" ht="15" spans="1:12">
      <c r="A21" s="233"/>
      <c r="B21" s="239"/>
      <c r="C21" s="241"/>
      <c r="D21" s="241"/>
      <c r="E21" s="242"/>
      <c r="F21" s="241"/>
      <c r="G21" s="241"/>
      <c r="H21" s="243"/>
      <c r="I21" s="15" t="s">
        <v>263</v>
      </c>
      <c r="J21" s="240"/>
      <c r="K21" s="242"/>
      <c r="L21" s="247">
        <v>3.5</v>
      </c>
    </row>
    <row r="22" ht="15" spans="1:12">
      <c r="A22" s="233"/>
      <c r="B22" s="239"/>
      <c r="C22" s="241"/>
      <c r="D22" s="241"/>
      <c r="E22" s="242"/>
      <c r="F22" s="241"/>
      <c r="G22" s="241"/>
      <c r="H22" s="243"/>
      <c r="I22" s="15" t="s">
        <v>60</v>
      </c>
      <c r="J22" s="240"/>
      <c r="K22" s="242"/>
      <c r="L22" s="247">
        <v>3</v>
      </c>
    </row>
    <row r="23" ht="15" spans="1:12">
      <c r="A23" s="233"/>
      <c r="B23" s="239"/>
      <c r="C23" s="241"/>
      <c r="D23" s="241"/>
      <c r="E23" s="242"/>
      <c r="F23" s="241"/>
      <c r="G23" s="241"/>
      <c r="H23" s="243"/>
      <c r="I23" s="15" t="s">
        <v>264</v>
      </c>
      <c r="J23" s="240">
        <v>1</v>
      </c>
      <c r="K23" s="242"/>
      <c r="L23" s="247">
        <v>5</v>
      </c>
    </row>
    <row r="24" ht="15" spans="1:12">
      <c r="A24" s="233"/>
      <c r="B24" s="239"/>
      <c r="C24" s="241"/>
      <c r="D24" s="241"/>
      <c r="E24" s="242"/>
      <c r="F24" s="241"/>
      <c r="G24" s="241"/>
      <c r="H24" s="243"/>
      <c r="I24" s="15" t="s">
        <v>265</v>
      </c>
      <c r="J24" s="240"/>
      <c r="K24" s="242"/>
      <c r="L24" s="247">
        <v>3</v>
      </c>
    </row>
    <row r="25" ht="15" spans="1:12">
      <c r="A25" s="233"/>
      <c r="B25" s="239"/>
      <c r="C25" s="241"/>
      <c r="D25" s="241"/>
      <c r="E25" s="242"/>
      <c r="F25" s="241"/>
      <c r="G25" s="241">
        <v>2</v>
      </c>
      <c r="H25" s="243" t="s">
        <v>266</v>
      </c>
      <c r="I25" s="15" t="s">
        <v>60</v>
      </c>
      <c r="J25" s="240">
        <v>1</v>
      </c>
      <c r="K25" s="242"/>
      <c r="L25" s="247">
        <v>1</v>
      </c>
    </row>
    <row r="26" ht="15" spans="1:12">
      <c r="A26" s="233"/>
      <c r="B26" s="239"/>
      <c r="C26" s="241"/>
      <c r="D26" s="241"/>
      <c r="E26" s="242"/>
      <c r="F26" s="241"/>
      <c r="G26" s="241">
        <v>3</v>
      </c>
      <c r="H26" s="243" t="s">
        <v>267</v>
      </c>
      <c r="I26" s="15" t="s">
        <v>245</v>
      </c>
      <c r="J26" s="240">
        <v>1</v>
      </c>
      <c r="K26" s="242"/>
      <c r="L26" s="247">
        <v>3.5</v>
      </c>
    </row>
    <row r="27" ht="15" spans="1:12">
      <c r="A27" s="233"/>
      <c r="B27" s="239"/>
      <c r="C27" s="241"/>
      <c r="D27" s="241"/>
      <c r="E27" s="242"/>
      <c r="F27" s="241"/>
      <c r="G27" s="241"/>
      <c r="H27" s="243"/>
      <c r="I27" s="15" t="s">
        <v>265</v>
      </c>
      <c r="J27" s="240"/>
      <c r="K27" s="242"/>
      <c r="L27" s="247">
        <v>2</v>
      </c>
    </row>
    <row r="28" ht="15" spans="1:12">
      <c r="A28" s="233"/>
      <c r="B28" s="239"/>
      <c r="C28" s="241"/>
      <c r="D28" s="241"/>
      <c r="E28" s="242"/>
      <c r="F28" s="241"/>
      <c r="G28" s="241"/>
      <c r="H28" s="243"/>
      <c r="I28" s="15" t="s">
        <v>263</v>
      </c>
      <c r="J28" s="240"/>
      <c r="K28" s="242"/>
      <c r="L28" s="247">
        <v>1.5</v>
      </c>
    </row>
    <row r="29" ht="15" spans="1:12">
      <c r="A29" s="233"/>
      <c r="B29" s="239"/>
      <c r="C29" s="241"/>
      <c r="D29" s="241"/>
      <c r="E29" s="33" t="s">
        <v>170</v>
      </c>
      <c r="F29" s="33"/>
      <c r="G29" s="33"/>
      <c r="H29" s="33"/>
      <c r="I29" s="33"/>
      <c r="J29" s="34"/>
      <c r="K29" s="35"/>
      <c r="L29" s="36">
        <f>SUM(L19:L28)</f>
        <v>27.5</v>
      </c>
    </row>
    <row r="30" ht="15" spans="1:12">
      <c r="A30" s="233"/>
      <c r="B30" s="239"/>
      <c r="C30" s="241"/>
      <c r="D30" s="241"/>
      <c r="E30" s="242" t="s">
        <v>171</v>
      </c>
      <c r="F30" s="242" t="s">
        <v>68</v>
      </c>
      <c r="G30" s="241">
        <v>1</v>
      </c>
      <c r="H30" s="244" t="s">
        <v>268</v>
      </c>
      <c r="I30" s="15" t="s">
        <v>263</v>
      </c>
      <c r="J30" s="246"/>
      <c r="K30" s="242"/>
      <c r="L30" s="247"/>
    </row>
    <row r="31" ht="15" spans="1:12">
      <c r="A31" s="233"/>
      <c r="B31" s="239"/>
      <c r="C31" s="241"/>
      <c r="D31" s="241"/>
      <c r="E31" s="242"/>
      <c r="F31" s="242"/>
      <c r="G31" s="241">
        <v>2</v>
      </c>
      <c r="H31" s="243" t="s">
        <v>269</v>
      </c>
      <c r="I31" s="15" t="s">
        <v>262</v>
      </c>
      <c r="J31" s="246"/>
      <c r="K31" s="242"/>
      <c r="L31" s="247"/>
    </row>
    <row r="32" ht="15" spans="1:12">
      <c r="A32" s="233"/>
      <c r="B32" s="239"/>
      <c r="C32" s="241"/>
      <c r="D32" s="241"/>
      <c r="E32" s="242"/>
      <c r="F32" s="242"/>
      <c r="G32" s="241">
        <v>3</v>
      </c>
      <c r="H32" s="243" t="s">
        <v>270</v>
      </c>
      <c r="I32" s="15" t="s">
        <v>60</v>
      </c>
      <c r="J32" s="246"/>
      <c r="K32" s="242"/>
      <c r="L32" s="247"/>
    </row>
    <row r="33" ht="15" spans="1:12">
      <c r="A33" s="233"/>
      <c r="B33" s="239"/>
      <c r="C33" s="241"/>
      <c r="D33" s="241"/>
      <c r="E33" s="242"/>
      <c r="F33" s="242"/>
      <c r="G33" s="241">
        <v>4</v>
      </c>
      <c r="H33" s="243" t="s">
        <v>271</v>
      </c>
      <c r="I33" s="15" t="s">
        <v>263</v>
      </c>
      <c r="J33" s="246"/>
      <c r="K33" s="242"/>
      <c r="L33" s="247"/>
    </row>
    <row r="34" ht="15" spans="1:12">
      <c r="A34" s="233"/>
      <c r="B34" s="239"/>
      <c r="C34" s="241"/>
      <c r="D34" s="241"/>
      <c r="E34" s="242"/>
      <c r="F34" s="242"/>
      <c r="G34" s="241">
        <v>5</v>
      </c>
      <c r="H34" s="243" t="s">
        <v>272</v>
      </c>
      <c r="I34" s="15" t="s">
        <v>60</v>
      </c>
      <c r="J34" s="246"/>
      <c r="K34" s="242"/>
      <c r="L34" s="247"/>
    </row>
  </sheetData>
  <mergeCells count="39">
    <mergeCell ref="E10:H10"/>
    <mergeCell ref="E17:H17"/>
    <mergeCell ref="E29:H29"/>
    <mergeCell ref="A2:A12"/>
    <mergeCell ref="A13:A18"/>
    <mergeCell ref="A19:A34"/>
    <mergeCell ref="B2:B12"/>
    <mergeCell ref="B13:B18"/>
    <mergeCell ref="B19:B34"/>
    <mergeCell ref="C2:C12"/>
    <mergeCell ref="C13:C18"/>
    <mergeCell ref="C19:C34"/>
    <mergeCell ref="D2:D12"/>
    <mergeCell ref="D13:D18"/>
    <mergeCell ref="D19:D34"/>
    <mergeCell ref="E2:E9"/>
    <mergeCell ref="E11:E12"/>
    <mergeCell ref="E13:E16"/>
    <mergeCell ref="E19:E28"/>
    <mergeCell ref="E30:E34"/>
    <mergeCell ref="F2:F9"/>
    <mergeCell ref="F11:F12"/>
    <mergeCell ref="F13:F16"/>
    <mergeCell ref="F19:F28"/>
    <mergeCell ref="F30:F34"/>
    <mergeCell ref="G7:G8"/>
    <mergeCell ref="G15:G16"/>
    <mergeCell ref="G19:G24"/>
    <mergeCell ref="G26:G28"/>
    <mergeCell ref="H7:H8"/>
    <mergeCell ref="H15:H16"/>
    <mergeCell ref="H19:H24"/>
    <mergeCell ref="H26:H28"/>
    <mergeCell ref="J5:J6"/>
    <mergeCell ref="J7:J8"/>
    <mergeCell ref="J15:J16"/>
    <mergeCell ref="J19:J22"/>
    <mergeCell ref="J23:J24"/>
    <mergeCell ref="J26:J28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7"/>
  <sheetViews>
    <sheetView workbookViewId="0">
      <pane ySplit="1" topLeftCell="A2" activePane="bottomLeft" state="frozen"/>
      <selection/>
      <selection pane="bottomLeft" activeCell="H9" sqref="H9:H12"/>
    </sheetView>
  </sheetViews>
  <sheetFormatPr defaultColWidth="9.13888888888889" defaultRowHeight="13.2"/>
  <cols>
    <col min="1" max="1" width="22.4259259259259" style="1" customWidth="1"/>
    <col min="2" max="2" width="11.712962962963" style="1" customWidth="1"/>
    <col min="3" max="3" width="12.5" style="1"/>
    <col min="4" max="7" width="9.13888888888889" style="1"/>
    <col min="8" max="8" width="59.712962962963" style="1" customWidth="1"/>
    <col min="9" max="11" width="9.13888888888889" style="1"/>
    <col min="12" max="12" width="19.5740740740741" style="2" customWidth="1"/>
    <col min="13" max="16384" width="9.13888888888889" style="1"/>
  </cols>
  <sheetData>
    <row r="1" ht="51.75" customHeight="1" spans="1:26">
      <c r="A1" s="3" t="s">
        <v>143</v>
      </c>
      <c r="B1" s="4" t="s">
        <v>6</v>
      </c>
      <c r="C1" s="3" t="s">
        <v>144</v>
      </c>
      <c r="D1" s="3" t="s">
        <v>145</v>
      </c>
      <c r="E1" s="4" t="s">
        <v>146</v>
      </c>
      <c r="F1" s="3" t="s">
        <v>147</v>
      </c>
      <c r="G1" s="3" t="s">
        <v>1</v>
      </c>
      <c r="H1" s="5" t="s">
        <v>148</v>
      </c>
      <c r="I1" s="3" t="s">
        <v>149</v>
      </c>
      <c r="J1" s="6" t="s">
        <v>150</v>
      </c>
      <c r="K1" s="3" t="s">
        <v>151</v>
      </c>
      <c r="L1" s="7" t="s">
        <v>152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" spans="1:26">
      <c r="A2" s="180" t="s">
        <v>273</v>
      </c>
      <c r="B2" s="181" t="s">
        <v>71</v>
      </c>
      <c r="C2" s="182" t="s">
        <v>274</v>
      </c>
      <c r="D2" s="183"/>
      <c r="E2" s="184" t="s">
        <v>155</v>
      </c>
      <c r="F2" s="183" t="s">
        <v>76</v>
      </c>
      <c r="G2" s="27">
        <v>1</v>
      </c>
      <c r="H2" s="110"/>
      <c r="I2" s="185"/>
      <c r="J2" s="101"/>
      <c r="K2" s="186"/>
      <c r="L2" s="187"/>
    </row>
    <row r="3" ht="15" spans="1:26">
      <c r="A3" s="188"/>
      <c r="B3" s="189"/>
      <c r="C3" s="190"/>
      <c r="D3" s="186"/>
      <c r="E3" s="191"/>
      <c r="F3" s="186"/>
      <c r="G3" s="13">
        <v>2</v>
      </c>
      <c r="H3" s="113"/>
      <c r="I3" s="185"/>
      <c r="J3" s="101"/>
      <c r="K3" s="186"/>
      <c r="L3" s="187"/>
    </row>
    <row r="4" ht="15" spans="1:26">
      <c r="A4" s="188"/>
      <c r="B4" s="189"/>
      <c r="C4" s="190"/>
      <c r="D4" s="186"/>
      <c r="E4" s="192"/>
      <c r="F4" s="193"/>
      <c r="G4" s="11">
        <v>3</v>
      </c>
      <c r="H4" s="194"/>
      <c r="I4" s="185"/>
      <c r="J4" s="101"/>
      <c r="K4" s="185"/>
      <c r="L4" s="187"/>
    </row>
    <row r="5" ht="15" spans="1:26">
      <c r="A5" s="188"/>
      <c r="B5" s="189"/>
      <c r="C5" s="190"/>
      <c r="D5" s="186"/>
      <c r="E5" s="195" t="s">
        <v>170</v>
      </c>
      <c r="F5" s="196"/>
      <c r="G5" s="196"/>
      <c r="H5" s="197"/>
      <c r="I5" s="198"/>
      <c r="J5" s="199"/>
      <c r="K5" s="200"/>
      <c r="L5" s="201">
        <f>SUM(L2:L4)</f>
        <v>0</v>
      </c>
    </row>
    <row r="6" ht="15.6" spans="1:26">
      <c r="A6" s="188"/>
      <c r="B6" s="189"/>
      <c r="C6" s="190"/>
      <c r="D6" s="186"/>
      <c r="E6" s="184" t="s">
        <v>171</v>
      </c>
      <c r="F6" s="202" t="s">
        <v>76</v>
      </c>
      <c r="G6" s="27">
        <v>1</v>
      </c>
      <c r="H6" s="203"/>
      <c r="I6" s="186"/>
      <c r="J6" s="204"/>
      <c r="K6" s="191"/>
      <c r="L6" s="187"/>
    </row>
    <row r="7" ht="15.6" spans="1:26">
      <c r="A7" s="188"/>
      <c r="B7" s="189"/>
      <c r="C7" s="190"/>
      <c r="D7" s="186"/>
      <c r="E7" s="191"/>
      <c r="F7" s="205"/>
      <c r="G7" s="13">
        <v>2</v>
      </c>
      <c r="H7" s="206"/>
      <c r="I7" s="191"/>
      <c r="J7" s="204"/>
      <c r="K7" s="191"/>
      <c r="L7" s="187"/>
    </row>
    <row r="8" ht="90" spans="1:26">
      <c r="A8" s="180" t="s">
        <v>275</v>
      </c>
      <c r="B8" s="181" t="s">
        <v>71</v>
      </c>
      <c r="C8" s="182" t="s">
        <v>276</v>
      </c>
      <c r="D8" s="183"/>
      <c r="E8" s="184" t="s">
        <v>155</v>
      </c>
      <c r="F8" s="183" t="s">
        <v>76</v>
      </c>
      <c r="G8" s="13">
        <v>1</v>
      </c>
      <c r="H8" s="207" t="s">
        <v>277</v>
      </c>
      <c r="I8" s="208" t="s">
        <v>82</v>
      </c>
      <c r="J8" s="101">
        <v>1</v>
      </c>
      <c r="K8" s="186"/>
      <c r="L8" s="187">
        <v>1</v>
      </c>
    </row>
    <row r="9" ht="15" spans="1:26">
      <c r="A9" s="180"/>
      <c r="B9" s="181"/>
      <c r="C9" s="182"/>
      <c r="D9" s="183"/>
      <c r="E9" s="184"/>
      <c r="F9" s="183"/>
      <c r="G9" s="13">
        <v>2</v>
      </c>
      <c r="H9" s="209" t="s">
        <v>278</v>
      </c>
      <c r="I9" s="208" t="s">
        <v>279</v>
      </c>
      <c r="J9" s="101">
        <v>0.3</v>
      </c>
      <c r="K9" s="186"/>
      <c r="L9" s="187">
        <v>4</v>
      </c>
    </row>
    <row r="10" ht="18" customHeight="1" spans="1:26">
      <c r="A10" s="180"/>
      <c r="B10" s="181"/>
      <c r="C10" s="182"/>
      <c r="D10" s="183"/>
      <c r="E10" s="184"/>
      <c r="F10" s="183"/>
      <c r="G10" s="13">
        <v>3</v>
      </c>
      <c r="H10" s="210"/>
      <c r="I10" s="208" t="s">
        <v>71</v>
      </c>
      <c r="J10" s="101">
        <v>0.3</v>
      </c>
      <c r="K10" s="186"/>
      <c r="L10" s="187">
        <v>1.5</v>
      </c>
    </row>
    <row r="11" ht="15" spans="1:26">
      <c r="A11" s="180"/>
      <c r="B11" s="181"/>
      <c r="C11" s="182"/>
      <c r="D11" s="183"/>
      <c r="E11" s="184"/>
      <c r="F11" s="183"/>
      <c r="G11" s="13">
        <v>4</v>
      </c>
      <c r="H11" s="210"/>
      <c r="I11" s="208" t="s">
        <v>180</v>
      </c>
      <c r="J11" s="101">
        <v>0.3</v>
      </c>
      <c r="K11" s="186"/>
      <c r="L11" s="187">
        <v>1</v>
      </c>
    </row>
    <row r="12" ht="15" spans="1:26">
      <c r="A12" s="180"/>
      <c r="B12" s="181"/>
      <c r="C12" s="182"/>
      <c r="D12" s="183"/>
      <c r="E12" s="184"/>
      <c r="F12" s="183"/>
      <c r="G12" s="13">
        <v>5</v>
      </c>
      <c r="H12" s="211"/>
      <c r="I12" s="208" t="s">
        <v>179</v>
      </c>
      <c r="J12" s="101">
        <v>0.3</v>
      </c>
      <c r="K12" s="186"/>
      <c r="L12" s="187">
        <v>1</v>
      </c>
    </row>
    <row r="13" ht="15" spans="1:26">
      <c r="A13" s="180"/>
      <c r="B13" s="181"/>
      <c r="C13" s="182"/>
      <c r="D13" s="183"/>
      <c r="E13" s="212" t="s">
        <v>170</v>
      </c>
      <c r="F13" s="212"/>
      <c r="G13" s="212"/>
      <c r="H13" s="212"/>
      <c r="I13" s="212"/>
      <c r="J13" s="199"/>
      <c r="K13" s="200"/>
      <c r="L13" s="201">
        <f>SUM(L8:L12)</f>
        <v>8.5</v>
      </c>
    </row>
    <row r="14" ht="15" spans="1:26">
      <c r="A14" s="180"/>
      <c r="B14" s="181"/>
      <c r="C14" s="182"/>
      <c r="D14" s="183"/>
      <c r="E14" s="191" t="s">
        <v>171</v>
      </c>
      <c r="F14" s="191" t="s">
        <v>76</v>
      </c>
      <c r="G14" s="13">
        <v>1</v>
      </c>
      <c r="H14" s="213"/>
      <c r="I14" s="208"/>
      <c r="J14" s="214"/>
      <c r="K14" s="191"/>
      <c r="L14" s="187"/>
    </row>
    <row r="15" ht="15" spans="1:26">
      <c r="A15" s="180"/>
      <c r="B15" s="181"/>
      <c r="C15" s="182"/>
      <c r="D15" s="183"/>
      <c r="E15" s="191"/>
      <c r="F15" s="191"/>
      <c r="G15" s="13">
        <v>2</v>
      </c>
      <c r="H15" s="213"/>
      <c r="I15" s="208"/>
      <c r="J15" s="214"/>
      <c r="K15" s="191"/>
      <c r="L15" s="187"/>
    </row>
    <row r="16" ht="32" customHeight="1" spans="1:26">
      <c r="A16" s="188" t="s">
        <v>280</v>
      </c>
      <c r="B16" s="189" t="s">
        <v>71</v>
      </c>
      <c r="C16" s="190" t="s">
        <v>281</v>
      </c>
      <c r="D16" s="186"/>
      <c r="E16" s="192" t="s">
        <v>155</v>
      </c>
      <c r="F16" s="193" t="s">
        <v>76</v>
      </c>
      <c r="G16" s="13">
        <v>1</v>
      </c>
      <c r="H16" s="215" t="s">
        <v>282</v>
      </c>
      <c r="I16" s="208" t="s">
        <v>71</v>
      </c>
      <c r="J16" s="101">
        <v>1</v>
      </c>
      <c r="K16" s="186"/>
      <c r="L16" s="187">
        <v>2</v>
      </c>
    </row>
    <row r="17" ht="30" spans="1:12">
      <c r="A17" s="188"/>
      <c r="B17" s="189"/>
      <c r="C17" s="190"/>
      <c r="D17" s="186"/>
      <c r="E17" s="192"/>
      <c r="F17" s="193"/>
      <c r="G17" s="13">
        <v>2</v>
      </c>
      <c r="H17" s="216" t="s">
        <v>283</v>
      </c>
      <c r="I17" s="208" t="s">
        <v>279</v>
      </c>
      <c r="J17" s="101">
        <v>1</v>
      </c>
      <c r="K17" s="186"/>
      <c r="L17" s="187">
        <v>1</v>
      </c>
    </row>
    <row r="18" ht="27" customHeight="1" spans="1:12">
      <c r="A18" s="188"/>
      <c r="B18" s="189"/>
      <c r="C18" s="190"/>
      <c r="D18" s="186"/>
      <c r="E18" s="192"/>
      <c r="F18" s="193"/>
      <c r="G18" s="13">
        <v>3</v>
      </c>
      <c r="H18" s="217"/>
      <c r="I18" s="208"/>
      <c r="J18" s="101"/>
      <c r="K18" s="186"/>
      <c r="L18" s="187"/>
    </row>
    <row r="19" ht="15" spans="1:12">
      <c r="A19" s="188"/>
      <c r="B19" s="189"/>
      <c r="C19" s="190"/>
      <c r="D19" s="186"/>
      <c r="E19" s="212" t="s">
        <v>170</v>
      </c>
      <c r="F19" s="212"/>
      <c r="G19" s="212"/>
      <c r="H19" s="212"/>
      <c r="I19" s="212"/>
      <c r="J19" s="199"/>
      <c r="K19" s="200"/>
      <c r="L19" s="201">
        <f>SUM(L16:L18)</f>
        <v>3</v>
      </c>
    </row>
    <row r="20" ht="15" spans="1:12">
      <c r="A20" s="188"/>
      <c r="B20" s="189"/>
      <c r="C20" s="190"/>
      <c r="D20" s="186"/>
      <c r="E20" s="191" t="s">
        <v>171</v>
      </c>
      <c r="F20" s="191" t="s">
        <v>76</v>
      </c>
      <c r="G20" s="13">
        <v>1</v>
      </c>
      <c r="H20" s="213"/>
      <c r="I20" s="208"/>
      <c r="J20" s="214"/>
      <c r="K20" s="191"/>
      <c r="L20" s="187"/>
    </row>
    <row r="21" ht="15" spans="1:12">
      <c r="A21" s="188"/>
      <c r="B21" s="189"/>
      <c r="C21" s="190"/>
      <c r="D21" s="186"/>
      <c r="E21" s="191"/>
      <c r="F21" s="191"/>
      <c r="G21" s="13">
        <v>2</v>
      </c>
      <c r="H21" s="218"/>
      <c r="I21" s="208"/>
      <c r="J21" s="214"/>
      <c r="K21" s="191"/>
      <c r="L21" s="187"/>
    </row>
    <row r="22" ht="15" spans="1:12">
      <c r="A22" s="219" t="s">
        <v>284</v>
      </c>
      <c r="B22" s="220" t="s">
        <v>82</v>
      </c>
      <c r="C22" s="221" t="s">
        <v>274</v>
      </c>
      <c r="D22" s="222"/>
      <c r="E22" s="223" t="s">
        <v>155</v>
      </c>
      <c r="F22" s="222" t="s">
        <v>76</v>
      </c>
      <c r="G22" s="13">
        <v>1</v>
      </c>
      <c r="H22" s="209"/>
      <c r="I22" s="208"/>
      <c r="J22" s="101"/>
      <c r="K22" s="224"/>
      <c r="L22" s="94"/>
    </row>
    <row r="23" ht="15" spans="1:12">
      <c r="A23" s="219"/>
      <c r="B23" s="220"/>
      <c r="C23" s="221"/>
      <c r="D23" s="222"/>
      <c r="E23" s="223"/>
      <c r="F23" s="222"/>
      <c r="G23" s="13">
        <v>2</v>
      </c>
      <c r="H23" s="210"/>
      <c r="I23" s="208"/>
      <c r="J23" s="101"/>
      <c r="K23" s="224"/>
      <c r="L23" s="94"/>
    </row>
    <row r="24" ht="15" spans="1:12">
      <c r="A24" s="219"/>
      <c r="B24" s="220"/>
      <c r="C24" s="221"/>
      <c r="D24" s="222"/>
      <c r="E24" s="223"/>
      <c r="F24" s="222"/>
      <c r="G24" s="13">
        <v>3</v>
      </c>
      <c r="H24" s="225"/>
      <c r="I24" s="208"/>
      <c r="J24" s="92"/>
      <c r="K24" s="224"/>
      <c r="L24" s="94"/>
    </row>
    <row r="25" ht="15" spans="1:12">
      <c r="A25" s="219"/>
      <c r="B25" s="220"/>
      <c r="C25" s="221"/>
      <c r="D25" s="222"/>
      <c r="E25" s="226" t="s">
        <v>170</v>
      </c>
      <c r="F25" s="196"/>
      <c r="G25" s="196"/>
      <c r="H25" s="227"/>
      <c r="I25" s="34"/>
      <c r="J25" s="34"/>
      <c r="K25" s="228"/>
      <c r="L25" s="36">
        <f>SUM(L22:L24)</f>
        <v>0</v>
      </c>
    </row>
    <row r="26" ht="15" spans="1:12">
      <c r="A26" s="219"/>
      <c r="B26" s="220"/>
      <c r="C26" s="221"/>
      <c r="D26" s="222"/>
      <c r="E26" s="223" t="s">
        <v>171</v>
      </c>
      <c r="F26" s="223" t="s">
        <v>76</v>
      </c>
      <c r="G26" s="13">
        <v>1</v>
      </c>
      <c r="H26" s="229"/>
      <c r="I26" s="208"/>
      <c r="J26" s="92"/>
      <c r="K26" s="223"/>
      <c r="L26" s="94"/>
    </row>
    <row r="27" ht="15" spans="1:12">
      <c r="A27" s="219"/>
      <c r="B27" s="220"/>
      <c r="C27" s="221"/>
      <c r="D27" s="222"/>
      <c r="E27" s="223"/>
      <c r="F27" s="223"/>
      <c r="G27" s="13">
        <v>2</v>
      </c>
      <c r="H27" s="230"/>
      <c r="I27" s="208"/>
      <c r="J27" s="92"/>
      <c r="K27" s="223"/>
      <c r="L27" s="94"/>
    </row>
  </sheetData>
  <mergeCells count="39">
    <mergeCell ref="E5:H5"/>
    <mergeCell ref="E13:H13"/>
    <mergeCell ref="E19:H19"/>
    <mergeCell ref="E25:H25"/>
    <mergeCell ref="A2:A7"/>
    <mergeCell ref="A8:A15"/>
    <mergeCell ref="A16:A21"/>
    <mergeCell ref="A22:A27"/>
    <mergeCell ref="B2:B7"/>
    <mergeCell ref="B8:B15"/>
    <mergeCell ref="B16:B21"/>
    <mergeCell ref="B22:B27"/>
    <mergeCell ref="C2:C7"/>
    <mergeCell ref="C8:C15"/>
    <mergeCell ref="C16:C21"/>
    <mergeCell ref="C22:C27"/>
    <mergeCell ref="D2:D7"/>
    <mergeCell ref="D8:D15"/>
    <mergeCell ref="D16:D21"/>
    <mergeCell ref="D22:D27"/>
    <mergeCell ref="E2:E4"/>
    <mergeCell ref="E6:E7"/>
    <mergeCell ref="E8:E12"/>
    <mergeCell ref="E14:E15"/>
    <mergeCell ref="E16:E18"/>
    <mergeCell ref="E20:E21"/>
    <mergeCell ref="E22:E24"/>
    <mergeCell ref="E26:E27"/>
    <mergeCell ref="F2:F4"/>
    <mergeCell ref="F6:F7"/>
    <mergeCell ref="F8:F12"/>
    <mergeCell ref="F14:F15"/>
    <mergeCell ref="F16:F18"/>
    <mergeCell ref="F20:F21"/>
    <mergeCell ref="F22:F24"/>
    <mergeCell ref="F26:F27"/>
    <mergeCell ref="H2:H3"/>
    <mergeCell ref="H9:H12"/>
    <mergeCell ref="H22:H2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15"/>
  <sheetViews>
    <sheetView workbookViewId="0">
      <pane ySplit="1" topLeftCell="A2" activePane="bottomLeft" state="frozen"/>
      <selection/>
      <selection pane="bottomLeft" activeCell="H9" sqref="H9"/>
    </sheetView>
  </sheetViews>
  <sheetFormatPr defaultColWidth="9.16666666666667" defaultRowHeight="13.2"/>
  <cols>
    <col min="1" max="1" width="22.4166666666667" style="144" customWidth="1"/>
    <col min="2" max="2" width="11.75" style="144" customWidth="1"/>
    <col min="3" max="7" width="9.16666666666667" style="144"/>
    <col min="8" max="8" width="59.75" style="144" customWidth="1"/>
    <col min="9" max="11" width="9.16666666666667" style="144"/>
    <col min="12" max="12" width="19.5833333333333" style="145" customWidth="1"/>
    <col min="13" max="16384" width="9.16666666666667" style="144"/>
  </cols>
  <sheetData>
    <row r="1" ht="69.6" spans="1:26">
      <c r="A1" s="146" t="s">
        <v>143</v>
      </c>
      <c r="B1" s="147" t="s">
        <v>6</v>
      </c>
      <c r="C1" s="146" t="s">
        <v>144</v>
      </c>
      <c r="D1" s="146" t="s">
        <v>145</v>
      </c>
      <c r="E1" s="147" t="s">
        <v>146</v>
      </c>
      <c r="F1" s="146" t="s">
        <v>147</v>
      </c>
      <c r="G1" s="146" t="s">
        <v>1</v>
      </c>
      <c r="H1" s="148" t="s">
        <v>148</v>
      </c>
      <c r="I1" s="146" t="s">
        <v>149</v>
      </c>
      <c r="J1" s="149" t="s">
        <v>150</v>
      </c>
      <c r="K1" s="146" t="s">
        <v>151</v>
      </c>
      <c r="L1" s="150" t="s">
        <v>152</v>
      </c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ht="30" customHeight="1" spans="1:26">
      <c r="A2" s="152" t="s">
        <v>90</v>
      </c>
      <c r="B2" s="153" t="s">
        <v>88</v>
      </c>
      <c r="C2" s="154"/>
      <c r="D2" s="155"/>
      <c r="E2" s="156" t="s">
        <v>155</v>
      </c>
      <c r="F2" s="155" t="s">
        <v>187</v>
      </c>
      <c r="G2" s="157">
        <v>1</v>
      </c>
      <c r="H2" s="158" t="s">
        <v>285</v>
      </c>
      <c r="I2" s="159" t="s">
        <v>88</v>
      </c>
      <c r="J2" s="160">
        <v>1</v>
      </c>
      <c r="K2" s="161"/>
      <c r="L2" s="162">
        <v>1</v>
      </c>
    </row>
    <row r="3" ht="30" customHeight="1" spans="1:26">
      <c r="A3" s="163"/>
      <c r="B3" s="164"/>
      <c r="C3" s="165"/>
      <c r="D3" s="166"/>
      <c r="E3" s="167"/>
      <c r="F3" s="155" t="s">
        <v>76</v>
      </c>
      <c r="G3" s="157">
        <v>2</v>
      </c>
      <c r="H3" s="158" t="s">
        <v>286</v>
      </c>
      <c r="I3" s="159" t="s">
        <v>88</v>
      </c>
      <c r="J3" s="160">
        <v>1</v>
      </c>
      <c r="K3" s="161"/>
      <c r="L3" s="162">
        <v>3</v>
      </c>
    </row>
    <row r="4" ht="30" customHeight="1" spans="1:26">
      <c r="A4" s="163"/>
      <c r="B4" s="164"/>
      <c r="C4" s="165"/>
      <c r="D4" s="166"/>
      <c r="E4" s="167"/>
      <c r="F4" s="166"/>
      <c r="G4" s="157">
        <v>3</v>
      </c>
      <c r="H4" s="158" t="s">
        <v>287</v>
      </c>
      <c r="I4" s="159" t="s">
        <v>288</v>
      </c>
      <c r="J4" s="160">
        <v>1</v>
      </c>
      <c r="K4" s="161"/>
      <c r="L4" s="162">
        <v>3</v>
      </c>
    </row>
    <row r="5" ht="30" customHeight="1" spans="1:26">
      <c r="A5" s="163"/>
      <c r="B5" s="164"/>
      <c r="C5" s="165"/>
      <c r="D5" s="166"/>
      <c r="E5" s="167"/>
      <c r="F5" s="168"/>
      <c r="G5" s="157">
        <v>4</v>
      </c>
      <c r="H5" s="158" t="s">
        <v>289</v>
      </c>
      <c r="I5" s="159" t="s">
        <v>180</v>
      </c>
      <c r="J5" s="160">
        <v>1</v>
      </c>
      <c r="K5" s="161"/>
      <c r="L5" s="162">
        <v>3</v>
      </c>
    </row>
    <row r="6" ht="30" customHeight="1" spans="1:26">
      <c r="A6" s="163"/>
      <c r="B6" s="164"/>
      <c r="C6" s="165"/>
      <c r="D6" s="166"/>
      <c r="E6" s="169"/>
      <c r="F6" s="155" t="s">
        <v>187</v>
      </c>
      <c r="G6" s="157">
        <v>5</v>
      </c>
      <c r="H6" s="158" t="s">
        <v>290</v>
      </c>
      <c r="I6" s="159" t="s">
        <v>82</v>
      </c>
      <c r="J6" s="160">
        <v>1</v>
      </c>
      <c r="K6" s="161"/>
      <c r="L6" s="162">
        <v>0.25</v>
      </c>
    </row>
    <row r="7" ht="27" customHeight="1" spans="1:26">
      <c r="A7" s="163"/>
      <c r="B7" s="164"/>
      <c r="C7" s="165"/>
      <c r="D7" s="166"/>
      <c r="E7" s="170" t="s">
        <v>170</v>
      </c>
      <c r="F7" s="170"/>
      <c r="G7" s="170"/>
      <c r="H7" s="170"/>
      <c r="I7" s="170"/>
      <c r="J7" s="171"/>
      <c r="K7" s="172"/>
      <c r="L7" s="173">
        <f>SUM(L2:L6)</f>
        <v>10.25</v>
      </c>
    </row>
    <row r="8" ht="25.5" customHeight="1" spans="1:26">
      <c r="A8" s="163"/>
      <c r="B8" s="164"/>
      <c r="C8" s="165"/>
      <c r="D8" s="166"/>
      <c r="E8" s="156" t="s">
        <v>171</v>
      </c>
      <c r="F8" s="161" t="s">
        <v>76</v>
      </c>
      <c r="G8" s="161">
        <v>1</v>
      </c>
      <c r="H8" s="158" t="s">
        <v>291</v>
      </c>
      <c r="I8" s="157" t="s">
        <v>288</v>
      </c>
      <c r="J8" s="174">
        <v>1</v>
      </c>
      <c r="K8" s="161"/>
      <c r="L8" s="175">
        <v>2</v>
      </c>
    </row>
    <row r="9" ht="25.5" customHeight="1" spans="1:26">
      <c r="A9" s="163"/>
      <c r="B9" s="164"/>
      <c r="C9" s="165"/>
      <c r="D9" s="166"/>
      <c r="E9" s="167"/>
      <c r="F9" s="161" t="s">
        <v>76</v>
      </c>
      <c r="G9" s="161">
        <v>2</v>
      </c>
      <c r="H9" s="158" t="s">
        <v>292</v>
      </c>
      <c r="I9" s="157" t="s">
        <v>88</v>
      </c>
      <c r="J9" s="174">
        <v>1</v>
      </c>
      <c r="K9" s="161"/>
      <c r="L9" s="175">
        <v>3</v>
      </c>
    </row>
    <row r="10" ht="25.5" customHeight="1" spans="1:26">
      <c r="A10" s="176"/>
      <c r="B10" s="177"/>
      <c r="C10" s="178"/>
      <c r="D10" s="168"/>
      <c r="E10" s="169"/>
      <c r="F10" s="161" t="s">
        <v>68</v>
      </c>
      <c r="G10" s="161">
        <v>3</v>
      </c>
      <c r="H10" s="158" t="s">
        <v>293</v>
      </c>
      <c r="I10" s="157" t="s">
        <v>88</v>
      </c>
      <c r="J10" s="174">
        <v>1</v>
      </c>
      <c r="K10" s="161"/>
      <c r="L10" s="175">
        <v>2</v>
      </c>
    </row>
    <row r="11" ht="26" customHeight="1" spans="1:26">
      <c r="A11" s="146" t="s">
        <v>294</v>
      </c>
      <c r="B11" s="162" t="s">
        <v>88</v>
      </c>
      <c r="C11" s="157"/>
      <c r="D11" s="157"/>
      <c r="E11" s="156" t="s">
        <v>155</v>
      </c>
      <c r="F11" s="155" t="s">
        <v>187</v>
      </c>
      <c r="G11" s="157">
        <v>1</v>
      </c>
      <c r="H11" s="179" t="s">
        <v>295</v>
      </c>
      <c r="I11" s="159" t="s">
        <v>296</v>
      </c>
      <c r="J11" s="174">
        <v>1</v>
      </c>
      <c r="K11" s="161"/>
      <c r="L11" s="175">
        <v>5</v>
      </c>
    </row>
    <row r="12" ht="26" customHeight="1" spans="1:26">
      <c r="A12" s="146"/>
      <c r="B12" s="162"/>
      <c r="C12" s="157"/>
      <c r="D12" s="157"/>
      <c r="E12" s="167"/>
      <c r="F12" s="166"/>
      <c r="G12" s="157">
        <v>2</v>
      </c>
      <c r="H12" s="179" t="s">
        <v>297</v>
      </c>
      <c r="I12" s="159" t="s">
        <v>88</v>
      </c>
      <c r="J12" s="174">
        <v>1</v>
      </c>
      <c r="K12" s="161"/>
      <c r="L12" s="175">
        <v>1</v>
      </c>
    </row>
    <row r="13" ht="26" customHeight="1" spans="1:26">
      <c r="A13" s="146"/>
      <c r="B13" s="162"/>
      <c r="C13" s="157"/>
      <c r="D13" s="157"/>
      <c r="E13" s="169"/>
      <c r="F13" s="168"/>
      <c r="G13" s="157">
        <v>3</v>
      </c>
      <c r="H13" s="179" t="s">
        <v>298</v>
      </c>
      <c r="I13" s="159" t="s">
        <v>88</v>
      </c>
      <c r="J13" s="174">
        <v>1</v>
      </c>
      <c r="K13" s="161"/>
      <c r="L13" s="175">
        <v>1</v>
      </c>
    </row>
    <row r="14" ht="15" spans="1:26">
      <c r="A14" s="146"/>
      <c r="B14" s="162"/>
      <c r="C14" s="157"/>
      <c r="D14" s="157"/>
      <c r="E14" s="170" t="s">
        <v>170</v>
      </c>
      <c r="F14" s="170"/>
      <c r="G14" s="170"/>
      <c r="H14" s="170"/>
      <c r="I14" s="170"/>
      <c r="J14" s="171"/>
      <c r="K14" s="172"/>
      <c r="L14" s="173">
        <f>SUM(L11:L13)</f>
        <v>7</v>
      </c>
    </row>
    <row r="15" ht="22.5" customHeight="1" spans="1:26">
      <c r="A15" s="146"/>
      <c r="B15" s="162"/>
      <c r="C15" s="157"/>
      <c r="D15" s="157"/>
      <c r="E15" s="161" t="s">
        <v>171</v>
      </c>
      <c r="F15" s="161" t="s">
        <v>68</v>
      </c>
      <c r="G15" s="157">
        <v>1</v>
      </c>
      <c r="H15" s="179" t="s">
        <v>295</v>
      </c>
      <c r="I15" s="159" t="s">
        <v>296</v>
      </c>
      <c r="J15" s="174"/>
      <c r="K15" s="161"/>
      <c r="L15" s="175">
        <v>5</v>
      </c>
    </row>
  </sheetData>
  <mergeCells count="15">
    <mergeCell ref="E7:H7"/>
    <mergeCell ref="E14:H14"/>
    <mergeCell ref="A2:A10"/>
    <mergeCell ref="A11:A15"/>
    <mergeCell ref="B2:B10"/>
    <mergeCell ref="B11:B15"/>
    <mergeCell ref="C2:C10"/>
    <mergeCell ref="C11:C15"/>
    <mergeCell ref="D2:D10"/>
    <mergeCell ref="D11:D15"/>
    <mergeCell ref="E2:E6"/>
    <mergeCell ref="E8:E10"/>
    <mergeCell ref="E11:E13"/>
    <mergeCell ref="F3:F5"/>
    <mergeCell ref="F11:F13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155"/>
  <sheetViews>
    <sheetView workbookViewId="0">
      <pane ySplit="1" topLeftCell="A20" activePane="bottomLeft" state="frozen"/>
      <selection/>
      <selection pane="bottomLeft" activeCell="A33" sqref="A33:L39"/>
    </sheetView>
  </sheetViews>
  <sheetFormatPr defaultColWidth="9.13888888888889" defaultRowHeight="13.2"/>
  <cols>
    <col min="1" max="1" width="22.4259259259259" style="115" customWidth="1"/>
    <col min="2" max="2" width="11.712962962963" style="115" customWidth="1"/>
    <col min="3" max="5" width="9.13888888888889" style="115"/>
    <col min="6" max="6" width="23.287037037037" style="115" customWidth="1"/>
    <col min="7" max="7" width="9.13888888888889" style="115"/>
    <col min="8" max="8" width="59.712962962963" style="115" customWidth="1"/>
    <col min="9" max="11" width="9.13888888888889" style="115"/>
    <col min="12" max="12" width="19.5740740740741" style="116" customWidth="1"/>
    <col min="13" max="16384" width="9.13888888888889" style="115"/>
  </cols>
  <sheetData>
    <row r="1" ht="62.4" spans="1:26">
      <c r="A1" s="117" t="s">
        <v>143</v>
      </c>
      <c r="B1" s="118" t="s">
        <v>6</v>
      </c>
      <c r="C1" s="117" t="s">
        <v>144</v>
      </c>
      <c r="D1" s="117" t="s">
        <v>145</v>
      </c>
      <c r="E1" s="118" t="s">
        <v>146</v>
      </c>
      <c r="F1" s="117" t="s">
        <v>147</v>
      </c>
      <c r="G1" s="117" t="s">
        <v>1</v>
      </c>
      <c r="H1" s="119" t="s">
        <v>148</v>
      </c>
      <c r="I1" s="117" t="s">
        <v>149</v>
      </c>
      <c r="J1" s="120" t="s">
        <v>150</v>
      </c>
      <c r="K1" s="117" t="s">
        <v>151</v>
      </c>
      <c r="L1" s="121" t="s">
        <v>152</v>
      </c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ht="24" spans="1:26">
      <c r="A2" s="123" t="s">
        <v>107</v>
      </c>
      <c r="B2" s="124"/>
      <c r="C2" s="125"/>
      <c r="D2" s="125"/>
      <c r="E2" s="126" t="s">
        <v>155</v>
      </c>
      <c r="F2" s="125" t="s">
        <v>76</v>
      </c>
      <c r="G2" s="126">
        <v>1</v>
      </c>
      <c r="H2" s="127" t="s">
        <v>299</v>
      </c>
      <c r="I2" s="128" t="s">
        <v>108</v>
      </c>
      <c r="J2" s="129">
        <v>1</v>
      </c>
      <c r="K2" s="125"/>
      <c r="L2" s="130">
        <v>0.2</v>
      </c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>
      <c r="A3" s="123"/>
      <c r="B3" s="124"/>
      <c r="C3" s="125"/>
      <c r="D3" s="125"/>
      <c r="E3" s="126"/>
      <c r="F3" s="125"/>
      <c r="G3" s="126">
        <v>2</v>
      </c>
      <c r="H3" s="131"/>
      <c r="I3" s="128"/>
      <c r="J3" s="129"/>
      <c r="K3" s="125"/>
      <c r="L3" s="130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spans="1:26">
      <c r="A4" s="123"/>
      <c r="B4" s="124"/>
      <c r="C4" s="125"/>
      <c r="D4" s="125"/>
      <c r="E4" s="126"/>
      <c r="F4" s="125" t="s">
        <v>181</v>
      </c>
      <c r="G4" s="126">
        <v>1</v>
      </c>
      <c r="H4" s="127" t="s">
        <v>300</v>
      </c>
      <c r="I4" s="128" t="s">
        <v>111</v>
      </c>
      <c r="J4" s="129">
        <v>1</v>
      </c>
      <c r="K4" s="125"/>
      <c r="L4" s="130">
        <v>1</v>
      </c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spans="1:26">
      <c r="A5" s="123"/>
      <c r="B5" s="124"/>
      <c r="C5" s="125"/>
      <c r="D5" s="125"/>
      <c r="E5" s="132" t="s">
        <v>170</v>
      </c>
      <c r="F5" s="132"/>
      <c r="G5" s="132"/>
      <c r="H5" s="132"/>
      <c r="I5" s="132"/>
      <c r="J5" s="133"/>
      <c r="K5" s="134"/>
      <c r="L5" s="135">
        <v>1.2</v>
      </c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spans="1:26">
      <c r="A6" s="123"/>
      <c r="B6" s="124"/>
      <c r="C6" s="125"/>
      <c r="D6" s="125"/>
      <c r="E6" s="126" t="s">
        <v>171</v>
      </c>
      <c r="F6" s="126" t="s">
        <v>76</v>
      </c>
      <c r="G6" s="126">
        <v>1</v>
      </c>
      <c r="H6" s="131"/>
      <c r="I6" s="128"/>
      <c r="J6" s="136"/>
      <c r="K6" s="126"/>
      <c r="L6" s="130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36" spans="1:26">
      <c r="A7" s="123" t="s">
        <v>301</v>
      </c>
      <c r="B7" s="124"/>
      <c r="C7" s="125"/>
      <c r="D7" s="125"/>
      <c r="E7" s="126" t="s">
        <v>155</v>
      </c>
      <c r="F7" s="125" t="s">
        <v>76</v>
      </c>
      <c r="G7" s="126">
        <v>1</v>
      </c>
      <c r="H7" s="127" t="s">
        <v>302</v>
      </c>
      <c r="I7" s="128" t="s">
        <v>303</v>
      </c>
      <c r="J7" s="129">
        <v>1</v>
      </c>
      <c r="K7" s="125"/>
      <c r="L7" s="130">
        <v>3</v>
      </c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ht="60" spans="1:26">
      <c r="A8" s="123"/>
      <c r="B8" s="124"/>
      <c r="C8" s="125"/>
      <c r="D8" s="125"/>
      <c r="E8" s="126"/>
      <c r="F8" s="125"/>
      <c r="G8" s="126">
        <v>2</v>
      </c>
      <c r="H8" s="137" t="s">
        <v>304</v>
      </c>
      <c r="I8" s="128" t="s">
        <v>305</v>
      </c>
      <c r="J8" s="129">
        <v>1</v>
      </c>
      <c r="K8" s="125"/>
      <c r="L8" s="130">
        <v>3.5</v>
      </c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ht="216" spans="1:26">
      <c r="A9" s="123"/>
      <c r="B9" s="124"/>
      <c r="C9" s="125"/>
      <c r="D9" s="125"/>
      <c r="E9" s="126"/>
      <c r="F9" s="125"/>
      <c r="G9" s="126">
        <v>3</v>
      </c>
      <c r="H9" s="127" t="s">
        <v>306</v>
      </c>
      <c r="I9" s="128" t="s">
        <v>305</v>
      </c>
      <c r="J9" s="129">
        <v>1</v>
      </c>
      <c r="K9" s="129"/>
      <c r="L9" s="130">
        <v>1.5</v>
      </c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ht="48" spans="1:26">
      <c r="A10" s="123"/>
      <c r="B10" s="124"/>
      <c r="C10" s="125"/>
      <c r="D10" s="125"/>
      <c r="E10" s="126"/>
      <c r="F10" s="125"/>
      <c r="G10" s="126">
        <v>4</v>
      </c>
      <c r="H10" s="127" t="s">
        <v>307</v>
      </c>
      <c r="I10" s="128" t="s">
        <v>308</v>
      </c>
      <c r="J10" s="129">
        <v>1</v>
      </c>
      <c r="K10" s="125"/>
      <c r="L10" s="130">
        <v>5</v>
      </c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ht="60" spans="1:26">
      <c r="A11" s="123"/>
      <c r="B11" s="124"/>
      <c r="C11" s="125"/>
      <c r="D11" s="125"/>
      <c r="E11" s="126"/>
      <c r="F11" s="125"/>
      <c r="G11" s="126">
        <v>5</v>
      </c>
      <c r="H11" s="127" t="s">
        <v>309</v>
      </c>
      <c r="I11" s="126" t="s">
        <v>310</v>
      </c>
      <c r="J11" s="129">
        <v>0.6</v>
      </c>
      <c r="K11" s="138"/>
      <c r="L11" s="126">
        <v>4</v>
      </c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ht="84" spans="1:26">
      <c r="A12" s="123"/>
      <c r="B12" s="124"/>
      <c r="C12" s="125"/>
      <c r="D12" s="125"/>
      <c r="E12" s="126"/>
      <c r="F12" s="125"/>
      <c r="G12" s="126">
        <v>6</v>
      </c>
      <c r="H12" s="127" t="s">
        <v>311</v>
      </c>
      <c r="I12" s="128" t="s">
        <v>312</v>
      </c>
      <c r="J12" s="129">
        <v>1</v>
      </c>
      <c r="K12" s="125"/>
      <c r="L12" s="130">
        <v>5</v>
      </c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>
      <c r="A13" s="123"/>
      <c r="B13" s="124"/>
      <c r="C13" s="125"/>
      <c r="D13" s="125"/>
      <c r="E13" s="126"/>
      <c r="F13" s="125"/>
      <c r="G13" s="126">
        <v>7</v>
      </c>
      <c r="H13" s="131"/>
      <c r="I13" s="128"/>
      <c r="J13" s="129"/>
      <c r="K13" s="125"/>
      <c r="L13" s="130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>
      <c r="A14" s="123"/>
      <c r="B14" s="124"/>
      <c r="C14" s="125"/>
      <c r="D14" s="125"/>
      <c r="E14" s="126"/>
      <c r="F14" s="126" t="s">
        <v>181</v>
      </c>
      <c r="G14" s="126">
        <v>1</v>
      </c>
      <c r="H14" s="139" t="s">
        <v>313</v>
      </c>
      <c r="I14" s="126" t="s">
        <v>111</v>
      </c>
      <c r="J14" s="140">
        <v>1</v>
      </c>
      <c r="K14" s="138"/>
      <c r="L14" s="130">
        <v>0.5</v>
      </c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>
      <c r="A15" s="123"/>
      <c r="B15" s="124"/>
      <c r="C15" s="125"/>
      <c r="D15" s="125"/>
      <c r="E15" s="126"/>
      <c r="F15" s="126"/>
      <c r="G15" s="126">
        <v>1</v>
      </c>
      <c r="H15" s="141" t="s">
        <v>314</v>
      </c>
      <c r="I15" s="126" t="s">
        <v>111</v>
      </c>
      <c r="J15" s="140">
        <v>1</v>
      </c>
      <c r="K15" s="138"/>
      <c r="L15" s="130">
        <v>2.5</v>
      </c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>
      <c r="A16" s="123"/>
      <c r="B16" s="124"/>
      <c r="C16" s="125"/>
      <c r="D16" s="125"/>
      <c r="E16" s="132" t="s">
        <v>170</v>
      </c>
      <c r="F16" s="132"/>
      <c r="G16" s="132"/>
      <c r="H16" s="132"/>
      <c r="I16" s="132"/>
      <c r="J16" s="133"/>
      <c r="K16" s="134"/>
      <c r="L16" s="135">
        <v>25</v>
      </c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>
      <c r="A17" s="123"/>
      <c r="B17" s="124"/>
      <c r="C17" s="125"/>
      <c r="D17" s="125"/>
      <c r="E17" s="126" t="s">
        <v>171</v>
      </c>
      <c r="F17" s="126" t="s">
        <v>76</v>
      </c>
      <c r="G17" s="126">
        <v>1</v>
      </c>
      <c r="H17" s="131"/>
      <c r="I17" s="128"/>
      <c r="J17" s="136"/>
      <c r="K17" s="126"/>
      <c r="L17" s="130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ht="24" spans="1:26">
      <c r="A18" s="123" t="s">
        <v>315</v>
      </c>
      <c r="B18" s="124"/>
      <c r="C18" s="125"/>
      <c r="D18" s="125"/>
      <c r="E18" s="126" t="s">
        <v>155</v>
      </c>
      <c r="F18" s="125" t="s">
        <v>76</v>
      </c>
      <c r="G18" s="126">
        <v>1</v>
      </c>
      <c r="H18" s="127" t="s">
        <v>316</v>
      </c>
      <c r="I18" s="128" t="s">
        <v>34</v>
      </c>
      <c r="J18" s="129">
        <v>1</v>
      </c>
      <c r="K18" s="125"/>
      <c r="L18" s="130">
        <v>1</v>
      </c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ht="24" spans="1:26">
      <c r="A19" s="123"/>
      <c r="B19" s="124"/>
      <c r="C19" s="125"/>
      <c r="D19" s="125"/>
      <c r="E19" s="126"/>
      <c r="F19" s="125"/>
      <c r="G19" s="126">
        <v>2</v>
      </c>
      <c r="H19" s="137" t="s">
        <v>317</v>
      </c>
      <c r="I19" s="128" t="s">
        <v>34</v>
      </c>
      <c r="J19" s="129">
        <v>1</v>
      </c>
      <c r="K19" s="125"/>
      <c r="L19" s="130">
        <v>0.75</v>
      </c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ht="48" spans="1:26">
      <c r="A20" s="123"/>
      <c r="B20" s="124"/>
      <c r="C20" s="125"/>
      <c r="D20" s="125"/>
      <c r="E20" s="126"/>
      <c r="F20" s="125"/>
      <c r="G20" s="126">
        <v>3</v>
      </c>
      <c r="H20" s="127" t="s">
        <v>318</v>
      </c>
      <c r="I20" s="128" t="s">
        <v>34</v>
      </c>
      <c r="J20" s="129">
        <v>1</v>
      </c>
      <c r="K20" s="129"/>
      <c r="L20" s="130">
        <v>0.38</v>
      </c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>
      <c r="A21" s="123"/>
      <c r="B21" s="124"/>
      <c r="C21" s="125"/>
      <c r="D21" s="125"/>
      <c r="E21" s="126"/>
      <c r="F21" s="125"/>
      <c r="G21" s="126">
        <v>4</v>
      </c>
      <c r="H21" s="127" t="s">
        <v>319</v>
      </c>
      <c r="I21" s="128" t="s">
        <v>108</v>
      </c>
      <c r="J21" s="129">
        <v>1</v>
      </c>
      <c r="K21" s="129"/>
      <c r="L21" s="130">
        <v>1</v>
      </c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>
      <c r="A22" s="123"/>
      <c r="B22" s="124"/>
      <c r="C22" s="125"/>
      <c r="D22" s="125"/>
      <c r="E22" s="126"/>
      <c r="F22" s="125"/>
      <c r="G22" s="126">
        <v>5</v>
      </c>
      <c r="H22" s="127" t="s">
        <v>320</v>
      </c>
      <c r="I22" s="128" t="s">
        <v>108</v>
      </c>
      <c r="J22" s="129">
        <v>1</v>
      </c>
      <c r="K22" s="125"/>
      <c r="L22" s="130">
        <v>1</v>
      </c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ht="24" spans="1:26">
      <c r="A23" s="123"/>
      <c r="B23" s="124"/>
      <c r="C23" s="125"/>
      <c r="D23" s="125"/>
      <c r="E23" s="126"/>
      <c r="F23" s="125"/>
      <c r="G23" s="126">
        <v>6</v>
      </c>
      <c r="H23" s="127" t="s">
        <v>321</v>
      </c>
      <c r="I23" s="128" t="s">
        <v>108</v>
      </c>
      <c r="J23" s="129">
        <v>1</v>
      </c>
      <c r="K23" s="125"/>
      <c r="L23" s="130">
        <v>1</v>
      </c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>
      <c r="A24" s="123"/>
      <c r="B24" s="124"/>
      <c r="C24" s="125"/>
      <c r="D24" s="125"/>
      <c r="E24" s="132" t="s">
        <v>170</v>
      </c>
      <c r="F24" s="132"/>
      <c r="G24" s="132"/>
      <c r="H24" s="132"/>
      <c r="I24" s="132"/>
      <c r="J24" s="133"/>
      <c r="K24" s="134"/>
      <c r="L24" s="135">
        <v>5.13</v>
      </c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>
      <c r="A25" s="123"/>
      <c r="B25" s="124"/>
      <c r="C25" s="125"/>
      <c r="D25" s="125"/>
      <c r="E25" s="126" t="s">
        <v>171</v>
      </c>
      <c r="F25" s="126" t="s">
        <v>76</v>
      </c>
      <c r="G25" s="126">
        <v>1</v>
      </c>
      <c r="H25" s="131"/>
      <c r="I25" s="128"/>
      <c r="J25" s="136"/>
      <c r="K25" s="126"/>
      <c r="L25" s="130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ht="60" spans="1:26">
      <c r="A26" s="123" t="s">
        <v>322</v>
      </c>
      <c r="B26" s="124" t="s">
        <v>22</v>
      </c>
      <c r="C26" s="125"/>
      <c r="D26" s="125"/>
      <c r="E26" s="126" t="s">
        <v>155</v>
      </c>
      <c r="F26" s="125" t="s">
        <v>76</v>
      </c>
      <c r="G26" s="126">
        <v>1</v>
      </c>
      <c r="H26" s="127" t="s">
        <v>323</v>
      </c>
      <c r="I26" s="128" t="s">
        <v>105</v>
      </c>
      <c r="J26" s="129">
        <v>1</v>
      </c>
      <c r="K26" s="125"/>
      <c r="L26" s="130">
        <v>5</v>
      </c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ht="36" spans="1:26">
      <c r="A27" s="123"/>
      <c r="B27" s="124"/>
      <c r="C27" s="125"/>
      <c r="D27" s="125"/>
      <c r="E27" s="126"/>
      <c r="F27" s="125"/>
      <c r="G27" s="126">
        <v>2</v>
      </c>
      <c r="H27" s="137" t="s">
        <v>324</v>
      </c>
      <c r="I27" s="128" t="s">
        <v>325</v>
      </c>
      <c r="J27" s="129">
        <v>1</v>
      </c>
      <c r="K27" s="125"/>
      <c r="L27" s="130">
        <v>1</v>
      </c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>
      <c r="A28" s="123"/>
      <c r="B28" s="124"/>
      <c r="C28" s="125"/>
      <c r="D28" s="125"/>
      <c r="E28" s="126"/>
      <c r="F28" s="125"/>
      <c r="G28" s="126">
        <v>3</v>
      </c>
      <c r="H28" s="131"/>
      <c r="I28" s="128"/>
      <c r="J28" s="129"/>
      <c r="K28" s="129"/>
      <c r="L28" s="130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>
      <c r="A29" s="123"/>
      <c r="B29" s="124"/>
      <c r="C29" s="125"/>
      <c r="D29" s="125"/>
      <c r="E29" s="126"/>
      <c r="F29" s="126" t="s">
        <v>181</v>
      </c>
      <c r="G29" s="126">
        <v>4</v>
      </c>
      <c r="H29" s="127" t="s">
        <v>326</v>
      </c>
      <c r="I29" s="128" t="s">
        <v>111</v>
      </c>
      <c r="J29" s="129">
        <v>1</v>
      </c>
      <c r="K29" s="129"/>
      <c r="L29" s="130">
        <v>0.5</v>
      </c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>
      <c r="A30" s="123"/>
      <c r="B30" s="124"/>
      <c r="C30" s="125"/>
      <c r="D30" s="125"/>
      <c r="E30" s="126"/>
      <c r="F30" s="138"/>
      <c r="G30" s="126">
        <v>5</v>
      </c>
      <c r="H30" s="131"/>
      <c r="I30" s="128"/>
      <c r="J30" s="129"/>
      <c r="K30" s="125"/>
      <c r="L30" s="130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>
      <c r="A31" s="123"/>
      <c r="B31" s="124"/>
      <c r="C31" s="125"/>
      <c r="D31" s="125"/>
      <c r="E31" s="132" t="s">
        <v>170</v>
      </c>
      <c r="F31" s="132"/>
      <c r="G31" s="132"/>
      <c r="H31" s="132"/>
      <c r="I31" s="132"/>
      <c r="J31" s="133"/>
      <c r="K31" s="134"/>
      <c r="L31" s="135">
        <v>6.5</v>
      </c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>
      <c r="A32" s="123"/>
      <c r="B32" s="124"/>
      <c r="C32" s="125"/>
      <c r="D32" s="125"/>
      <c r="E32" s="126" t="s">
        <v>171</v>
      </c>
      <c r="F32" s="126" t="s">
        <v>76</v>
      </c>
      <c r="G32" s="126">
        <v>1</v>
      </c>
      <c r="H32" s="131"/>
      <c r="I32" s="128"/>
      <c r="J32" s="136"/>
      <c r="K32" s="126"/>
      <c r="L32" s="130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>
      <c r="A33" s="123" t="s">
        <v>275</v>
      </c>
      <c r="B33" s="124" t="s">
        <v>71</v>
      </c>
      <c r="C33" s="125"/>
      <c r="D33" s="125"/>
      <c r="E33" s="126" t="s">
        <v>155</v>
      </c>
      <c r="F33" s="125" t="s">
        <v>181</v>
      </c>
      <c r="G33" s="126">
        <v>1</v>
      </c>
      <c r="H33" s="127" t="s">
        <v>327</v>
      </c>
      <c r="I33" s="128" t="s">
        <v>111</v>
      </c>
      <c r="J33" s="129">
        <v>1</v>
      </c>
      <c r="K33" s="125"/>
      <c r="L33" s="130">
        <v>0.5</v>
      </c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24" spans="1:26">
      <c r="A34" s="123"/>
      <c r="B34" s="124"/>
      <c r="C34" s="125"/>
      <c r="D34" s="125"/>
      <c r="E34" s="126"/>
      <c r="F34" s="125"/>
      <c r="G34" s="126">
        <v>2</v>
      </c>
      <c r="H34" s="137" t="s">
        <v>328</v>
      </c>
      <c r="I34" s="128" t="s">
        <v>34</v>
      </c>
      <c r="J34" s="129">
        <v>1</v>
      </c>
      <c r="K34" s="125"/>
      <c r="L34" s="130">
        <v>0.5</v>
      </c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48" spans="1:26">
      <c r="A35" s="123"/>
      <c r="B35" s="124"/>
      <c r="C35" s="125"/>
      <c r="D35" s="125"/>
      <c r="E35" s="126"/>
      <c r="F35" s="125"/>
      <c r="G35" s="126">
        <v>3</v>
      </c>
      <c r="H35" s="137" t="s">
        <v>329</v>
      </c>
      <c r="I35" s="128" t="s">
        <v>34</v>
      </c>
      <c r="J35" s="129">
        <v>1</v>
      </c>
      <c r="K35" s="125"/>
      <c r="L35" s="130">
        <v>1</v>
      </c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48" spans="1:26">
      <c r="A36" s="123"/>
      <c r="B36" s="124"/>
      <c r="C36" s="125"/>
      <c r="D36" s="125"/>
      <c r="E36" s="126"/>
      <c r="F36" s="125"/>
      <c r="G36" s="126">
        <v>4</v>
      </c>
      <c r="H36" s="137" t="s">
        <v>330</v>
      </c>
      <c r="I36" s="128" t="s">
        <v>34</v>
      </c>
      <c r="J36" s="129">
        <v>0.8</v>
      </c>
      <c r="K36" s="125"/>
      <c r="L36" s="130">
        <v>0.5</v>
      </c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1:26">
      <c r="A37" s="123"/>
      <c r="B37" s="124"/>
      <c r="C37" s="125"/>
      <c r="D37" s="125"/>
      <c r="E37" s="126"/>
      <c r="F37" s="125"/>
      <c r="G37" s="126">
        <v>5</v>
      </c>
      <c r="H37" s="131"/>
      <c r="I37" s="128"/>
      <c r="J37" s="129"/>
      <c r="K37" s="129"/>
      <c r="L37" s="130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1:26">
      <c r="A38" s="123"/>
      <c r="B38" s="124"/>
      <c r="C38" s="125"/>
      <c r="D38" s="125"/>
      <c r="E38" s="132" t="s">
        <v>170</v>
      </c>
      <c r="F38" s="132"/>
      <c r="G38" s="132"/>
      <c r="H38" s="132"/>
      <c r="I38" s="132"/>
      <c r="J38" s="133"/>
      <c r="K38" s="134"/>
      <c r="L38" s="135">
        <v>2.5</v>
      </c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1:26">
      <c r="A39" s="123"/>
      <c r="B39" s="124"/>
      <c r="C39" s="125"/>
      <c r="D39" s="125"/>
      <c r="E39" s="126" t="s">
        <v>171</v>
      </c>
      <c r="F39" s="126" t="s">
        <v>76</v>
      </c>
      <c r="G39" s="126">
        <v>1</v>
      </c>
      <c r="H39" s="131"/>
      <c r="I39" s="128"/>
      <c r="J39" s="136"/>
      <c r="K39" s="126"/>
      <c r="L39" s="130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26">
      <c r="A40" s="122"/>
      <c r="B40" s="142"/>
      <c r="C40" s="122"/>
      <c r="D40" s="122"/>
      <c r="E40" s="122"/>
      <c r="F40" s="122"/>
      <c r="G40" s="122"/>
      <c r="H40" s="143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>
      <c r="A41" s="122"/>
      <c r="B41" s="142"/>
      <c r="C41" s="122"/>
      <c r="D41" s="122"/>
      <c r="E41" s="122"/>
      <c r="F41" s="122"/>
      <c r="G41" s="122"/>
      <c r="H41" s="143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>
      <c r="A42" s="122"/>
      <c r="B42" s="142"/>
      <c r="C42" s="122"/>
      <c r="D42" s="122"/>
      <c r="E42" s="122"/>
      <c r="F42" s="122"/>
      <c r="G42" s="122"/>
      <c r="H42" s="143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>
      <c r="A43" s="122"/>
      <c r="B43" s="142"/>
      <c r="C43" s="122"/>
      <c r="D43" s="122"/>
      <c r="E43" s="122"/>
      <c r="F43" s="122"/>
      <c r="G43" s="122"/>
      <c r="H43" s="143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>
      <c r="A44" s="122"/>
      <c r="B44" s="142"/>
      <c r="C44" s="122"/>
      <c r="D44" s="122"/>
      <c r="E44" s="122"/>
      <c r="F44" s="122"/>
      <c r="G44" s="122"/>
      <c r="H44" s="143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>
      <c r="A45" s="122"/>
      <c r="B45" s="142"/>
      <c r="C45" s="122"/>
      <c r="D45" s="122"/>
      <c r="E45" s="122"/>
      <c r="F45" s="122"/>
      <c r="G45" s="122"/>
      <c r="H45" s="143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spans="1:26">
      <c r="A46" s="122"/>
      <c r="B46" s="142"/>
      <c r="C46" s="122"/>
      <c r="D46" s="122"/>
      <c r="E46" s="122"/>
      <c r="F46" s="122"/>
      <c r="G46" s="122"/>
      <c r="H46" s="143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spans="1:26">
      <c r="A47" s="122"/>
      <c r="B47" s="142"/>
      <c r="C47" s="122"/>
      <c r="D47" s="122"/>
      <c r="E47" s="122"/>
      <c r="F47" s="122"/>
      <c r="G47" s="122"/>
      <c r="H47" s="143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26">
      <c r="A48" s="122"/>
      <c r="B48" s="142"/>
      <c r="C48" s="122"/>
      <c r="D48" s="122"/>
      <c r="E48" s="122"/>
      <c r="F48" s="122"/>
      <c r="G48" s="122"/>
      <c r="H48" s="143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1:26">
      <c r="A49" s="122"/>
      <c r="B49" s="142"/>
      <c r="C49" s="122"/>
      <c r="D49" s="122"/>
      <c r="E49" s="122"/>
      <c r="F49" s="122"/>
      <c r="G49" s="122"/>
      <c r="H49" s="143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1:26">
      <c r="A50" s="122"/>
      <c r="B50" s="142"/>
      <c r="C50" s="122"/>
      <c r="D50" s="122"/>
      <c r="E50" s="122"/>
      <c r="F50" s="122"/>
      <c r="G50" s="122"/>
      <c r="H50" s="143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1:26">
      <c r="A51" s="122"/>
      <c r="B51" s="142"/>
      <c r="C51" s="122"/>
      <c r="D51" s="122"/>
      <c r="E51" s="122"/>
      <c r="F51" s="122"/>
      <c r="G51" s="122"/>
      <c r="H51" s="143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1:26">
      <c r="A52" s="122"/>
      <c r="B52" s="142"/>
      <c r="C52" s="122"/>
      <c r="D52" s="122"/>
      <c r="E52" s="122"/>
      <c r="F52" s="122"/>
      <c r="G52" s="122"/>
      <c r="H52" s="143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>
      <c r="A53" s="122"/>
      <c r="B53" s="142"/>
      <c r="C53" s="122"/>
      <c r="D53" s="122"/>
      <c r="E53" s="122"/>
      <c r="F53" s="122"/>
      <c r="G53" s="122"/>
      <c r="H53" s="143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1:26">
      <c r="A54" s="122"/>
      <c r="B54" s="142"/>
      <c r="C54" s="122"/>
      <c r="D54" s="122"/>
      <c r="E54" s="122"/>
      <c r="F54" s="122"/>
      <c r="G54" s="122"/>
      <c r="H54" s="143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spans="1:26">
      <c r="A55" s="122"/>
      <c r="B55" s="142"/>
      <c r="C55" s="122"/>
      <c r="D55" s="122"/>
      <c r="E55" s="122"/>
      <c r="F55" s="122"/>
      <c r="G55" s="122"/>
      <c r="H55" s="143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1:26">
      <c r="A56" s="122"/>
      <c r="B56" s="142"/>
      <c r="C56" s="122"/>
      <c r="D56" s="122"/>
      <c r="E56" s="122"/>
      <c r="F56" s="122"/>
      <c r="G56" s="122"/>
      <c r="H56" s="143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spans="1:26">
      <c r="A57" s="122"/>
      <c r="B57" s="142"/>
      <c r="C57" s="122"/>
      <c r="D57" s="122"/>
      <c r="E57" s="122"/>
      <c r="F57" s="122"/>
      <c r="G57" s="122"/>
      <c r="H57" s="143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spans="1:26">
      <c r="A58" s="122"/>
      <c r="B58" s="142"/>
      <c r="C58" s="122"/>
      <c r="D58" s="122"/>
      <c r="E58" s="122"/>
      <c r="F58" s="122"/>
      <c r="G58" s="122"/>
      <c r="H58" s="143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spans="1:26">
      <c r="A59" s="122"/>
      <c r="B59" s="142"/>
      <c r="C59" s="122"/>
      <c r="D59" s="122"/>
      <c r="E59" s="122"/>
      <c r="F59" s="122"/>
      <c r="G59" s="122"/>
      <c r="H59" s="143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spans="1:26">
      <c r="A60" s="122"/>
      <c r="B60" s="142"/>
      <c r="C60" s="122"/>
      <c r="D60" s="122"/>
      <c r="E60" s="122"/>
      <c r="F60" s="122"/>
      <c r="G60" s="122"/>
      <c r="H60" s="143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1:26">
      <c r="A61" s="122"/>
      <c r="B61" s="142"/>
      <c r="C61" s="122"/>
      <c r="D61" s="122"/>
      <c r="E61" s="122"/>
      <c r="F61" s="122"/>
      <c r="G61" s="122"/>
      <c r="H61" s="143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>
      <c r="A62" s="122"/>
      <c r="B62" s="142"/>
      <c r="C62" s="122"/>
      <c r="D62" s="122"/>
      <c r="E62" s="122"/>
      <c r="F62" s="122"/>
      <c r="G62" s="122"/>
      <c r="H62" s="143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1:26">
      <c r="A63" s="122"/>
      <c r="B63" s="142"/>
      <c r="C63" s="122"/>
      <c r="D63" s="122"/>
      <c r="E63" s="122"/>
      <c r="F63" s="122"/>
      <c r="G63" s="122"/>
      <c r="H63" s="143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1:26">
      <c r="A64" s="122"/>
      <c r="B64" s="142"/>
      <c r="C64" s="122"/>
      <c r="D64" s="122"/>
      <c r="E64" s="122"/>
      <c r="F64" s="122"/>
      <c r="G64" s="122"/>
      <c r="H64" s="143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spans="1:26">
      <c r="A65" s="122"/>
      <c r="B65" s="142"/>
      <c r="C65" s="122"/>
      <c r="D65" s="122"/>
      <c r="E65" s="122"/>
      <c r="F65" s="122"/>
      <c r="G65" s="122"/>
      <c r="H65" s="143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spans="1:26">
      <c r="A66" s="122"/>
      <c r="B66" s="142"/>
      <c r="C66" s="122"/>
      <c r="D66" s="122"/>
      <c r="E66" s="122"/>
      <c r="F66" s="122"/>
      <c r="G66" s="122"/>
      <c r="H66" s="143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>
      <c r="A67" s="122"/>
      <c r="B67" s="142"/>
      <c r="C67" s="122"/>
      <c r="D67" s="122"/>
      <c r="E67" s="122"/>
      <c r="F67" s="122"/>
      <c r="G67" s="122"/>
      <c r="H67" s="143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>
      <c r="A68" s="122"/>
      <c r="B68" s="142"/>
      <c r="C68" s="122"/>
      <c r="D68" s="122"/>
      <c r="E68" s="122"/>
      <c r="F68" s="122"/>
      <c r="G68" s="122"/>
      <c r="H68" s="143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>
      <c r="A69" s="122"/>
      <c r="B69" s="142"/>
      <c r="C69" s="122"/>
      <c r="D69" s="122"/>
      <c r="E69" s="122"/>
      <c r="F69" s="122"/>
      <c r="G69" s="122"/>
      <c r="H69" s="143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>
      <c r="A70" s="122"/>
      <c r="B70" s="142"/>
      <c r="C70" s="122"/>
      <c r="D70" s="122"/>
      <c r="E70" s="122"/>
      <c r="F70" s="122"/>
      <c r="G70" s="122"/>
      <c r="H70" s="143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>
      <c r="A71" s="122"/>
      <c r="B71" s="142"/>
      <c r="C71" s="122"/>
      <c r="D71" s="122"/>
      <c r="E71" s="122"/>
      <c r="F71" s="122"/>
      <c r="G71" s="122"/>
      <c r="H71" s="143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>
      <c r="A72" s="122"/>
      <c r="B72" s="142"/>
      <c r="C72" s="122"/>
      <c r="D72" s="122"/>
      <c r="E72" s="122"/>
      <c r="F72" s="122"/>
      <c r="G72" s="122"/>
      <c r="H72" s="143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>
      <c r="A73" s="122"/>
      <c r="B73" s="142"/>
      <c r="C73" s="122"/>
      <c r="D73" s="122"/>
      <c r="E73" s="122"/>
      <c r="F73" s="122"/>
      <c r="G73" s="122"/>
      <c r="H73" s="143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>
      <c r="A74" s="122"/>
      <c r="B74" s="142"/>
      <c r="C74" s="122"/>
      <c r="D74" s="122"/>
      <c r="E74" s="122"/>
      <c r="F74" s="122"/>
      <c r="G74" s="122"/>
      <c r="H74" s="143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>
      <c r="A75" s="122"/>
      <c r="B75" s="142"/>
      <c r="C75" s="122"/>
      <c r="D75" s="122"/>
      <c r="E75" s="122"/>
      <c r="F75" s="122"/>
      <c r="G75" s="122"/>
      <c r="H75" s="143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>
      <c r="A76" s="122"/>
      <c r="B76" s="142"/>
      <c r="C76" s="122"/>
      <c r="D76" s="122"/>
      <c r="E76" s="122"/>
      <c r="F76" s="122"/>
      <c r="G76" s="122"/>
      <c r="H76" s="143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>
      <c r="A77" s="122"/>
      <c r="B77" s="142"/>
      <c r="C77" s="122"/>
      <c r="D77" s="122"/>
      <c r="E77" s="122"/>
      <c r="F77" s="122"/>
      <c r="G77" s="122"/>
      <c r="H77" s="143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>
      <c r="A78" s="122"/>
      <c r="B78" s="142"/>
      <c r="C78" s="122"/>
      <c r="D78" s="122"/>
      <c r="E78" s="122"/>
      <c r="F78" s="122"/>
      <c r="G78" s="122"/>
      <c r="H78" s="143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>
      <c r="A79" s="122"/>
      <c r="B79" s="142"/>
      <c r="C79" s="122"/>
      <c r="D79" s="122"/>
      <c r="E79" s="122"/>
      <c r="F79" s="122"/>
      <c r="G79" s="122"/>
      <c r="H79" s="143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>
      <c r="A80" s="122"/>
      <c r="B80" s="142"/>
      <c r="C80" s="122"/>
      <c r="D80" s="122"/>
      <c r="E80" s="122"/>
      <c r="F80" s="122"/>
      <c r="G80" s="122"/>
      <c r="H80" s="143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>
      <c r="A81" s="122"/>
      <c r="B81" s="142"/>
      <c r="C81" s="122"/>
      <c r="D81" s="122"/>
      <c r="E81" s="122"/>
      <c r="F81" s="122"/>
      <c r="G81" s="122"/>
      <c r="H81" s="143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>
      <c r="A82" s="122"/>
      <c r="B82" s="142"/>
      <c r="C82" s="122"/>
      <c r="D82" s="122"/>
      <c r="E82" s="122"/>
      <c r="F82" s="122"/>
      <c r="G82" s="122"/>
      <c r="H82" s="143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>
      <c r="A83" s="122"/>
      <c r="B83" s="142"/>
      <c r="C83" s="122"/>
      <c r="D83" s="122"/>
      <c r="E83" s="122"/>
      <c r="F83" s="122"/>
      <c r="G83" s="122"/>
      <c r="H83" s="143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>
      <c r="A84" s="122"/>
      <c r="B84" s="142"/>
      <c r="C84" s="122"/>
      <c r="D84" s="122"/>
      <c r="E84" s="122"/>
      <c r="F84" s="122"/>
      <c r="G84" s="122"/>
      <c r="H84" s="143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>
      <c r="A85" s="122"/>
      <c r="B85" s="142"/>
      <c r="C85" s="122"/>
      <c r="D85" s="122"/>
      <c r="E85" s="122"/>
      <c r="F85" s="122"/>
      <c r="G85" s="122"/>
      <c r="H85" s="143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>
      <c r="A86" s="122"/>
      <c r="B86" s="142"/>
      <c r="C86" s="122"/>
      <c r="D86" s="122"/>
      <c r="E86" s="122"/>
      <c r="F86" s="122"/>
      <c r="G86" s="122"/>
      <c r="H86" s="143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>
      <c r="A87" s="122"/>
      <c r="B87" s="142"/>
      <c r="C87" s="122"/>
      <c r="D87" s="122"/>
      <c r="E87" s="122"/>
      <c r="F87" s="122"/>
      <c r="G87" s="122"/>
      <c r="H87" s="143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>
      <c r="A88" s="122"/>
      <c r="B88" s="142"/>
      <c r="C88" s="122"/>
      <c r="D88" s="122"/>
      <c r="E88" s="122"/>
      <c r="F88" s="122"/>
      <c r="G88" s="122"/>
      <c r="H88" s="143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>
      <c r="A89" s="122"/>
      <c r="B89" s="142"/>
      <c r="C89" s="122"/>
      <c r="D89" s="122"/>
      <c r="E89" s="122"/>
      <c r="F89" s="122"/>
      <c r="G89" s="122"/>
      <c r="H89" s="143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>
      <c r="A90" s="122"/>
      <c r="B90" s="142"/>
      <c r="C90" s="122"/>
      <c r="D90" s="122"/>
      <c r="E90" s="122"/>
      <c r="F90" s="122"/>
      <c r="G90" s="122"/>
      <c r="H90" s="143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>
      <c r="A91" s="122"/>
      <c r="B91" s="142"/>
      <c r="C91" s="122"/>
      <c r="D91" s="122"/>
      <c r="E91" s="122"/>
      <c r="F91" s="122"/>
      <c r="G91" s="122"/>
      <c r="H91" s="143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>
      <c r="A92" s="122"/>
      <c r="B92" s="142"/>
      <c r="C92" s="122"/>
      <c r="D92" s="122"/>
      <c r="E92" s="122"/>
      <c r="F92" s="122"/>
      <c r="G92" s="122"/>
      <c r="H92" s="143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>
      <c r="A93" s="122"/>
      <c r="B93" s="142"/>
      <c r="C93" s="122"/>
      <c r="D93" s="122"/>
      <c r="E93" s="122"/>
      <c r="F93" s="122"/>
      <c r="G93" s="122"/>
      <c r="H93" s="143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>
      <c r="A94" s="122"/>
      <c r="B94" s="142"/>
      <c r="C94" s="122"/>
      <c r="D94" s="122"/>
      <c r="E94" s="122"/>
      <c r="F94" s="122"/>
      <c r="G94" s="122"/>
      <c r="H94" s="143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>
      <c r="A95" s="122"/>
      <c r="B95" s="142"/>
      <c r="C95" s="122"/>
      <c r="D95" s="122"/>
      <c r="E95" s="122"/>
      <c r="F95" s="122"/>
      <c r="G95" s="122"/>
      <c r="H95" s="143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>
      <c r="A96" s="122"/>
      <c r="B96" s="142"/>
      <c r="C96" s="122"/>
      <c r="D96" s="122"/>
      <c r="E96" s="122"/>
      <c r="F96" s="122"/>
      <c r="G96" s="122"/>
      <c r="H96" s="143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>
      <c r="A97" s="122"/>
      <c r="B97" s="142"/>
      <c r="C97" s="122"/>
      <c r="D97" s="122"/>
      <c r="E97" s="122"/>
      <c r="F97" s="122"/>
      <c r="G97" s="122"/>
      <c r="H97" s="143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>
      <c r="A98" s="122"/>
      <c r="B98" s="142"/>
      <c r="C98" s="122"/>
      <c r="D98" s="122"/>
      <c r="E98" s="122"/>
      <c r="F98" s="122"/>
      <c r="G98" s="122"/>
      <c r="H98" s="143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>
      <c r="A99" s="122"/>
      <c r="B99" s="142"/>
      <c r="C99" s="122"/>
      <c r="D99" s="122"/>
      <c r="E99" s="122"/>
      <c r="F99" s="122"/>
      <c r="G99" s="122"/>
      <c r="H99" s="143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>
      <c r="A100" s="122"/>
      <c r="B100" s="142"/>
      <c r="C100" s="122"/>
      <c r="D100" s="122"/>
      <c r="E100" s="122"/>
      <c r="F100" s="122"/>
      <c r="G100" s="122"/>
      <c r="H100" s="143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>
      <c r="A101" s="122"/>
      <c r="B101" s="142"/>
      <c r="C101" s="122"/>
      <c r="D101" s="122"/>
      <c r="E101" s="122"/>
      <c r="F101" s="122"/>
      <c r="G101" s="122"/>
      <c r="H101" s="143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>
      <c r="A102" s="122"/>
      <c r="B102" s="142"/>
      <c r="C102" s="122"/>
      <c r="D102" s="122"/>
      <c r="E102" s="122"/>
      <c r="F102" s="122"/>
      <c r="G102" s="122"/>
      <c r="H102" s="143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>
      <c r="A103" s="122"/>
      <c r="B103" s="142"/>
      <c r="C103" s="122"/>
      <c r="D103" s="122"/>
      <c r="E103" s="122"/>
      <c r="F103" s="122"/>
      <c r="G103" s="122"/>
      <c r="H103" s="143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spans="1:26">
      <c r="A104" s="122"/>
      <c r="B104" s="142"/>
      <c r="C104" s="122"/>
      <c r="D104" s="122"/>
      <c r="E104" s="122"/>
      <c r="F104" s="122"/>
      <c r="G104" s="122"/>
      <c r="H104" s="143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spans="1:26">
      <c r="A105" s="122"/>
      <c r="B105" s="142"/>
      <c r="C105" s="122"/>
      <c r="D105" s="122"/>
      <c r="E105" s="122"/>
      <c r="F105" s="122"/>
      <c r="G105" s="122"/>
      <c r="H105" s="143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spans="1:26">
      <c r="A106" s="122"/>
      <c r="B106" s="142"/>
      <c r="C106" s="122"/>
      <c r="D106" s="122"/>
      <c r="E106" s="122"/>
      <c r="F106" s="122"/>
      <c r="G106" s="122"/>
      <c r="H106" s="143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spans="1:26">
      <c r="A107" s="122"/>
      <c r="B107" s="142"/>
      <c r="C107" s="122"/>
      <c r="D107" s="122"/>
      <c r="E107" s="122"/>
      <c r="F107" s="122"/>
      <c r="G107" s="122"/>
      <c r="H107" s="143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spans="1:26">
      <c r="A108" s="122"/>
      <c r="B108" s="142"/>
      <c r="C108" s="122"/>
      <c r="D108" s="122"/>
      <c r="E108" s="122"/>
      <c r="F108" s="122"/>
      <c r="G108" s="122"/>
      <c r="H108" s="143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spans="1:26">
      <c r="A109" s="122"/>
      <c r="B109" s="142"/>
      <c r="C109" s="122"/>
      <c r="D109" s="122"/>
      <c r="E109" s="122"/>
      <c r="F109" s="122"/>
      <c r="G109" s="122"/>
      <c r="H109" s="143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spans="1:26">
      <c r="A110" s="122"/>
      <c r="B110" s="142"/>
      <c r="C110" s="122"/>
      <c r="D110" s="122"/>
      <c r="E110" s="122"/>
      <c r="F110" s="122"/>
      <c r="G110" s="122"/>
      <c r="H110" s="143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spans="1:26">
      <c r="A111" s="122"/>
      <c r="B111" s="142"/>
      <c r="C111" s="122"/>
      <c r="D111" s="122"/>
      <c r="E111" s="122"/>
      <c r="F111" s="122"/>
      <c r="G111" s="122"/>
      <c r="H111" s="143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spans="1:26">
      <c r="A112" s="122"/>
      <c r="B112" s="142"/>
      <c r="C112" s="122"/>
      <c r="D112" s="122"/>
      <c r="E112" s="122"/>
      <c r="F112" s="122"/>
      <c r="G112" s="122"/>
      <c r="H112" s="143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spans="1:26">
      <c r="A113" s="122"/>
      <c r="B113" s="142"/>
      <c r="C113" s="122"/>
      <c r="D113" s="122"/>
      <c r="E113" s="122"/>
      <c r="F113" s="122"/>
      <c r="G113" s="122"/>
      <c r="H113" s="143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spans="1:26">
      <c r="A114" s="122"/>
      <c r="B114" s="142"/>
      <c r="C114" s="122"/>
      <c r="D114" s="122"/>
      <c r="E114" s="122"/>
      <c r="F114" s="122"/>
      <c r="G114" s="122"/>
      <c r="H114" s="143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spans="1:26">
      <c r="A115" s="122"/>
      <c r="B115" s="142"/>
      <c r="C115" s="122"/>
      <c r="D115" s="122"/>
      <c r="E115" s="122"/>
      <c r="F115" s="122"/>
      <c r="G115" s="122"/>
      <c r="H115" s="143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spans="1:26">
      <c r="A116" s="122"/>
      <c r="B116" s="142"/>
      <c r="C116" s="122"/>
      <c r="D116" s="122"/>
      <c r="E116" s="122"/>
      <c r="F116" s="122"/>
      <c r="G116" s="122"/>
      <c r="H116" s="143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spans="1:26">
      <c r="A117" s="122"/>
      <c r="B117" s="142"/>
      <c r="C117" s="122"/>
      <c r="D117" s="122"/>
      <c r="E117" s="122"/>
      <c r="F117" s="122"/>
      <c r="G117" s="122"/>
      <c r="H117" s="143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spans="1:26">
      <c r="A118" s="122"/>
      <c r="B118" s="142"/>
      <c r="C118" s="122"/>
      <c r="D118" s="122"/>
      <c r="E118" s="122"/>
      <c r="F118" s="122"/>
      <c r="G118" s="122"/>
      <c r="H118" s="143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spans="1:26">
      <c r="A119" s="122"/>
      <c r="B119" s="142"/>
      <c r="C119" s="122"/>
      <c r="D119" s="122"/>
      <c r="E119" s="122"/>
      <c r="F119" s="122"/>
      <c r="G119" s="122"/>
      <c r="H119" s="143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spans="1:26">
      <c r="A120" s="122"/>
      <c r="B120" s="142"/>
      <c r="C120" s="122"/>
      <c r="D120" s="122"/>
      <c r="E120" s="122"/>
      <c r="F120" s="122"/>
      <c r="G120" s="122"/>
      <c r="H120" s="143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spans="1:26">
      <c r="A121" s="122"/>
      <c r="B121" s="142"/>
      <c r="C121" s="122"/>
      <c r="D121" s="122"/>
      <c r="E121" s="122"/>
      <c r="F121" s="122"/>
      <c r="G121" s="122"/>
      <c r="H121" s="143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spans="1:26">
      <c r="A122" s="122"/>
      <c r="B122" s="142"/>
      <c r="C122" s="122"/>
      <c r="D122" s="122"/>
      <c r="E122" s="122"/>
      <c r="F122" s="122"/>
      <c r="G122" s="122"/>
      <c r="H122" s="143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spans="1:26">
      <c r="A123" s="122"/>
      <c r="B123" s="142"/>
      <c r="C123" s="122"/>
      <c r="D123" s="122"/>
      <c r="E123" s="122"/>
      <c r="F123" s="122"/>
      <c r="G123" s="122"/>
      <c r="H123" s="143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spans="1:26">
      <c r="A124" s="122"/>
      <c r="B124" s="142"/>
      <c r="C124" s="122"/>
      <c r="D124" s="122"/>
      <c r="E124" s="122"/>
      <c r="F124" s="122"/>
      <c r="G124" s="122"/>
      <c r="H124" s="143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spans="1:26">
      <c r="A125" s="122"/>
      <c r="B125" s="142"/>
      <c r="C125" s="122"/>
      <c r="D125" s="122"/>
      <c r="E125" s="122"/>
      <c r="F125" s="122"/>
      <c r="G125" s="122"/>
      <c r="H125" s="143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spans="1:26">
      <c r="A126" s="122"/>
      <c r="B126" s="142"/>
      <c r="C126" s="122"/>
      <c r="D126" s="122"/>
      <c r="E126" s="122"/>
      <c r="F126" s="122"/>
      <c r="G126" s="122"/>
      <c r="H126" s="143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1:26">
      <c r="A127" s="122"/>
      <c r="B127" s="142"/>
      <c r="C127" s="122"/>
      <c r="D127" s="122"/>
      <c r="E127" s="122"/>
      <c r="F127" s="122"/>
      <c r="G127" s="122"/>
      <c r="H127" s="143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spans="1:26">
      <c r="A128" s="122"/>
      <c r="B128" s="142"/>
      <c r="C128" s="122"/>
      <c r="D128" s="122"/>
      <c r="E128" s="122"/>
      <c r="F128" s="122"/>
      <c r="G128" s="122"/>
      <c r="H128" s="143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1:26">
      <c r="A129" s="122"/>
      <c r="B129" s="142"/>
      <c r="C129" s="122"/>
      <c r="D129" s="122"/>
      <c r="E129" s="122"/>
      <c r="F129" s="122"/>
      <c r="G129" s="122"/>
      <c r="H129" s="143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spans="1:26">
      <c r="A130" s="122"/>
      <c r="B130" s="142"/>
      <c r="C130" s="122"/>
      <c r="D130" s="122"/>
      <c r="E130" s="122"/>
      <c r="F130" s="122"/>
      <c r="G130" s="122"/>
      <c r="H130" s="143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spans="1:26">
      <c r="A131" s="122"/>
      <c r="B131" s="142"/>
      <c r="C131" s="122"/>
      <c r="D131" s="122"/>
      <c r="E131" s="122"/>
      <c r="F131" s="122"/>
      <c r="G131" s="122"/>
      <c r="H131" s="143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spans="1:26">
      <c r="A132" s="122"/>
      <c r="B132" s="142"/>
      <c r="C132" s="122"/>
      <c r="D132" s="122"/>
      <c r="E132" s="122"/>
      <c r="F132" s="122"/>
      <c r="G132" s="122"/>
      <c r="H132" s="143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spans="1:26">
      <c r="A133" s="122"/>
      <c r="B133" s="142"/>
      <c r="C133" s="122"/>
      <c r="D133" s="122"/>
      <c r="E133" s="122"/>
      <c r="F133" s="122"/>
      <c r="G133" s="122"/>
      <c r="H133" s="143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spans="1:26">
      <c r="A134" s="122"/>
      <c r="B134" s="142"/>
      <c r="C134" s="122"/>
      <c r="D134" s="122"/>
      <c r="E134" s="122"/>
      <c r="F134" s="122"/>
      <c r="G134" s="122"/>
      <c r="H134" s="143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1:26">
      <c r="A135" s="122"/>
      <c r="B135" s="142"/>
      <c r="C135" s="122"/>
      <c r="D135" s="122"/>
      <c r="E135" s="122"/>
      <c r="F135" s="122"/>
      <c r="G135" s="122"/>
      <c r="H135" s="143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spans="1:26">
      <c r="A136" s="122"/>
      <c r="B136" s="142"/>
      <c r="C136" s="122"/>
      <c r="D136" s="122"/>
      <c r="E136" s="122"/>
      <c r="F136" s="122"/>
      <c r="G136" s="122"/>
      <c r="H136" s="143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spans="1:26">
      <c r="A137" s="122"/>
      <c r="B137" s="142"/>
      <c r="C137" s="122"/>
      <c r="D137" s="122"/>
      <c r="E137" s="122"/>
      <c r="F137" s="122"/>
      <c r="G137" s="122"/>
      <c r="H137" s="143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spans="1:26">
      <c r="A138" s="122"/>
      <c r="B138" s="142"/>
      <c r="C138" s="122"/>
      <c r="D138" s="122"/>
      <c r="E138" s="122"/>
      <c r="F138" s="122"/>
      <c r="G138" s="122"/>
      <c r="H138" s="143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spans="1:26">
      <c r="A139" s="122"/>
      <c r="B139" s="142"/>
      <c r="C139" s="122"/>
      <c r="D139" s="122"/>
      <c r="E139" s="122"/>
      <c r="F139" s="122"/>
      <c r="G139" s="122"/>
      <c r="H139" s="143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spans="1:26">
      <c r="A140" s="122"/>
      <c r="B140" s="142"/>
      <c r="C140" s="122"/>
      <c r="D140" s="122"/>
      <c r="E140" s="122"/>
      <c r="F140" s="122"/>
      <c r="G140" s="122"/>
      <c r="H140" s="143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spans="1:26">
      <c r="A141" s="122"/>
      <c r="B141" s="142"/>
      <c r="C141" s="122"/>
      <c r="D141" s="122"/>
      <c r="E141" s="122"/>
      <c r="F141" s="122"/>
      <c r="G141" s="122"/>
      <c r="H141" s="143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spans="1:26">
      <c r="A142" s="122"/>
      <c r="B142" s="142"/>
      <c r="C142" s="122"/>
      <c r="D142" s="122"/>
      <c r="E142" s="122"/>
      <c r="F142" s="122"/>
      <c r="G142" s="122"/>
      <c r="H142" s="143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spans="1:26">
      <c r="A143" s="122"/>
      <c r="B143" s="142"/>
      <c r="C143" s="122"/>
      <c r="D143" s="122"/>
      <c r="E143" s="122"/>
      <c r="F143" s="122"/>
      <c r="G143" s="122"/>
      <c r="H143" s="143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spans="1:26">
      <c r="A144" s="122"/>
      <c r="B144" s="142"/>
      <c r="C144" s="122"/>
      <c r="D144" s="122"/>
      <c r="E144" s="122"/>
      <c r="F144" s="122"/>
      <c r="G144" s="122"/>
      <c r="H144" s="143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spans="1:26">
      <c r="A145" s="122"/>
      <c r="B145" s="142"/>
      <c r="C145" s="122"/>
      <c r="D145" s="122"/>
      <c r="E145" s="122"/>
      <c r="F145" s="122"/>
      <c r="G145" s="122"/>
      <c r="H145" s="143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spans="1:26">
      <c r="A146" s="122"/>
      <c r="B146" s="142"/>
      <c r="C146" s="122"/>
      <c r="D146" s="122"/>
      <c r="E146" s="122"/>
      <c r="F146" s="122"/>
      <c r="G146" s="122"/>
      <c r="H146" s="143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spans="1:26">
      <c r="A147" s="122"/>
      <c r="B147" s="142"/>
      <c r="C147" s="122"/>
      <c r="D147" s="122"/>
      <c r="E147" s="122"/>
      <c r="F147" s="122"/>
      <c r="G147" s="122"/>
      <c r="H147" s="143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spans="1:26">
      <c r="A148" s="122"/>
      <c r="B148" s="142"/>
      <c r="C148" s="122"/>
      <c r="D148" s="122"/>
      <c r="E148" s="122"/>
      <c r="F148" s="122"/>
      <c r="G148" s="122"/>
      <c r="H148" s="143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spans="1:26">
      <c r="A149" s="122"/>
      <c r="B149" s="122"/>
      <c r="C149" s="122"/>
      <c r="D149" s="122"/>
      <c r="E149" s="122"/>
      <c r="F149" s="122"/>
      <c r="G149" s="122"/>
      <c r="H149" s="143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spans="1:26">
      <c r="A150" s="122"/>
      <c r="B150" s="122"/>
      <c r="C150" s="122"/>
      <c r="D150" s="122"/>
      <c r="E150" s="122"/>
      <c r="F150" s="122"/>
      <c r="G150" s="122"/>
      <c r="H150" s="143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spans="1:26">
      <c r="A151" s="122"/>
      <c r="B151" s="122"/>
      <c r="C151" s="122"/>
      <c r="D151" s="122"/>
      <c r="E151" s="122"/>
      <c r="F151" s="122"/>
      <c r="G151" s="122"/>
      <c r="H151" s="143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spans="1:26">
      <c r="A152" s="122"/>
      <c r="B152" s="122"/>
      <c r="C152" s="122"/>
      <c r="D152" s="122"/>
      <c r="E152" s="122"/>
      <c r="F152" s="122"/>
      <c r="G152" s="122"/>
      <c r="H152" s="143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spans="1:26">
      <c r="A153" s="122"/>
      <c r="B153" s="122"/>
      <c r="C153" s="122"/>
      <c r="D153" s="122"/>
      <c r="E153" s="122"/>
      <c r="F153" s="122"/>
      <c r="G153" s="122"/>
      <c r="H153" s="143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1:26">
      <c r="A154" s="122"/>
      <c r="B154" s="122"/>
      <c r="C154" s="122"/>
      <c r="D154" s="122"/>
      <c r="E154" s="122"/>
      <c r="F154" s="122"/>
      <c r="G154" s="122"/>
      <c r="H154" s="143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spans="1:26">
      <c r="A155" s="122"/>
      <c r="B155" s="122"/>
      <c r="C155" s="122"/>
      <c r="D155" s="122"/>
      <c r="E155" s="122"/>
      <c r="F155" s="122"/>
      <c r="G155" s="122"/>
      <c r="H155" s="143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</sheetData>
  <mergeCells count="36">
    <mergeCell ref="E5:H5"/>
    <mergeCell ref="E16:H16"/>
    <mergeCell ref="E24:H24"/>
    <mergeCell ref="E31:H31"/>
    <mergeCell ref="E38:H38"/>
    <mergeCell ref="A2:A6"/>
    <mergeCell ref="A7:A17"/>
    <mergeCell ref="A18:A25"/>
    <mergeCell ref="A26:A32"/>
    <mergeCell ref="A33:A39"/>
    <mergeCell ref="B2:B6"/>
    <mergeCell ref="B7:B17"/>
    <mergeCell ref="B18:B25"/>
    <mergeCell ref="B26:B32"/>
    <mergeCell ref="B33:B39"/>
    <mergeCell ref="C2:C6"/>
    <mergeCell ref="C7:C17"/>
    <mergeCell ref="C18:C25"/>
    <mergeCell ref="C26:C32"/>
    <mergeCell ref="C33:C39"/>
    <mergeCell ref="D2:D6"/>
    <mergeCell ref="D7:D17"/>
    <mergeCell ref="D18:D25"/>
    <mergeCell ref="D26:D32"/>
    <mergeCell ref="D33:D39"/>
    <mergeCell ref="E2:E4"/>
    <mergeCell ref="E7:E15"/>
    <mergeCell ref="E18:E23"/>
    <mergeCell ref="E26:E30"/>
    <mergeCell ref="E33:E37"/>
    <mergeCell ref="F2:F3"/>
    <mergeCell ref="F7:F13"/>
    <mergeCell ref="F14:F15"/>
    <mergeCell ref="F18:F23"/>
    <mergeCell ref="F26:F28"/>
    <mergeCell ref="F33:F37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88"/>
  <sheetViews>
    <sheetView workbookViewId="0">
      <pane ySplit="1" topLeftCell="A12" activePane="bottomLeft" state="frozen"/>
      <selection/>
      <selection pane="bottomLeft" activeCell="H17" sqref="H17"/>
    </sheetView>
  </sheetViews>
  <sheetFormatPr defaultColWidth="9.13888888888889" defaultRowHeight="13.8"/>
  <cols>
    <col min="1" max="1" width="22.4259259259259" style="41" customWidth="1"/>
    <col min="2" max="2" width="11.712962962963" style="41" customWidth="1"/>
    <col min="3" max="7" width="9.13888888888889" style="41"/>
    <col min="8" max="8" width="59.712962962963" style="41" customWidth="1"/>
    <col min="9" max="9" width="17.537037037037" style="41" customWidth="1"/>
    <col min="10" max="11" width="9.13888888888889" style="41"/>
    <col min="12" max="12" width="19.5740740740741" style="42" customWidth="1"/>
    <col min="13" max="26" width="9.13888888888889" style="41"/>
    <col min="27" max="16384" width="9.13888888888889" style="43"/>
  </cols>
  <sheetData>
    <row r="1" ht="52.2" spans="1:26">
      <c r="A1" s="44" t="s">
        <v>143</v>
      </c>
      <c r="B1" s="45" t="s">
        <v>6</v>
      </c>
      <c r="C1" s="44" t="s">
        <v>144</v>
      </c>
      <c r="D1" s="44" t="s">
        <v>145</v>
      </c>
      <c r="E1" s="45" t="s">
        <v>146</v>
      </c>
      <c r="F1" s="44" t="s">
        <v>147</v>
      </c>
      <c r="G1" s="44" t="s">
        <v>1</v>
      </c>
      <c r="H1" s="46" t="s">
        <v>148</v>
      </c>
      <c r="I1" s="44" t="s">
        <v>149</v>
      </c>
      <c r="J1" s="47" t="s">
        <v>150</v>
      </c>
      <c r="K1" s="44" t="s">
        <v>151</v>
      </c>
      <c r="L1" s="48" t="s">
        <v>152</v>
      </c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5" spans="1:26">
      <c r="A2" s="44" t="s">
        <v>331</v>
      </c>
      <c r="B2" s="50" t="s">
        <v>119</v>
      </c>
      <c r="C2" s="51">
        <v>0.92</v>
      </c>
      <c r="D2" s="52"/>
      <c r="E2" s="53" t="s">
        <v>155</v>
      </c>
      <c r="F2" s="54" t="s">
        <v>76</v>
      </c>
      <c r="G2" s="52">
        <v>1</v>
      </c>
      <c r="H2" s="55" t="s">
        <v>332</v>
      </c>
      <c r="I2" s="15" t="s">
        <v>333</v>
      </c>
      <c r="J2" s="51">
        <v>1</v>
      </c>
      <c r="K2" s="53"/>
      <c r="L2" s="56">
        <v>5</v>
      </c>
    </row>
    <row r="3" ht="15" spans="1:26">
      <c r="A3" s="44"/>
      <c r="B3" s="50"/>
      <c r="C3" s="52"/>
      <c r="D3" s="52"/>
      <c r="E3" s="53"/>
      <c r="F3" s="57"/>
      <c r="G3" s="58">
        <v>2</v>
      </c>
      <c r="H3" s="59" t="s">
        <v>334</v>
      </c>
      <c r="I3" s="58" t="s">
        <v>288</v>
      </c>
      <c r="J3" s="60">
        <v>0.9</v>
      </c>
      <c r="K3" s="61"/>
      <c r="L3" s="56">
        <v>1.75</v>
      </c>
    </row>
    <row r="4" ht="15" spans="1:26">
      <c r="A4" s="44"/>
      <c r="B4" s="50"/>
      <c r="C4" s="52"/>
      <c r="D4" s="52"/>
      <c r="E4" s="53"/>
      <c r="F4" s="57"/>
      <c r="G4" s="58">
        <v>3</v>
      </c>
      <c r="H4" s="62" t="s">
        <v>335</v>
      </c>
      <c r="I4" s="58" t="s">
        <v>336</v>
      </c>
      <c r="J4" s="60">
        <v>0.5</v>
      </c>
      <c r="K4" s="61"/>
      <c r="L4" s="56">
        <v>1</v>
      </c>
    </row>
    <row r="5" ht="60" spans="1:26">
      <c r="A5" s="44"/>
      <c r="B5" s="50"/>
      <c r="C5" s="52"/>
      <c r="D5" s="52"/>
      <c r="E5" s="53"/>
      <c r="F5" s="57"/>
      <c r="G5" s="63">
        <v>4</v>
      </c>
      <c r="H5" s="64" t="s">
        <v>337</v>
      </c>
      <c r="I5" s="65" t="s">
        <v>338</v>
      </c>
      <c r="J5" s="66">
        <v>1</v>
      </c>
      <c r="K5" s="67"/>
      <c r="L5" s="68">
        <v>1</v>
      </c>
    </row>
    <row r="6" ht="20.25" customHeight="1" spans="1:26">
      <c r="A6" s="44"/>
      <c r="B6" s="50"/>
      <c r="C6" s="52"/>
      <c r="D6" s="52"/>
      <c r="E6" s="53"/>
      <c r="F6" s="69"/>
      <c r="G6" s="70">
        <v>5</v>
      </c>
      <c r="H6" s="71"/>
      <c r="I6" s="70"/>
      <c r="J6" s="72"/>
      <c r="K6" s="73"/>
      <c r="L6" s="74"/>
    </row>
    <row r="7" ht="15" spans="1:26">
      <c r="A7" s="44"/>
      <c r="B7" s="50"/>
      <c r="C7" s="52"/>
      <c r="D7" s="52"/>
      <c r="E7" s="53"/>
      <c r="F7" s="69"/>
      <c r="G7" s="70">
        <v>6</v>
      </c>
      <c r="H7" s="75"/>
      <c r="I7" s="70"/>
      <c r="J7" s="72"/>
      <c r="K7" s="73"/>
      <c r="L7" s="74"/>
    </row>
    <row r="8" ht="15" spans="1:26">
      <c r="A8" s="44"/>
      <c r="B8" s="50"/>
      <c r="C8" s="52"/>
      <c r="D8" s="52"/>
      <c r="E8" s="53"/>
      <c r="F8" s="69"/>
      <c r="G8" s="70">
        <v>7</v>
      </c>
      <c r="H8" s="71"/>
      <c r="I8" s="76"/>
      <c r="J8" s="72"/>
      <c r="K8" s="73"/>
      <c r="L8" s="74"/>
    </row>
    <row r="9" ht="15" spans="1:26">
      <c r="A9" s="44"/>
      <c r="B9" s="50"/>
      <c r="C9" s="52"/>
      <c r="D9" s="52"/>
      <c r="E9" s="53"/>
      <c r="F9" s="69"/>
      <c r="G9" s="70">
        <v>8</v>
      </c>
      <c r="H9" s="77"/>
      <c r="I9" s="77"/>
      <c r="J9" s="77"/>
      <c r="K9" s="77"/>
      <c r="L9" s="78"/>
    </row>
    <row r="10" ht="15" spans="1:26">
      <c r="A10" s="44"/>
      <c r="B10" s="50"/>
      <c r="C10" s="52"/>
      <c r="D10" s="52"/>
      <c r="E10" s="53"/>
      <c r="F10" s="69"/>
      <c r="G10" s="70">
        <v>9</v>
      </c>
      <c r="H10" s="77"/>
      <c r="I10" s="77"/>
      <c r="J10" s="77"/>
      <c r="K10" s="77"/>
      <c r="L10" s="78"/>
    </row>
    <row r="11" ht="15" spans="1:26">
      <c r="A11" s="44"/>
      <c r="B11" s="50"/>
      <c r="C11" s="52"/>
      <c r="D11" s="52"/>
      <c r="E11" s="53"/>
      <c r="F11" s="69"/>
      <c r="G11" s="70">
        <v>10</v>
      </c>
      <c r="H11" s="77"/>
      <c r="I11" s="77"/>
      <c r="J11" s="77"/>
      <c r="K11" s="77"/>
      <c r="L11" s="78"/>
    </row>
    <row r="12" ht="105" spans="1:26">
      <c r="A12" s="44"/>
      <c r="B12" s="50"/>
      <c r="C12" s="52"/>
      <c r="D12" s="52"/>
      <c r="E12" s="53"/>
      <c r="F12" s="57"/>
      <c r="G12" s="79">
        <v>11</v>
      </c>
      <c r="H12" s="80" t="s">
        <v>339</v>
      </c>
      <c r="I12" s="81" t="s">
        <v>119</v>
      </c>
      <c r="J12" s="82">
        <v>1</v>
      </c>
      <c r="K12" s="83"/>
      <c r="L12" s="84">
        <v>5</v>
      </c>
    </row>
    <row r="13" ht="15" spans="1:26">
      <c r="A13" s="44"/>
      <c r="B13" s="50"/>
      <c r="C13" s="52"/>
      <c r="D13" s="52"/>
      <c r="E13" s="53"/>
      <c r="F13" s="85"/>
      <c r="G13" s="86">
        <v>12</v>
      </c>
      <c r="H13" s="75"/>
      <c r="I13" s="87"/>
      <c r="J13" s="72"/>
      <c r="K13" s="88"/>
      <c r="L13" s="56"/>
    </row>
    <row r="14" ht="15" spans="1:26">
      <c r="A14" s="44"/>
      <c r="B14" s="50"/>
      <c r="C14" s="52"/>
      <c r="D14" s="52"/>
      <c r="E14" s="33" t="s">
        <v>170</v>
      </c>
      <c r="F14" s="33"/>
      <c r="G14" s="33"/>
      <c r="H14" s="89"/>
      <c r="I14" s="33"/>
      <c r="J14" s="90"/>
      <c r="K14" s="35"/>
      <c r="L14" s="36">
        <f>SUM(L2:L13)</f>
        <v>13.75</v>
      </c>
    </row>
    <row r="15" ht="15.6" spans="1:26">
      <c r="A15" s="44"/>
      <c r="B15" s="50"/>
      <c r="C15" s="52"/>
      <c r="D15" s="52"/>
      <c r="E15" s="53" t="s">
        <v>171</v>
      </c>
      <c r="F15" s="53" t="s">
        <v>76</v>
      </c>
      <c r="G15" s="53">
        <v>1</v>
      </c>
      <c r="H15" s="91"/>
      <c r="I15" s="52"/>
      <c r="J15" s="92"/>
      <c r="K15" s="53"/>
      <c r="L15" s="56"/>
    </row>
    <row r="16" ht="15" spans="1:26">
      <c r="A16" s="44"/>
      <c r="B16" s="50"/>
      <c r="C16" s="52"/>
      <c r="D16" s="52"/>
      <c r="E16" s="53"/>
      <c r="F16" s="53"/>
      <c r="G16" s="53">
        <v>2</v>
      </c>
      <c r="H16" s="55"/>
      <c r="I16" s="53"/>
      <c r="J16" s="92"/>
      <c r="K16" s="53"/>
      <c r="L16" s="56"/>
    </row>
    <row r="17" ht="105" spans="1:12">
      <c r="A17" s="44" t="s">
        <v>340</v>
      </c>
      <c r="B17" s="50" t="s">
        <v>121</v>
      </c>
      <c r="C17" s="51">
        <v>0.95</v>
      </c>
      <c r="D17" s="52"/>
      <c r="E17" s="53" t="s">
        <v>155</v>
      </c>
      <c r="F17" s="52" t="s">
        <v>76</v>
      </c>
      <c r="G17" s="52">
        <v>1</v>
      </c>
      <c r="H17" s="55" t="s">
        <v>341</v>
      </c>
      <c r="I17" s="15" t="s">
        <v>338</v>
      </c>
      <c r="J17" s="51">
        <v>0.9</v>
      </c>
      <c r="K17" s="52"/>
      <c r="L17" s="56">
        <v>4</v>
      </c>
    </row>
    <row r="18" ht="60" spans="1:12">
      <c r="A18" s="44"/>
      <c r="B18" s="50"/>
      <c r="C18" s="52"/>
      <c r="D18" s="52"/>
      <c r="E18" s="53"/>
      <c r="F18" s="52"/>
      <c r="G18" s="52">
        <v>2</v>
      </c>
      <c r="H18" s="55" t="s">
        <v>342</v>
      </c>
      <c r="I18" s="15" t="s">
        <v>343</v>
      </c>
      <c r="J18" s="51">
        <v>0.9</v>
      </c>
      <c r="K18" s="52"/>
      <c r="L18" s="56">
        <v>5</v>
      </c>
    </row>
    <row r="19" ht="15" spans="1:12">
      <c r="A19" s="44"/>
      <c r="B19" s="50"/>
      <c r="C19" s="52"/>
      <c r="D19" s="52"/>
      <c r="E19" s="53"/>
      <c r="F19" s="52"/>
      <c r="G19" s="52">
        <v>3</v>
      </c>
      <c r="H19" s="55"/>
      <c r="I19" s="15"/>
      <c r="J19" s="51"/>
      <c r="K19" s="52"/>
      <c r="L19" s="56"/>
    </row>
    <row r="20" ht="15" spans="1:12">
      <c r="A20" s="44"/>
      <c r="B20" s="50"/>
      <c r="C20" s="52"/>
      <c r="D20" s="52"/>
      <c r="E20" s="53"/>
      <c r="F20" s="52"/>
      <c r="G20" s="52"/>
      <c r="H20" s="55"/>
      <c r="I20" s="15"/>
      <c r="J20" s="51"/>
      <c r="K20" s="52"/>
      <c r="L20" s="56"/>
    </row>
    <row r="21" ht="15" spans="1:12">
      <c r="A21" s="44"/>
      <c r="B21" s="50"/>
      <c r="C21" s="52"/>
      <c r="D21" s="52"/>
      <c r="E21" s="53"/>
      <c r="F21" s="52"/>
      <c r="G21" s="52"/>
      <c r="H21" s="55"/>
      <c r="I21" s="15"/>
      <c r="J21" s="51"/>
      <c r="K21" s="52"/>
      <c r="L21" s="56"/>
    </row>
    <row r="22" ht="15" spans="1:12">
      <c r="A22" s="44"/>
      <c r="B22" s="50"/>
      <c r="C22" s="52"/>
      <c r="D22" s="52"/>
      <c r="E22" s="53"/>
      <c r="F22" s="52"/>
      <c r="G22" s="52"/>
      <c r="H22" s="93"/>
      <c r="I22" s="52"/>
      <c r="J22" s="51"/>
      <c r="K22" s="52"/>
      <c r="L22" s="56"/>
    </row>
    <row r="23" ht="15" spans="1:12">
      <c r="A23" s="44"/>
      <c r="B23" s="50"/>
      <c r="C23" s="52"/>
      <c r="D23" s="52"/>
      <c r="E23" s="53"/>
      <c r="F23" s="52"/>
      <c r="G23" s="53"/>
      <c r="H23" s="55"/>
      <c r="I23" s="52"/>
      <c r="J23" s="51"/>
      <c r="K23" s="52"/>
      <c r="L23" s="56"/>
    </row>
    <row r="24" ht="15" spans="1:12">
      <c r="A24" s="44"/>
      <c r="B24" s="50"/>
      <c r="C24" s="52"/>
      <c r="D24" s="52"/>
      <c r="E24" s="53"/>
      <c r="F24" s="52"/>
      <c r="G24" s="52"/>
      <c r="H24" s="55"/>
      <c r="I24" s="52"/>
      <c r="J24" s="51"/>
      <c r="K24" s="52"/>
      <c r="L24" s="56"/>
    </row>
    <row r="25" ht="15" spans="1:12">
      <c r="A25" s="44"/>
      <c r="B25" s="50"/>
      <c r="C25" s="52"/>
      <c r="D25" s="52"/>
      <c r="E25" s="53"/>
      <c r="F25" s="52"/>
      <c r="G25" s="52"/>
      <c r="H25" s="55"/>
      <c r="I25" s="52"/>
      <c r="J25" s="51"/>
      <c r="K25" s="52"/>
      <c r="L25" s="56"/>
    </row>
    <row r="26" ht="15" spans="1:12">
      <c r="A26" s="44"/>
      <c r="B26" s="50"/>
      <c r="C26" s="52"/>
      <c r="D26" s="52"/>
      <c r="E26" s="33" t="s">
        <v>170</v>
      </c>
      <c r="F26" s="33"/>
      <c r="G26" s="33"/>
      <c r="H26" s="33"/>
      <c r="I26" s="33"/>
      <c r="J26" s="34"/>
      <c r="K26" s="35"/>
      <c r="L26" s="36">
        <f>SUM(L17:L25)</f>
        <v>9</v>
      </c>
    </row>
    <row r="27" ht="15.6" spans="1:12">
      <c r="A27" s="44"/>
      <c r="B27" s="50"/>
      <c r="C27" s="52"/>
      <c r="D27" s="52"/>
      <c r="E27" s="53" t="s">
        <v>171</v>
      </c>
      <c r="F27" s="53" t="s">
        <v>76</v>
      </c>
      <c r="G27" s="53">
        <v>1</v>
      </c>
      <c r="H27" s="91"/>
      <c r="I27" s="52"/>
      <c r="J27" s="92"/>
      <c r="K27" s="53"/>
      <c r="L27" s="94"/>
    </row>
    <row r="28" ht="15.6" spans="1:12">
      <c r="A28" s="44"/>
      <c r="B28" s="50"/>
      <c r="C28" s="52"/>
      <c r="D28" s="52"/>
      <c r="E28" s="53"/>
      <c r="F28" s="53"/>
      <c r="G28" s="53">
        <v>2</v>
      </c>
      <c r="H28" s="95"/>
      <c r="I28" s="96"/>
      <c r="J28" s="97"/>
      <c r="K28" s="96"/>
      <c r="L28" s="98"/>
    </row>
    <row r="29" ht="30" spans="1:12">
      <c r="A29" s="44" t="s">
        <v>344</v>
      </c>
      <c r="B29" s="50" t="s">
        <v>121</v>
      </c>
      <c r="C29" s="52" t="s">
        <v>154</v>
      </c>
      <c r="D29" s="52"/>
      <c r="E29" s="53" t="s">
        <v>155</v>
      </c>
      <c r="F29" s="54" t="s">
        <v>76</v>
      </c>
      <c r="G29" s="99">
        <v>1</v>
      </c>
      <c r="H29" s="71" t="s">
        <v>345</v>
      </c>
      <c r="I29" s="100" t="s">
        <v>346</v>
      </c>
      <c r="J29" s="101">
        <v>1</v>
      </c>
      <c r="K29" s="102"/>
      <c r="L29" s="74">
        <v>4.5</v>
      </c>
    </row>
    <row r="30" ht="45" spans="1:12">
      <c r="A30" s="44"/>
      <c r="B30" s="50"/>
      <c r="C30" s="52"/>
      <c r="D30" s="52"/>
      <c r="E30" s="53"/>
      <c r="F30" s="103"/>
      <c r="G30" s="99">
        <v>2</v>
      </c>
      <c r="H30" s="104" t="s">
        <v>347</v>
      </c>
      <c r="I30" s="100" t="s">
        <v>348</v>
      </c>
      <c r="J30" s="105">
        <v>1</v>
      </c>
      <c r="K30" s="102"/>
      <c r="L30" s="74">
        <v>1.5</v>
      </c>
    </row>
    <row r="31" ht="75" spans="1:12">
      <c r="A31" s="44"/>
      <c r="B31" s="50"/>
      <c r="C31" s="52"/>
      <c r="D31" s="52"/>
      <c r="E31" s="53"/>
      <c r="F31" s="103"/>
      <c r="G31" s="52">
        <v>3</v>
      </c>
      <c r="H31" s="80" t="s">
        <v>349</v>
      </c>
      <c r="I31" s="28" t="s">
        <v>303</v>
      </c>
      <c r="J31" s="105">
        <v>0.8</v>
      </c>
      <c r="K31" s="85"/>
      <c r="L31" s="84">
        <v>2</v>
      </c>
    </row>
    <row r="32" ht="150" spans="1:12">
      <c r="A32" s="44"/>
      <c r="B32" s="50"/>
      <c r="C32" s="52"/>
      <c r="D32" s="52"/>
      <c r="E32" s="53"/>
      <c r="F32" s="103"/>
      <c r="G32" s="52">
        <v>4</v>
      </c>
      <c r="H32" s="55" t="s">
        <v>350</v>
      </c>
      <c r="I32" s="106" t="s">
        <v>245</v>
      </c>
      <c r="J32" s="51">
        <v>0.8</v>
      </c>
      <c r="K32" s="52"/>
      <c r="L32" s="50">
        <v>1.8</v>
      </c>
    </row>
    <row r="33" ht="30" spans="1:12">
      <c r="A33" s="44"/>
      <c r="B33" s="50"/>
      <c r="C33" s="52"/>
      <c r="D33" s="52"/>
      <c r="E33" s="53"/>
      <c r="F33" s="103"/>
      <c r="G33" s="52">
        <v>5</v>
      </c>
      <c r="H33" s="55" t="s">
        <v>351</v>
      </c>
      <c r="I33" s="59" t="s">
        <v>121</v>
      </c>
      <c r="J33" s="51">
        <v>1</v>
      </c>
      <c r="K33" s="52"/>
      <c r="L33" s="50">
        <v>1.5</v>
      </c>
    </row>
    <row r="34" ht="15.6" spans="1:12">
      <c r="A34" s="44"/>
      <c r="B34" s="50"/>
      <c r="C34" s="52"/>
      <c r="D34" s="52"/>
      <c r="E34" s="53"/>
      <c r="F34" s="107"/>
      <c r="G34" s="52">
        <v>6</v>
      </c>
      <c r="H34" s="93"/>
      <c r="I34" s="52"/>
      <c r="J34" s="51"/>
      <c r="K34" s="52"/>
      <c r="L34" s="50"/>
    </row>
    <row r="35" ht="15.6" spans="1:12">
      <c r="A35" s="44"/>
      <c r="B35" s="50"/>
      <c r="C35" s="52"/>
      <c r="D35" s="52"/>
      <c r="E35" s="53"/>
      <c r="F35" s="54" t="s">
        <v>352</v>
      </c>
      <c r="G35" s="53">
        <v>1</v>
      </c>
      <c r="H35" s="55" t="s">
        <v>353</v>
      </c>
      <c r="I35" s="55" t="s">
        <v>264</v>
      </c>
      <c r="J35" s="51">
        <v>1</v>
      </c>
      <c r="K35" s="52"/>
      <c r="L35" s="50">
        <v>0.5</v>
      </c>
    </row>
    <row r="36" ht="15.6" spans="1:12">
      <c r="A36" s="44"/>
      <c r="B36" s="50"/>
      <c r="C36" s="52"/>
      <c r="D36" s="52"/>
      <c r="E36" s="53"/>
      <c r="F36" s="103"/>
      <c r="G36" s="52">
        <v>2</v>
      </c>
      <c r="H36" s="55"/>
      <c r="I36" s="52"/>
      <c r="J36" s="51"/>
      <c r="K36" s="52"/>
      <c r="L36" s="50"/>
    </row>
    <row r="37" ht="15.6" spans="1:12">
      <c r="A37" s="44"/>
      <c r="B37" s="50"/>
      <c r="C37" s="52"/>
      <c r="D37" s="52"/>
      <c r="E37" s="53"/>
      <c r="F37" s="107"/>
      <c r="G37" s="52">
        <v>3</v>
      </c>
      <c r="H37" s="55"/>
      <c r="I37" s="52"/>
      <c r="J37" s="51"/>
      <c r="K37" s="52"/>
      <c r="L37" s="50"/>
    </row>
    <row r="38" ht="15" spans="1:12">
      <c r="A38" s="44"/>
      <c r="B38" s="50"/>
      <c r="C38" s="52"/>
      <c r="D38" s="52"/>
      <c r="E38" s="33" t="s">
        <v>170</v>
      </c>
      <c r="F38" s="33"/>
      <c r="G38" s="33"/>
      <c r="H38" s="33"/>
      <c r="I38" s="33"/>
      <c r="J38" s="34"/>
      <c r="K38" s="35"/>
      <c r="L38" s="36">
        <f>SUM(L29:L37)</f>
        <v>11.8</v>
      </c>
    </row>
    <row r="39" ht="15.6" spans="1:12">
      <c r="A39" s="44"/>
      <c r="B39" s="50"/>
      <c r="C39" s="52"/>
      <c r="D39" s="52"/>
      <c r="E39" s="53" t="s">
        <v>171</v>
      </c>
      <c r="F39" s="53" t="s">
        <v>76</v>
      </c>
      <c r="G39" s="53">
        <v>1</v>
      </c>
      <c r="H39" s="91"/>
      <c r="I39" s="52"/>
      <c r="J39" s="92"/>
      <c r="K39" s="53"/>
      <c r="L39" s="94"/>
    </row>
    <row r="40" ht="15.6" spans="1:12">
      <c r="A40" s="44"/>
      <c r="B40" s="50"/>
      <c r="C40" s="52"/>
      <c r="D40" s="52"/>
      <c r="E40" s="53"/>
      <c r="F40" s="53"/>
      <c r="G40" s="53">
        <v>2</v>
      </c>
      <c r="H40" s="91"/>
      <c r="I40" s="53"/>
      <c r="J40" s="92"/>
      <c r="K40" s="53"/>
      <c r="L40" s="56"/>
    </row>
    <row r="41" ht="15.6" spans="1:12">
      <c r="A41" s="44" t="s">
        <v>354</v>
      </c>
      <c r="B41" s="50" t="s">
        <v>121</v>
      </c>
      <c r="C41" s="52" t="s">
        <v>154</v>
      </c>
      <c r="D41" s="52"/>
      <c r="E41" s="53" t="s">
        <v>155</v>
      </c>
      <c r="F41" s="54" t="s">
        <v>76</v>
      </c>
      <c r="G41" s="52">
        <v>1</v>
      </c>
      <c r="H41" s="55"/>
      <c r="I41" s="15"/>
      <c r="J41" s="51"/>
      <c r="K41" s="52"/>
      <c r="L41" s="50"/>
    </row>
    <row r="42" ht="15.6" spans="1:12">
      <c r="A42" s="44"/>
      <c r="B42" s="50"/>
      <c r="C42" s="52"/>
      <c r="D42" s="52"/>
      <c r="E42" s="53"/>
      <c r="F42" s="103"/>
      <c r="G42" s="52">
        <v>2</v>
      </c>
      <c r="H42" s="93"/>
      <c r="I42" s="15"/>
      <c r="J42" s="51"/>
      <c r="K42" s="52"/>
      <c r="L42" s="50"/>
    </row>
    <row r="43" ht="15.6" spans="1:12">
      <c r="A43" s="44"/>
      <c r="B43" s="50"/>
      <c r="C43" s="52"/>
      <c r="D43" s="52"/>
      <c r="E43" s="53"/>
      <c r="F43" s="103"/>
      <c r="G43" s="52">
        <v>3</v>
      </c>
      <c r="H43" s="55"/>
      <c r="I43" s="15"/>
      <c r="J43" s="51"/>
      <c r="K43" s="52"/>
      <c r="L43" s="50"/>
    </row>
    <row r="44" ht="15.6" spans="1:12">
      <c r="A44" s="44"/>
      <c r="B44" s="50"/>
      <c r="C44" s="52"/>
      <c r="D44" s="52"/>
      <c r="E44" s="53"/>
      <c r="F44" s="103"/>
      <c r="G44" s="52">
        <v>4</v>
      </c>
      <c r="H44" s="55"/>
      <c r="I44" s="15"/>
      <c r="J44" s="51"/>
      <c r="K44" s="52"/>
      <c r="L44" s="50"/>
    </row>
    <row r="45" ht="15.6" spans="1:12">
      <c r="A45" s="44"/>
      <c r="B45" s="50"/>
      <c r="C45" s="52"/>
      <c r="D45" s="52"/>
      <c r="E45" s="53"/>
      <c r="F45" s="103"/>
      <c r="G45" s="52">
        <v>5</v>
      </c>
      <c r="H45" s="55"/>
      <c r="I45" s="15"/>
      <c r="J45" s="51"/>
      <c r="K45" s="52"/>
      <c r="L45" s="50"/>
    </row>
    <row r="46" ht="15.6" spans="1:12">
      <c r="A46" s="44"/>
      <c r="B46" s="50"/>
      <c r="C46" s="52"/>
      <c r="D46" s="52"/>
      <c r="E46" s="53"/>
      <c r="F46" s="107"/>
      <c r="G46" s="52">
        <v>6</v>
      </c>
      <c r="H46" s="93"/>
      <c r="I46" s="52"/>
      <c r="J46" s="51"/>
      <c r="K46" s="52"/>
      <c r="L46" s="50"/>
    </row>
    <row r="47" ht="45" spans="1:12">
      <c r="A47" s="44"/>
      <c r="B47" s="50"/>
      <c r="C47" s="52"/>
      <c r="D47" s="52"/>
      <c r="E47" s="53"/>
      <c r="F47" s="54" t="s">
        <v>187</v>
      </c>
      <c r="G47" s="53">
        <v>1</v>
      </c>
      <c r="H47" s="55" t="s">
        <v>355</v>
      </c>
      <c r="I47" s="52" t="s">
        <v>348</v>
      </c>
      <c r="J47" s="51">
        <v>1</v>
      </c>
      <c r="K47" s="52"/>
      <c r="L47" s="50">
        <v>2.5</v>
      </c>
    </row>
    <row r="48" ht="15.6" spans="1:12">
      <c r="A48" s="44"/>
      <c r="B48" s="50"/>
      <c r="C48" s="52"/>
      <c r="D48" s="52"/>
      <c r="E48" s="53"/>
      <c r="F48" s="103"/>
      <c r="G48" s="52">
        <v>2</v>
      </c>
      <c r="H48" s="55"/>
      <c r="I48" s="52"/>
      <c r="J48" s="51"/>
      <c r="K48" s="52"/>
      <c r="L48" s="50"/>
    </row>
    <row r="49" ht="15.6" spans="1:12">
      <c r="A49" s="44"/>
      <c r="B49" s="50"/>
      <c r="C49" s="52"/>
      <c r="D49" s="52"/>
      <c r="E49" s="53"/>
      <c r="F49" s="107"/>
      <c r="G49" s="52">
        <v>3</v>
      </c>
      <c r="H49" s="55"/>
      <c r="I49" s="52"/>
      <c r="J49" s="51"/>
      <c r="K49" s="52"/>
      <c r="L49" s="50"/>
    </row>
    <row r="50" ht="15" spans="1:12">
      <c r="A50" s="44"/>
      <c r="B50" s="50"/>
      <c r="C50" s="52"/>
      <c r="D50" s="52"/>
      <c r="E50" s="33" t="s">
        <v>170</v>
      </c>
      <c r="F50" s="33"/>
      <c r="G50" s="33"/>
      <c r="H50" s="33"/>
      <c r="I50" s="33"/>
      <c r="J50" s="34"/>
      <c r="K50" s="35"/>
      <c r="L50" s="36">
        <f>SUM(L41:L49)</f>
        <v>2.5</v>
      </c>
    </row>
    <row r="51" ht="15.6" spans="1:12">
      <c r="A51" s="44"/>
      <c r="B51" s="50"/>
      <c r="C51" s="52"/>
      <c r="D51" s="52"/>
      <c r="E51" s="53" t="s">
        <v>171</v>
      </c>
      <c r="F51" s="53" t="s">
        <v>76</v>
      </c>
      <c r="G51" s="53">
        <v>1</v>
      </c>
      <c r="H51" s="91"/>
      <c r="I51" s="52"/>
      <c r="J51" s="92"/>
      <c r="K51" s="53"/>
      <c r="L51" s="94"/>
    </row>
    <row r="52" ht="15.6" spans="1:12">
      <c r="A52" s="44"/>
      <c r="B52" s="50"/>
      <c r="C52" s="52"/>
      <c r="D52" s="52"/>
      <c r="E52" s="53"/>
      <c r="F52" s="53"/>
      <c r="G52" s="53">
        <v>2</v>
      </c>
      <c r="H52" s="91"/>
      <c r="I52" s="53"/>
      <c r="J52" s="92"/>
      <c r="K52" s="53"/>
      <c r="L52" s="56"/>
    </row>
    <row r="53" ht="360" spans="1:12">
      <c r="A53" s="44" t="s">
        <v>356</v>
      </c>
      <c r="B53" s="50" t="s">
        <v>121</v>
      </c>
      <c r="C53" s="51">
        <v>0.96</v>
      </c>
      <c r="D53" s="52"/>
      <c r="E53" s="53" t="s">
        <v>155</v>
      </c>
      <c r="F53" s="54" t="s">
        <v>76</v>
      </c>
      <c r="G53" s="52">
        <v>1</v>
      </c>
      <c r="H53" s="55" t="s">
        <v>357</v>
      </c>
      <c r="I53" s="55" t="s">
        <v>358</v>
      </c>
      <c r="J53" s="51">
        <v>1</v>
      </c>
      <c r="K53" s="52"/>
      <c r="L53" s="56">
        <v>3.5</v>
      </c>
    </row>
    <row r="54" ht="180" spans="1:12">
      <c r="A54" s="44"/>
      <c r="B54" s="50"/>
      <c r="C54" s="52"/>
      <c r="D54" s="52"/>
      <c r="E54" s="53"/>
      <c r="F54" s="57"/>
      <c r="G54" s="52">
        <v>2</v>
      </c>
      <c r="H54" s="55" t="s">
        <v>359</v>
      </c>
      <c r="I54" s="93" t="s">
        <v>121</v>
      </c>
      <c r="J54" s="51">
        <v>1</v>
      </c>
      <c r="K54" s="52"/>
      <c r="L54" s="56">
        <v>2.5</v>
      </c>
    </row>
    <row r="55" ht="105" spans="1:12">
      <c r="A55" s="44"/>
      <c r="B55" s="50"/>
      <c r="C55" s="52"/>
      <c r="D55" s="52"/>
      <c r="E55" s="53"/>
      <c r="F55" s="57"/>
      <c r="G55" s="52">
        <v>3</v>
      </c>
      <c r="H55" s="108" t="s">
        <v>360</v>
      </c>
      <c r="I55" s="55" t="s">
        <v>336</v>
      </c>
      <c r="J55" s="51">
        <v>1</v>
      </c>
      <c r="K55" s="52"/>
      <c r="L55" s="56">
        <v>3</v>
      </c>
    </row>
    <row r="56" ht="90" spans="1:12">
      <c r="A56" s="44"/>
      <c r="B56" s="50"/>
      <c r="C56" s="52"/>
      <c r="D56" s="52"/>
      <c r="E56" s="53"/>
      <c r="F56" s="57"/>
      <c r="G56" s="52">
        <v>4</v>
      </c>
      <c r="H56" s="55" t="s">
        <v>361</v>
      </c>
      <c r="I56" s="55" t="s">
        <v>108</v>
      </c>
      <c r="J56" s="51">
        <v>1</v>
      </c>
      <c r="K56" s="52"/>
      <c r="L56" s="56">
        <v>2</v>
      </c>
    </row>
    <row r="57" ht="15" spans="1:12">
      <c r="A57" s="44"/>
      <c r="B57" s="50"/>
      <c r="C57" s="52"/>
      <c r="D57" s="52"/>
      <c r="E57" s="53"/>
      <c r="F57" s="57"/>
      <c r="G57" s="52">
        <v>5</v>
      </c>
      <c r="H57" s="55"/>
      <c r="I57" s="55"/>
      <c r="J57" s="51"/>
      <c r="K57" s="52"/>
      <c r="L57" s="56"/>
    </row>
    <row r="58" ht="15" spans="1:12">
      <c r="A58" s="44"/>
      <c r="B58" s="50"/>
      <c r="C58" s="52"/>
      <c r="D58" s="52"/>
      <c r="E58" s="53"/>
      <c r="F58" s="85"/>
      <c r="G58" s="52">
        <v>6</v>
      </c>
      <c r="H58" s="93"/>
      <c r="I58" s="93"/>
      <c r="J58" s="109"/>
      <c r="K58" s="52"/>
      <c r="L58" s="56"/>
    </row>
    <row r="59" ht="15" spans="1:12">
      <c r="A59" s="44"/>
      <c r="B59" s="50"/>
      <c r="C59" s="52"/>
      <c r="D59" s="52"/>
      <c r="E59" s="53"/>
      <c r="F59" s="54" t="s">
        <v>362</v>
      </c>
      <c r="G59" s="53">
        <v>1</v>
      </c>
      <c r="H59" s="110"/>
      <c r="I59" s="111"/>
      <c r="J59" s="101"/>
      <c r="K59" s="112"/>
      <c r="L59" s="56"/>
    </row>
    <row r="60" ht="15" spans="1:12">
      <c r="A60" s="44"/>
      <c r="B60" s="50"/>
      <c r="C60" s="52"/>
      <c r="D60" s="52"/>
      <c r="E60" s="53"/>
      <c r="F60" s="57"/>
      <c r="G60" s="52">
        <v>2</v>
      </c>
      <c r="H60" s="113"/>
      <c r="I60" s="111"/>
      <c r="J60" s="101"/>
      <c r="K60" s="112"/>
      <c r="L60" s="56"/>
    </row>
    <row r="61" ht="15" spans="1:12">
      <c r="A61" s="44"/>
      <c r="B61" s="50"/>
      <c r="C61" s="52"/>
      <c r="D61" s="52"/>
      <c r="E61" s="53"/>
      <c r="F61" s="85"/>
      <c r="G61" s="52">
        <v>3</v>
      </c>
      <c r="H61" s="55"/>
      <c r="I61" s="52"/>
      <c r="J61" s="105"/>
      <c r="K61" s="52"/>
      <c r="L61" s="56"/>
    </row>
    <row r="62" ht="15" spans="1:12">
      <c r="A62" s="44"/>
      <c r="B62" s="50"/>
      <c r="C62" s="52"/>
      <c r="D62" s="52"/>
      <c r="E62" s="33" t="s">
        <v>170</v>
      </c>
      <c r="F62" s="33"/>
      <c r="G62" s="33"/>
      <c r="H62" s="33"/>
      <c r="I62" s="33"/>
      <c r="J62" s="34"/>
      <c r="K62" s="35"/>
      <c r="L62" s="36">
        <f>SUM(L53:L61)</f>
        <v>11</v>
      </c>
    </row>
    <row r="63" ht="15.6" spans="1:12">
      <c r="A63" s="44"/>
      <c r="B63" s="50"/>
      <c r="C63" s="52"/>
      <c r="D63" s="52"/>
      <c r="E63" s="53" t="s">
        <v>171</v>
      </c>
      <c r="F63" s="53" t="s">
        <v>76</v>
      </c>
      <c r="G63" s="53">
        <v>1</v>
      </c>
      <c r="H63" s="91"/>
      <c r="I63" s="52"/>
      <c r="J63" s="92"/>
      <c r="K63" s="53"/>
      <c r="L63" s="94"/>
    </row>
    <row r="64" ht="15.6" spans="1:12">
      <c r="A64" s="44"/>
      <c r="B64" s="50"/>
      <c r="C64" s="52"/>
      <c r="D64" s="52"/>
      <c r="E64" s="53"/>
      <c r="F64" s="53"/>
      <c r="G64" s="53">
        <v>2</v>
      </c>
      <c r="H64" s="91"/>
      <c r="I64" s="53"/>
      <c r="J64" s="92"/>
      <c r="K64" s="53"/>
      <c r="L64" s="94"/>
    </row>
    <row r="65" ht="15" spans="1:12">
      <c r="A65" s="44" t="s">
        <v>363</v>
      </c>
      <c r="B65" s="50" t="s">
        <v>121</v>
      </c>
      <c r="C65" s="52" t="s">
        <v>154</v>
      </c>
      <c r="D65" s="52"/>
      <c r="E65" s="53" t="s">
        <v>155</v>
      </c>
      <c r="F65" s="52" t="s">
        <v>76</v>
      </c>
      <c r="G65" s="52">
        <v>1</v>
      </c>
      <c r="H65" s="55"/>
      <c r="I65" s="15"/>
      <c r="J65" s="51"/>
      <c r="K65" s="52"/>
      <c r="L65" s="56"/>
    </row>
    <row r="66" ht="15" spans="1:12">
      <c r="A66" s="44"/>
      <c r="B66" s="50"/>
      <c r="C66" s="52"/>
      <c r="D66" s="52"/>
      <c r="E66" s="53"/>
      <c r="F66" s="52"/>
      <c r="G66" s="52">
        <v>2</v>
      </c>
      <c r="H66" s="93"/>
      <c r="I66" s="15"/>
      <c r="J66" s="51"/>
      <c r="K66" s="52"/>
      <c r="L66" s="56"/>
    </row>
    <row r="67" ht="15" spans="1:12">
      <c r="A67" s="44"/>
      <c r="B67" s="50"/>
      <c r="C67" s="52"/>
      <c r="D67" s="52"/>
      <c r="E67" s="53"/>
      <c r="F67" s="52"/>
      <c r="G67" s="52">
        <v>3</v>
      </c>
      <c r="H67" s="55"/>
      <c r="I67" s="15"/>
      <c r="J67" s="51"/>
      <c r="K67" s="52"/>
      <c r="L67" s="56"/>
    </row>
    <row r="68" ht="15" spans="1:12">
      <c r="A68" s="44"/>
      <c r="B68" s="50"/>
      <c r="C68" s="52"/>
      <c r="D68" s="52"/>
      <c r="E68" s="53"/>
      <c r="F68" s="52"/>
      <c r="G68" s="52">
        <v>4</v>
      </c>
      <c r="H68" s="55"/>
      <c r="I68" s="15"/>
      <c r="J68" s="51"/>
      <c r="K68" s="52"/>
      <c r="L68" s="56"/>
    </row>
    <row r="69" ht="15" spans="1:12">
      <c r="A69" s="44"/>
      <c r="B69" s="50"/>
      <c r="C69" s="52"/>
      <c r="D69" s="52"/>
      <c r="E69" s="53"/>
      <c r="F69" s="52"/>
      <c r="G69" s="52">
        <v>5</v>
      </c>
      <c r="H69" s="55"/>
      <c r="I69" s="15"/>
      <c r="J69" s="51"/>
      <c r="K69" s="52"/>
      <c r="L69" s="56"/>
    </row>
    <row r="70" ht="15" spans="1:12">
      <c r="A70" s="44"/>
      <c r="B70" s="50"/>
      <c r="C70" s="52"/>
      <c r="D70" s="52"/>
      <c r="E70" s="53"/>
      <c r="F70" s="52"/>
      <c r="G70" s="52">
        <v>6</v>
      </c>
      <c r="H70" s="93"/>
      <c r="I70" s="52"/>
      <c r="J70" s="51"/>
      <c r="K70" s="52"/>
      <c r="L70" s="56"/>
    </row>
    <row r="71" ht="15" spans="1:12">
      <c r="A71" s="44"/>
      <c r="B71" s="50"/>
      <c r="C71" s="52"/>
      <c r="D71" s="52"/>
      <c r="E71" s="53"/>
      <c r="F71" s="52"/>
      <c r="G71" s="53">
        <v>7</v>
      </c>
      <c r="H71" s="55"/>
      <c r="I71" s="52"/>
      <c r="J71" s="51"/>
      <c r="K71" s="52"/>
      <c r="L71" s="56"/>
    </row>
    <row r="72" ht="15" spans="1:12">
      <c r="A72" s="44"/>
      <c r="B72" s="50"/>
      <c r="C72" s="52"/>
      <c r="D72" s="52"/>
      <c r="E72" s="53"/>
      <c r="F72" s="52"/>
      <c r="G72" s="52">
        <v>8</v>
      </c>
      <c r="H72" s="55"/>
      <c r="I72" s="52"/>
      <c r="J72" s="51"/>
      <c r="K72" s="52"/>
      <c r="L72" s="56"/>
    </row>
    <row r="73" ht="15" spans="1:12">
      <c r="A73" s="44"/>
      <c r="B73" s="50"/>
      <c r="C73" s="52"/>
      <c r="D73" s="52"/>
      <c r="E73" s="53"/>
      <c r="F73" s="52"/>
      <c r="G73" s="52">
        <v>9</v>
      </c>
      <c r="H73" s="55"/>
      <c r="I73" s="52"/>
      <c r="J73" s="51"/>
      <c r="K73" s="52"/>
      <c r="L73" s="56"/>
    </row>
    <row r="74" ht="15" spans="1:12">
      <c r="A74" s="44"/>
      <c r="B74" s="50"/>
      <c r="C74" s="52"/>
      <c r="D74" s="52"/>
      <c r="E74" s="33" t="s">
        <v>170</v>
      </c>
      <c r="F74" s="33"/>
      <c r="G74" s="33"/>
      <c r="H74" s="33"/>
      <c r="I74" s="33"/>
      <c r="J74" s="34"/>
      <c r="K74" s="35"/>
      <c r="L74" s="36">
        <f>SUM(L65:L73)</f>
        <v>0</v>
      </c>
    </row>
    <row r="75" ht="15.6" spans="1:12">
      <c r="A75" s="44"/>
      <c r="B75" s="50"/>
      <c r="C75" s="52"/>
      <c r="D75" s="52"/>
      <c r="E75" s="53" t="s">
        <v>171</v>
      </c>
      <c r="F75" s="53" t="s">
        <v>76</v>
      </c>
      <c r="G75" s="53">
        <v>1</v>
      </c>
      <c r="H75" s="91"/>
      <c r="I75" s="52"/>
      <c r="J75" s="92"/>
      <c r="K75" s="53"/>
      <c r="L75" s="56"/>
    </row>
    <row r="76" ht="15.6" spans="1:12">
      <c r="A76" s="44"/>
      <c r="B76" s="50"/>
      <c r="C76" s="52"/>
      <c r="D76" s="52"/>
      <c r="E76" s="53"/>
      <c r="F76" s="53"/>
      <c r="G76" s="53">
        <v>2</v>
      </c>
      <c r="H76" s="91"/>
      <c r="I76" s="53"/>
      <c r="J76" s="92"/>
      <c r="K76" s="53"/>
      <c r="L76" s="56"/>
    </row>
    <row r="77" ht="15" spans="1:12">
      <c r="A77" s="44" t="s">
        <v>364</v>
      </c>
      <c r="B77" s="50" t="s">
        <v>336</v>
      </c>
      <c r="C77" s="52" t="s">
        <v>154</v>
      </c>
      <c r="D77" s="52"/>
      <c r="E77" s="53" t="s">
        <v>155</v>
      </c>
      <c r="F77" s="52" t="s">
        <v>76</v>
      </c>
      <c r="G77" s="52">
        <v>1</v>
      </c>
      <c r="H77" s="114" t="s">
        <v>365</v>
      </c>
      <c r="I77" s="15" t="s">
        <v>358</v>
      </c>
      <c r="J77" s="51">
        <v>1</v>
      </c>
      <c r="K77" s="52"/>
      <c r="L77" s="56">
        <v>0.5</v>
      </c>
    </row>
    <row r="78" ht="15" spans="1:12">
      <c r="A78" s="44"/>
      <c r="B78" s="50"/>
      <c r="C78" s="52"/>
      <c r="D78" s="52"/>
      <c r="E78" s="53"/>
      <c r="F78" s="52"/>
      <c r="G78" s="52">
        <v>2</v>
      </c>
      <c r="H78" s="93" t="s">
        <v>366</v>
      </c>
      <c r="I78" s="15" t="s">
        <v>336</v>
      </c>
      <c r="J78" s="51">
        <v>1</v>
      </c>
      <c r="K78" s="52"/>
      <c r="L78" s="56">
        <v>0.5</v>
      </c>
    </row>
    <row r="79" ht="15" spans="1:12">
      <c r="A79" s="44"/>
      <c r="B79" s="50"/>
      <c r="C79" s="52"/>
      <c r="D79" s="52"/>
      <c r="E79" s="53"/>
      <c r="F79" s="52"/>
      <c r="G79" s="52">
        <v>3</v>
      </c>
      <c r="H79" s="55" t="s">
        <v>367</v>
      </c>
      <c r="I79" s="15" t="s">
        <v>121</v>
      </c>
      <c r="J79" s="51">
        <v>1</v>
      </c>
      <c r="K79" s="52"/>
      <c r="L79" s="56">
        <v>0.5</v>
      </c>
    </row>
    <row r="80" ht="15" spans="1:12">
      <c r="A80" s="44"/>
      <c r="B80" s="50"/>
      <c r="C80" s="52"/>
      <c r="D80" s="52"/>
      <c r="E80" s="53"/>
      <c r="F80" s="52"/>
      <c r="G80" s="52">
        <v>4</v>
      </c>
      <c r="H80" s="55"/>
      <c r="I80" s="15"/>
      <c r="J80" s="51"/>
      <c r="K80" s="52"/>
      <c r="L80" s="56"/>
    </row>
    <row r="81" ht="15" spans="1:12">
      <c r="A81" s="44"/>
      <c r="B81" s="50"/>
      <c r="C81" s="52"/>
      <c r="D81" s="52"/>
      <c r="E81" s="53"/>
      <c r="F81" s="52"/>
      <c r="G81" s="52">
        <v>5</v>
      </c>
      <c r="H81" s="55"/>
      <c r="I81" s="15"/>
      <c r="J81" s="51"/>
      <c r="K81" s="52"/>
      <c r="L81" s="56"/>
    </row>
    <row r="82" ht="15" spans="1:12">
      <c r="A82" s="44"/>
      <c r="B82" s="50"/>
      <c r="C82" s="52"/>
      <c r="D82" s="52"/>
      <c r="E82" s="53"/>
      <c r="F82" s="52"/>
      <c r="G82" s="52">
        <v>6</v>
      </c>
      <c r="H82" s="93"/>
      <c r="I82" s="52"/>
      <c r="J82" s="51"/>
      <c r="K82" s="52"/>
      <c r="L82" s="56"/>
    </row>
    <row r="83" ht="15" spans="1:12">
      <c r="A83" s="44"/>
      <c r="B83" s="50"/>
      <c r="C83" s="52"/>
      <c r="D83" s="52"/>
      <c r="E83" s="53"/>
      <c r="F83" s="52"/>
      <c r="G83" s="53">
        <v>7</v>
      </c>
      <c r="H83" s="55"/>
      <c r="I83" s="52"/>
      <c r="J83" s="51"/>
      <c r="K83" s="52"/>
      <c r="L83" s="56"/>
    </row>
    <row r="84" ht="15" spans="1:12">
      <c r="A84" s="44"/>
      <c r="B84" s="50"/>
      <c r="C84" s="52"/>
      <c r="D84" s="52"/>
      <c r="E84" s="53"/>
      <c r="F84" s="52"/>
      <c r="G84" s="52">
        <v>8</v>
      </c>
      <c r="H84" s="55"/>
      <c r="I84" s="52"/>
      <c r="J84" s="51"/>
      <c r="K84" s="52"/>
      <c r="L84" s="56"/>
    </row>
    <row r="85" ht="15" spans="1:12">
      <c r="A85" s="44"/>
      <c r="B85" s="50"/>
      <c r="C85" s="52"/>
      <c r="D85" s="52"/>
      <c r="E85" s="53"/>
      <c r="F85" s="52"/>
      <c r="G85" s="52">
        <v>9</v>
      </c>
      <c r="H85" s="55"/>
      <c r="I85" s="52"/>
      <c r="J85" s="51"/>
      <c r="K85" s="52"/>
      <c r="L85" s="56"/>
    </row>
    <row r="86" ht="15" spans="1:12">
      <c r="A86" s="44"/>
      <c r="B86" s="50"/>
      <c r="C86" s="52"/>
      <c r="D86" s="52"/>
      <c r="E86" s="33" t="s">
        <v>170</v>
      </c>
      <c r="F86" s="33"/>
      <c r="G86" s="33"/>
      <c r="H86" s="33"/>
      <c r="I86" s="33"/>
      <c r="J86" s="34"/>
      <c r="K86" s="35"/>
      <c r="L86" s="36">
        <f>SUM(L77:L85)</f>
        <v>1.5</v>
      </c>
    </row>
    <row r="87" ht="15.6" spans="1:12">
      <c r="A87" s="44"/>
      <c r="B87" s="50"/>
      <c r="C87" s="52"/>
      <c r="D87" s="52"/>
      <c r="E87" s="53" t="s">
        <v>171</v>
      </c>
      <c r="F87" s="53" t="s">
        <v>76</v>
      </c>
      <c r="G87" s="53">
        <v>1</v>
      </c>
      <c r="H87" s="91"/>
      <c r="I87" s="52"/>
      <c r="J87" s="92"/>
      <c r="K87" s="53"/>
      <c r="L87" s="94"/>
    </row>
    <row r="88" ht="15.6" spans="1:12">
      <c r="A88" s="44"/>
      <c r="B88" s="50"/>
      <c r="C88" s="52"/>
      <c r="D88" s="52"/>
      <c r="E88" s="53"/>
      <c r="F88" s="53"/>
      <c r="G88" s="53">
        <v>2</v>
      </c>
      <c r="H88" s="91"/>
      <c r="I88" s="53"/>
      <c r="J88" s="92"/>
      <c r="K88" s="53"/>
      <c r="L88" s="94"/>
    </row>
  </sheetData>
  <autoFilter xmlns:etc="http://www.wps.cn/officeDocument/2017/etCustomData" ref="I1:I56" etc:filterBottomFollowUsedRange="0">
    <extLst/>
  </autoFilter>
  <mergeCells count="67">
    <mergeCell ref="E14:H14"/>
    <mergeCell ref="E26:H26"/>
    <mergeCell ref="E38:H38"/>
    <mergeCell ref="E50:H50"/>
    <mergeCell ref="E62:H62"/>
    <mergeCell ref="E74:H74"/>
    <mergeCell ref="E86:H86"/>
    <mergeCell ref="A2:A16"/>
    <mergeCell ref="A17:A28"/>
    <mergeCell ref="A29:A40"/>
    <mergeCell ref="A41:A52"/>
    <mergeCell ref="A53:A64"/>
    <mergeCell ref="A65:A76"/>
    <mergeCell ref="A77:A88"/>
    <mergeCell ref="B2:B16"/>
    <mergeCell ref="B17:B28"/>
    <mergeCell ref="B29:B40"/>
    <mergeCell ref="B41:B52"/>
    <mergeCell ref="B53:B64"/>
    <mergeCell ref="B65:B76"/>
    <mergeCell ref="B77:B88"/>
    <mergeCell ref="C2:C16"/>
    <mergeCell ref="C17:C28"/>
    <mergeCell ref="C29:C40"/>
    <mergeCell ref="C41:C52"/>
    <mergeCell ref="C53:C64"/>
    <mergeCell ref="C65:C76"/>
    <mergeCell ref="C77:C88"/>
    <mergeCell ref="D2:D16"/>
    <mergeCell ref="D17:D28"/>
    <mergeCell ref="D29:D40"/>
    <mergeCell ref="D41:D52"/>
    <mergeCell ref="D53:D64"/>
    <mergeCell ref="D65:D76"/>
    <mergeCell ref="D77:D88"/>
    <mergeCell ref="E2:E13"/>
    <mergeCell ref="E15:E16"/>
    <mergeCell ref="E17:E25"/>
    <mergeCell ref="E27:E28"/>
    <mergeCell ref="E29:E37"/>
    <mergeCell ref="E39:E40"/>
    <mergeCell ref="E41:E49"/>
    <mergeCell ref="E51:E52"/>
    <mergeCell ref="E53:E61"/>
    <mergeCell ref="E63:E64"/>
    <mergeCell ref="E65:E73"/>
    <mergeCell ref="E75:E76"/>
    <mergeCell ref="E77:E85"/>
    <mergeCell ref="E87:E88"/>
    <mergeCell ref="F2:F13"/>
    <mergeCell ref="F15:F16"/>
    <mergeCell ref="F17:F25"/>
    <mergeCell ref="F27:F28"/>
    <mergeCell ref="F29:F34"/>
    <mergeCell ref="F35:F37"/>
    <mergeCell ref="F39:F40"/>
    <mergeCell ref="F41:F46"/>
    <mergeCell ref="F47:F49"/>
    <mergeCell ref="F51:F52"/>
    <mergeCell ref="F53:F58"/>
    <mergeCell ref="F59:F61"/>
    <mergeCell ref="F63:F64"/>
    <mergeCell ref="F65:F73"/>
    <mergeCell ref="F75:F76"/>
    <mergeCell ref="F77:F85"/>
    <mergeCell ref="F87:F88"/>
    <mergeCell ref="H59:H60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40"/>
  <sheetViews>
    <sheetView workbookViewId="0">
      <pane ySplit="1" topLeftCell="A13" activePane="bottomLeft" state="frozen"/>
      <selection/>
      <selection pane="bottomLeft" activeCell="N32" sqref="N32"/>
    </sheetView>
  </sheetViews>
  <sheetFormatPr defaultColWidth="9.13888888888889" defaultRowHeight="13.2"/>
  <cols>
    <col min="1" max="1" width="22.4259259259259" style="1" customWidth="1"/>
    <col min="2" max="2" width="11.712962962963" style="1" customWidth="1"/>
    <col min="3" max="7" width="9.13888888888889" style="1"/>
    <col min="8" max="8" width="59.712962962963" style="1" customWidth="1"/>
    <col min="9" max="11" width="9.13888888888889" style="1"/>
    <col min="12" max="12" width="19.5740740740741" style="2" customWidth="1"/>
    <col min="13" max="16384" width="9.13888888888889" style="1"/>
  </cols>
  <sheetData>
    <row r="1" ht="69.6" spans="1:26">
      <c r="A1" s="3" t="s">
        <v>143</v>
      </c>
      <c r="B1" s="4" t="s">
        <v>6</v>
      </c>
      <c r="C1" s="3" t="s">
        <v>144</v>
      </c>
      <c r="D1" s="3" t="s">
        <v>145</v>
      </c>
      <c r="E1" s="4" t="s">
        <v>146</v>
      </c>
      <c r="F1" s="3" t="s">
        <v>147</v>
      </c>
      <c r="G1" s="3" t="s">
        <v>1</v>
      </c>
      <c r="H1" s="5" t="s">
        <v>148</v>
      </c>
      <c r="I1" s="3" t="s">
        <v>149</v>
      </c>
      <c r="J1" s="6" t="s">
        <v>150</v>
      </c>
      <c r="K1" s="3" t="s">
        <v>151</v>
      </c>
      <c r="L1" s="7" t="s">
        <v>152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6" spans="1:26">
      <c r="A2" s="9" t="s">
        <v>368</v>
      </c>
      <c r="B2" s="10" t="s">
        <v>60</v>
      </c>
      <c r="C2" s="395" t="s">
        <v>154</v>
      </c>
      <c r="D2" s="11"/>
      <c r="E2" s="12" t="s">
        <v>155</v>
      </c>
      <c r="F2" s="11" t="s">
        <v>76</v>
      </c>
      <c r="G2" s="13">
        <v>1</v>
      </c>
      <c r="H2" s="14" t="s">
        <v>369</v>
      </c>
      <c r="I2" s="15" t="s">
        <v>247</v>
      </c>
      <c r="J2" s="16">
        <v>1</v>
      </c>
      <c r="K2" s="13"/>
      <c r="L2" s="17"/>
    </row>
    <row r="3" ht="15.6" spans="1:26">
      <c r="A3" s="18"/>
      <c r="B3" s="19"/>
      <c r="C3" s="20"/>
      <c r="D3" s="20"/>
      <c r="E3" s="21"/>
      <c r="F3" s="20"/>
      <c r="G3" s="13">
        <v>2</v>
      </c>
      <c r="H3" s="22" t="s">
        <v>370</v>
      </c>
      <c r="I3" s="15" t="s">
        <v>371</v>
      </c>
      <c r="J3" s="16">
        <v>1</v>
      </c>
      <c r="K3" s="13" t="s">
        <v>372</v>
      </c>
      <c r="L3" s="17"/>
    </row>
    <row r="4" ht="24" customHeight="1" spans="1:26">
      <c r="A4" s="18"/>
      <c r="B4" s="19"/>
      <c r="C4" s="20"/>
      <c r="D4" s="20"/>
      <c r="E4" s="21"/>
      <c r="F4" s="20"/>
      <c r="G4" s="11">
        <v>3</v>
      </c>
      <c r="H4" s="23" t="s">
        <v>373</v>
      </c>
      <c r="I4" s="15" t="s">
        <v>374</v>
      </c>
      <c r="J4" s="24">
        <v>0.98</v>
      </c>
      <c r="K4" s="11" t="s">
        <v>375</v>
      </c>
      <c r="L4" s="17">
        <v>1</v>
      </c>
    </row>
    <row r="5" ht="22" customHeight="1" spans="1:26">
      <c r="A5" s="18"/>
      <c r="B5" s="19"/>
      <c r="C5" s="20"/>
      <c r="D5" s="20"/>
      <c r="E5" s="21"/>
      <c r="F5" s="20"/>
      <c r="G5" s="20"/>
      <c r="H5" s="25"/>
      <c r="I5" s="15" t="s">
        <v>376</v>
      </c>
      <c r="J5" s="26"/>
      <c r="K5" s="20"/>
      <c r="L5" s="17">
        <v>1</v>
      </c>
    </row>
    <row r="6" ht="22" customHeight="1" spans="1:26">
      <c r="A6" s="18"/>
      <c r="B6" s="19"/>
      <c r="C6" s="20"/>
      <c r="D6" s="20"/>
      <c r="E6" s="21"/>
      <c r="F6" s="20"/>
      <c r="G6" s="27"/>
      <c r="H6" s="28"/>
      <c r="I6" s="15" t="s">
        <v>371</v>
      </c>
      <c r="J6" s="29"/>
      <c r="K6" s="27"/>
      <c r="L6" s="17">
        <v>1</v>
      </c>
    </row>
    <row r="7" ht="22" customHeight="1" spans="1:26">
      <c r="A7" s="18"/>
      <c r="B7" s="19"/>
      <c r="C7" s="20"/>
      <c r="D7" s="20"/>
      <c r="E7" s="21"/>
      <c r="F7" s="20"/>
      <c r="G7" s="13">
        <v>4</v>
      </c>
      <c r="H7" s="14" t="s">
        <v>377</v>
      </c>
      <c r="I7" s="15" t="s">
        <v>376</v>
      </c>
      <c r="J7" s="16">
        <v>1</v>
      </c>
      <c r="K7" s="13" t="s">
        <v>372</v>
      </c>
      <c r="L7" s="17"/>
    </row>
    <row r="8" ht="22" customHeight="1" spans="1:26">
      <c r="A8" s="18"/>
      <c r="B8" s="19"/>
      <c r="C8" s="20"/>
      <c r="D8" s="20"/>
      <c r="E8" s="21"/>
      <c r="F8" s="20"/>
      <c r="G8" s="11">
        <v>5</v>
      </c>
      <c r="H8" s="11" t="s">
        <v>378</v>
      </c>
      <c r="I8" s="15" t="s">
        <v>376</v>
      </c>
      <c r="J8" s="24">
        <v>1</v>
      </c>
      <c r="K8" s="11"/>
      <c r="L8" s="17">
        <v>0.5</v>
      </c>
    </row>
    <row r="9" ht="15.6" spans="1:26">
      <c r="A9" s="18"/>
      <c r="B9" s="19"/>
      <c r="C9" s="20"/>
      <c r="D9" s="20"/>
      <c r="E9" s="21"/>
      <c r="F9" s="20"/>
      <c r="G9" s="27"/>
      <c r="H9" s="28"/>
      <c r="I9" s="15" t="s">
        <v>374</v>
      </c>
      <c r="J9" s="29"/>
      <c r="K9" s="27"/>
      <c r="L9" s="17"/>
    </row>
    <row r="10" ht="21" customHeight="1" spans="1:26">
      <c r="A10" s="18"/>
      <c r="B10" s="19"/>
      <c r="C10" s="20"/>
      <c r="D10" s="20"/>
      <c r="E10" s="21"/>
      <c r="F10" s="20"/>
      <c r="G10" s="13">
        <v>6</v>
      </c>
      <c r="H10" s="22" t="s">
        <v>379</v>
      </c>
      <c r="I10" s="13" t="s">
        <v>247</v>
      </c>
      <c r="J10" s="16">
        <v>1</v>
      </c>
      <c r="K10" s="13"/>
      <c r="L10" s="17"/>
    </row>
    <row r="11" ht="30" spans="1:26">
      <c r="A11" s="18"/>
      <c r="B11" s="19"/>
      <c r="C11" s="20"/>
      <c r="D11" s="20"/>
      <c r="E11" s="21"/>
      <c r="F11" s="20"/>
      <c r="G11" s="30">
        <v>7</v>
      </c>
      <c r="H11" s="14" t="s">
        <v>380</v>
      </c>
      <c r="I11" s="13" t="s">
        <v>374</v>
      </c>
      <c r="J11" s="16">
        <v>1</v>
      </c>
      <c r="K11" s="13" t="s">
        <v>381</v>
      </c>
      <c r="L11" s="17"/>
    </row>
    <row r="12" ht="33" customHeight="1" spans="1:26">
      <c r="A12" s="18"/>
      <c r="B12" s="19"/>
      <c r="C12" s="20"/>
      <c r="D12" s="20"/>
      <c r="E12" s="21"/>
      <c r="F12" s="20"/>
      <c r="G12" s="13">
        <v>8</v>
      </c>
      <c r="H12" s="14" t="s">
        <v>382</v>
      </c>
      <c r="I12" s="13" t="s">
        <v>371</v>
      </c>
      <c r="J12" s="16">
        <v>1</v>
      </c>
      <c r="K12" s="13" t="s">
        <v>372</v>
      </c>
      <c r="L12" s="17"/>
    </row>
    <row r="13" ht="25" customHeight="1" spans="1:26">
      <c r="A13" s="18"/>
      <c r="B13" s="19"/>
      <c r="C13" s="20"/>
      <c r="D13" s="20"/>
      <c r="E13" s="21"/>
      <c r="F13" s="20"/>
      <c r="G13" s="11">
        <v>9</v>
      </c>
      <c r="H13" s="23" t="s">
        <v>383</v>
      </c>
      <c r="I13" s="13" t="s">
        <v>374</v>
      </c>
      <c r="J13" s="24">
        <v>0.8</v>
      </c>
      <c r="K13" s="11" t="s">
        <v>384</v>
      </c>
      <c r="L13" s="17">
        <v>1</v>
      </c>
    </row>
    <row r="14" ht="23" customHeight="1" spans="1:26">
      <c r="A14" s="18"/>
      <c r="B14" s="19"/>
      <c r="C14" s="20"/>
      <c r="D14" s="20"/>
      <c r="E14" s="21"/>
      <c r="F14" s="20"/>
      <c r="G14" s="27"/>
      <c r="H14" s="28"/>
      <c r="I14" s="13" t="s">
        <v>385</v>
      </c>
      <c r="J14" s="29"/>
      <c r="K14" s="27"/>
      <c r="L14" s="17"/>
    </row>
    <row r="15" ht="23" customHeight="1" spans="1:26">
      <c r="A15" s="18"/>
      <c r="B15" s="19"/>
      <c r="C15" s="20"/>
      <c r="D15" s="20"/>
      <c r="E15" s="21"/>
      <c r="F15" s="20"/>
      <c r="G15" s="20">
        <v>10</v>
      </c>
      <c r="H15" s="25" t="s">
        <v>386</v>
      </c>
      <c r="I15" s="13" t="s">
        <v>247</v>
      </c>
      <c r="J15" s="26">
        <v>0.9</v>
      </c>
      <c r="K15" s="20" t="s">
        <v>387</v>
      </c>
      <c r="L15" s="17">
        <v>0.5</v>
      </c>
    </row>
    <row r="16" ht="23" customHeight="1" spans="1:26">
      <c r="A16" s="18"/>
      <c r="B16" s="19"/>
      <c r="C16" s="20"/>
      <c r="D16" s="20"/>
      <c r="E16" s="21"/>
      <c r="F16" s="20"/>
      <c r="G16" s="20"/>
      <c r="H16" s="25"/>
      <c r="I16" s="13" t="s">
        <v>388</v>
      </c>
      <c r="J16" s="26"/>
      <c r="K16" s="20"/>
      <c r="L16" s="17">
        <v>1</v>
      </c>
    </row>
    <row r="17" ht="23" customHeight="1" spans="1:12">
      <c r="A17" s="18"/>
      <c r="B17" s="19"/>
      <c r="C17" s="20"/>
      <c r="D17" s="20"/>
      <c r="E17" s="21"/>
      <c r="F17" s="20"/>
      <c r="G17" s="27"/>
      <c r="H17" s="28"/>
      <c r="I17" s="13" t="s">
        <v>245</v>
      </c>
      <c r="J17" s="29"/>
      <c r="K17" s="27"/>
      <c r="L17" s="17">
        <v>2</v>
      </c>
    </row>
    <row r="18" ht="23" customHeight="1" spans="1:12">
      <c r="A18" s="18"/>
      <c r="B18" s="19"/>
      <c r="C18" s="20"/>
      <c r="D18" s="20"/>
      <c r="E18" s="21"/>
      <c r="F18" s="20"/>
      <c r="G18" s="20">
        <v>11</v>
      </c>
      <c r="H18" s="25" t="s">
        <v>389</v>
      </c>
      <c r="I18" s="13" t="s">
        <v>388</v>
      </c>
      <c r="J18" s="26">
        <v>0.8</v>
      </c>
      <c r="K18" s="27" t="s">
        <v>390</v>
      </c>
      <c r="L18" s="17">
        <v>1</v>
      </c>
    </row>
    <row r="19" ht="23" customHeight="1" spans="1:12">
      <c r="A19" s="18"/>
      <c r="B19" s="19"/>
      <c r="C19" s="20"/>
      <c r="D19" s="20"/>
      <c r="E19" s="21"/>
      <c r="F19" s="20"/>
      <c r="G19" s="27"/>
      <c r="H19" s="28"/>
      <c r="I19" s="13" t="s">
        <v>247</v>
      </c>
      <c r="J19" s="29"/>
      <c r="K19" s="27" t="s">
        <v>390</v>
      </c>
      <c r="L19" s="17">
        <v>0.5</v>
      </c>
    </row>
    <row r="20" ht="23" customHeight="1" spans="1:12">
      <c r="A20" s="18"/>
      <c r="B20" s="19"/>
      <c r="C20" s="20"/>
      <c r="D20" s="20"/>
      <c r="E20" s="21"/>
      <c r="F20" s="20"/>
      <c r="G20" s="20">
        <v>12</v>
      </c>
      <c r="H20" s="25" t="s">
        <v>391</v>
      </c>
      <c r="I20" s="13" t="s">
        <v>247</v>
      </c>
      <c r="J20" s="26">
        <v>0.25</v>
      </c>
      <c r="K20" s="20" t="s">
        <v>392</v>
      </c>
      <c r="L20" s="17">
        <v>2</v>
      </c>
    </row>
    <row r="21" ht="23" customHeight="1" spans="1:12">
      <c r="A21" s="18"/>
      <c r="B21" s="19"/>
      <c r="C21" s="20"/>
      <c r="D21" s="20"/>
      <c r="E21" s="21"/>
      <c r="F21" s="20"/>
      <c r="G21" s="20"/>
      <c r="H21" s="20"/>
      <c r="I21" s="13" t="s">
        <v>385</v>
      </c>
      <c r="J21" s="26"/>
      <c r="K21" s="20"/>
      <c r="L21" s="17">
        <v>0.5</v>
      </c>
    </row>
    <row r="22" ht="23" customHeight="1" spans="1:12">
      <c r="A22" s="18"/>
      <c r="B22" s="19"/>
      <c r="C22" s="20"/>
      <c r="D22" s="20"/>
      <c r="E22" s="21"/>
      <c r="F22" s="20"/>
      <c r="G22" s="20"/>
      <c r="H22" s="20"/>
      <c r="I22" s="13" t="s">
        <v>376</v>
      </c>
      <c r="J22" s="26"/>
      <c r="K22" s="20"/>
      <c r="L22" s="17">
        <v>3.5</v>
      </c>
    </row>
    <row r="23" ht="23" customHeight="1" spans="1:12">
      <c r="A23" s="18"/>
      <c r="B23" s="19"/>
      <c r="C23" s="20"/>
      <c r="D23" s="20"/>
      <c r="E23" s="21"/>
      <c r="F23" s="20"/>
      <c r="G23" s="20"/>
      <c r="H23" s="20"/>
      <c r="I23" s="13" t="s">
        <v>371</v>
      </c>
      <c r="J23" s="26"/>
      <c r="K23" s="20"/>
      <c r="L23" s="17">
        <v>4</v>
      </c>
    </row>
    <row r="24" ht="23" customHeight="1" spans="1:12">
      <c r="A24" s="18"/>
      <c r="B24" s="19"/>
      <c r="C24" s="20"/>
      <c r="D24" s="20"/>
      <c r="E24" s="21"/>
      <c r="F24" s="20"/>
      <c r="G24" s="20"/>
      <c r="H24" s="20"/>
      <c r="I24" s="13" t="s">
        <v>374</v>
      </c>
      <c r="J24" s="26"/>
      <c r="K24" s="27"/>
      <c r="L24" s="17">
        <v>3</v>
      </c>
    </row>
    <row r="25" ht="23" customHeight="1" spans="1:12">
      <c r="A25" s="18"/>
      <c r="B25" s="19"/>
      <c r="C25" s="20"/>
      <c r="D25" s="20"/>
      <c r="E25" s="21"/>
      <c r="F25" s="13" t="s">
        <v>393</v>
      </c>
      <c r="G25" s="13">
        <v>1</v>
      </c>
      <c r="H25" s="14" t="s">
        <v>394</v>
      </c>
      <c r="I25" s="13" t="s">
        <v>395</v>
      </c>
      <c r="J25" s="16">
        <v>1</v>
      </c>
      <c r="K25" s="13"/>
      <c r="L25" s="17">
        <v>5</v>
      </c>
    </row>
    <row r="26" ht="23" customHeight="1" spans="1:12">
      <c r="A26" s="18"/>
      <c r="B26" s="19"/>
      <c r="C26" s="20"/>
      <c r="D26" s="20"/>
      <c r="E26" s="21"/>
      <c r="F26" s="13"/>
      <c r="G26" s="13">
        <v>2</v>
      </c>
      <c r="H26" s="14" t="s">
        <v>396</v>
      </c>
      <c r="I26" s="13" t="s">
        <v>397</v>
      </c>
      <c r="J26" s="16">
        <v>1</v>
      </c>
      <c r="K26" s="13"/>
      <c r="L26" s="17">
        <v>5</v>
      </c>
    </row>
    <row r="27" ht="23" customHeight="1" spans="1:12">
      <c r="A27" s="18"/>
      <c r="B27" s="19"/>
      <c r="C27" s="20"/>
      <c r="D27" s="20"/>
      <c r="E27" s="21"/>
      <c r="F27" s="13"/>
      <c r="G27" s="13">
        <v>3</v>
      </c>
      <c r="H27" s="14" t="s">
        <v>396</v>
      </c>
      <c r="I27" s="13" t="s">
        <v>398</v>
      </c>
      <c r="J27" s="16">
        <v>1</v>
      </c>
      <c r="K27" s="13"/>
      <c r="L27" s="17">
        <v>5</v>
      </c>
    </row>
    <row r="28" ht="23" customHeight="1" spans="1:12">
      <c r="A28" s="18"/>
      <c r="B28" s="19"/>
      <c r="C28" s="20"/>
      <c r="D28" s="20"/>
      <c r="E28" s="21"/>
      <c r="F28" s="20" t="s">
        <v>399</v>
      </c>
      <c r="G28" s="13">
        <v>1</v>
      </c>
      <c r="H28" s="14" t="s">
        <v>400</v>
      </c>
      <c r="I28" s="13" t="s">
        <v>60</v>
      </c>
      <c r="J28" s="16">
        <v>0.1</v>
      </c>
      <c r="K28" s="13" t="s">
        <v>401</v>
      </c>
      <c r="L28" s="17">
        <v>0.5</v>
      </c>
    </row>
    <row r="29" ht="24" customHeight="1" spans="1:12">
      <c r="A29" s="18"/>
      <c r="B29" s="19"/>
      <c r="C29" s="20"/>
      <c r="D29" s="20"/>
      <c r="E29" s="21"/>
      <c r="F29" s="20"/>
      <c r="G29" s="13">
        <v>2</v>
      </c>
      <c r="H29" s="14" t="s">
        <v>402</v>
      </c>
      <c r="I29" s="13" t="s">
        <v>60</v>
      </c>
      <c r="J29" s="16">
        <v>0.15</v>
      </c>
      <c r="K29" s="13" t="s">
        <v>403</v>
      </c>
      <c r="L29" s="17">
        <v>0.5</v>
      </c>
    </row>
    <row r="30" ht="15.6" spans="1:12">
      <c r="A30" s="18"/>
      <c r="B30" s="19"/>
      <c r="C30" s="20"/>
      <c r="D30" s="20"/>
      <c r="E30" s="21"/>
      <c r="F30" s="20"/>
      <c r="G30" s="11">
        <v>3</v>
      </c>
      <c r="H30" s="23" t="s">
        <v>404</v>
      </c>
      <c r="I30" s="11" t="s">
        <v>374</v>
      </c>
      <c r="J30" s="24">
        <v>0.1</v>
      </c>
      <c r="K30" s="11" t="s">
        <v>405</v>
      </c>
      <c r="L30" s="17"/>
    </row>
    <row r="31" spans="1:12">
      <c r="A31" s="18"/>
      <c r="B31" s="19"/>
      <c r="C31" s="20"/>
      <c r="D31" s="20"/>
      <c r="E31" s="21"/>
      <c r="F31" s="20"/>
      <c r="G31" s="11"/>
      <c r="H31" s="23"/>
      <c r="I31" s="11"/>
      <c r="J31" s="24"/>
      <c r="K31" s="11"/>
      <c r="L31" s="10"/>
    </row>
    <row r="32" spans="1:12">
      <c r="A32" s="18"/>
      <c r="B32" s="19"/>
      <c r="C32" s="20"/>
      <c r="D32" s="20"/>
      <c r="E32" s="21"/>
      <c r="F32" s="20"/>
      <c r="G32" s="27"/>
      <c r="H32" s="28"/>
      <c r="I32" s="27"/>
      <c r="J32" s="29"/>
      <c r="K32" s="27"/>
      <c r="L32" s="31"/>
    </row>
    <row r="33" ht="15.6" spans="1:12">
      <c r="A33" s="18"/>
      <c r="B33" s="19"/>
      <c r="C33" s="20"/>
      <c r="D33" s="20"/>
      <c r="E33" s="32"/>
      <c r="F33" s="27"/>
      <c r="G33" s="11"/>
      <c r="H33" s="23"/>
      <c r="I33" s="11"/>
      <c r="J33" s="24"/>
      <c r="K33" s="11"/>
      <c r="L33" s="10"/>
    </row>
    <row r="34" ht="15" spans="1:12">
      <c r="A34" s="18"/>
      <c r="B34" s="19"/>
      <c r="C34" s="20"/>
      <c r="D34" s="20"/>
      <c r="E34" s="33" t="s">
        <v>170</v>
      </c>
      <c r="F34" s="33"/>
      <c r="G34" s="33"/>
      <c r="H34" s="33"/>
      <c r="I34" s="33"/>
      <c r="J34" s="34"/>
      <c r="K34" s="35"/>
      <c r="L34" s="36">
        <f>SUM(L2:L33)</f>
        <v>38.5</v>
      </c>
    </row>
    <row r="35" ht="62.4" spans="1:12">
      <c r="A35" s="18"/>
      <c r="B35" s="19"/>
      <c r="C35" s="20"/>
      <c r="D35" s="20"/>
      <c r="E35" s="12" t="s">
        <v>171</v>
      </c>
      <c r="F35" s="12" t="s">
        <v>76</v>
      </c>
      <c r="G35" s="30">
        <v>1</v>
      </c>
      <c r="H35" s="37" t="s">
        <v>391</v>
      </c>
      <c r="I35" s="13" t="s">
        <v>247</v>
      </c>
      <c r="J35" s="38">
        <v>0.35</v>
      </c>
      <c r="K35" s="30"/>
      <c r="L35" s="39"/>
    </row>
    <row r="36" ht="17" customHeight="1" spans="1:12">
      <c r="A36" s="18"/>
      <c r="B36" s="19"/>
      <c r="C36" s="20"/>
      <c r="D36" s="20"/>
      <c r="E36" s="21"/>
      <c r="F36" s="21"/>
      <c r="G36" s="30">
        <v>2</v>
      </c>
      <c r="H36" s="37" t="s">
        <v>406</v>
      </c>
      <c r="I36" s="30" t="s">
        <v>385</v>
      </c>
      <c r="J36" s="38">
        <v>1</v>
      </c>
      <c r="K36" s="30"/>
      <c r="L36" s="39"/>
    </row>
    <row r="37" ht="15.6" spans="1:12">
      <c r="A37" s="18"/>
      <c r="B37" s="19"/>
      <c r="C37" s="20"/>
      <c r="D37" s="20"/>
      <c r="E37" s="21"/>
      <c r="F37" s="32"/>
      <c r="G37" s="30">
        <v>3</v>
      </c>
      <c r="H37" s="37" t="s">
        <v>407</v>
      </c>
      <c r="I37" s="13" t="s">
        <v>374</v>
      </c>
      <c r="J37" s="38">
        <v>0.9</v>
      </c>
      <c r="K37" s="30"/>
      <c r="L37" s="39"/>
    </row>
    <row r="38" ht="15.6" spans="1:12">
      <c r="A38" s="18"/>
      <c r="B38" s="19"/>
      <c r="C38" s="20"/>
      <c r="D38" s="20"/>
      <c r="E38" s="21"/>
      <c r="F38" s="40" t="s">
        <v>399</v>
      </c>
      <c r="G38" s="30">
        <v>1</v>
      </c>
      <c r="H38" s="37" t="s">
        <v>408</v>
      </c>
      <c r="I38" s="13" t="s">
        <v>60</v>
      </c>
      <c r="J38" s="38">
        <v>1</v>
      </c>
      <c r="K38" s="30"/>
      <c r="L38" s="39"/>
    </row>
    <row r="39" ht="15.6" spans="1:12">
      <c r="A39" s="18"/>
      <c r="B39" s="19"/>
      <c r="C39" s="20"/>
      <c r="D39" s="20"/>
      <c r="E39" s="21"/>
      <c r="F39" s="40"/>
      <c r="G39" s="30">
        <v>2</v>
      </c>
      <c r="H39" s="37" t="s">
        <v>409</v>
      </c>
      <c r="I39" s="13" t="s">
        <v>374</v>
      </c>
      <c r="J39" s="38">
        <v>1</v>
      </c>
      <c r="K39" s="30"/>
      <c r="L39" s="39"/>
    </row>
    <row r="40" ht="21" customHeight="1" spans="1:12">
      <c r="A40" s="18"/>
      <c r="B40" s="19"/>
      <c r="C40" s="20"/>
      <c r="D40" s="20"/>
      <c r="E40" s="21"/>
      <c r="F40" s="40"/>
      <c r="G40" s="30">
        <v>3</v>
      </c>
      <c r="H40" s="37" t="s">
        <v>410</v>
      </c>
      <c r="I40" s="13" t="s">
        <v>247</v>
      </c>
      <c r="J40" s="38">
        <v>1</v>
      </c>
      <c r="K40" s="30"/>
      <c r="L40" s="39"/>
    </row>
  </sheetData>
  <autoFilter xmlns:etc="http://www.wps.cn/officeDocument/2017/etCustomData" ref="A1:Z40" etc:filterBottomFollowUsedRange="0">
    <extLst/>
  </autoFilter>
  <mergeCells count="41">
    <mergeCell ref="E34:H34"/>
    <mergeCell ref="A2:A40"/>
    <mergeCell ref="B2:B40"/>
    <mergeCell ref="C2:C40"/>
    <mergeCell ref="D2:D40"/>
    <mergeCell ref="E2:E33"/>
    <mergeCell ref="E35:E40"/>
    <mergeCell ref="F2:F24"/>
    <mergeCell ref="F25:F27"/>
    <mergeCell ref="F28:F33"/>
    <mergeCell ref="F35:F37"/>
    <mergeCell ref="F38:F40"/>
    <mergeCell ref="G4:G6"/>
    <mergeCell ref="G8:G9"/>
    <mergeCell ref="G13:G14"/>
    <mergeCell ref="G15:G17"/>
    <mergeCell ref="G18:G19"/>
    <mergeCell ref="G20:G24"/>
    <mergeCell ref="G31:G32"/>
    <mergeCell ref="H4:H6"/>
    <mergeCell ref="H8:H9"/>
    <mergeCell ref="H13:H14"/>
    <mergeCell ref="H15:H17"/>
    <mergeCell ref="H18:H19"/>
    <mergeCell ref="H20:H24"/>
    <mergeCell ref="H31:H32"/>
    <mergeCell ref="I31:I32"/>
    <mergeCell ref="J4:J6"/>
    <mergeCell ref="J8:J9"/>
    <mergeCell ref="J13:J14"/>
    <mergeCell ref="J15:J17"/>
    <mergeCell ref="J18:J19"/>
    <mergeCell ref="J20:J24"/>
    <mergeCell ref="J31:J32"/>
    <mergeCell ref="K4:K6"/>
    <mergeCell ref="K8:K9"/>
    <mergeCell ref="K13:K14"/>
    <mergeCell ref="K15:K17"/>
    <mergeCell ref="K20:K24"/>
    <mergeCell ref="K31:K32"/>
    <mergeCell ref="L31:L3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项目汇总</vt:lpstr>
      <vt:lpstr>交付-不动产组</vt:lpstr>
      <vt:lpstr>交付-房产组</vt:lpstr>
      <vt:lpstr>交付-物业组</vt:lpstr>
      <vt:lpstr>交付-AI大数据组</vt:lpstr>
      <vt:lpstr>交付-JD组</vt:lpstr>
      <vt:lpstr>产品研发部</vt:lpstr>
      <vt:lpstr>汇房智选部</vt:lpstr>
      <vt:lpstr>软件项目部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王壮-leo</dc:creator>
  <cp:lastModifiedBy>阐述者 ~</cp:lastModifiedBy>
  <dcterms:created xsi:type="dcterms:W3CDTF">2015-06-05T18:19:00Z</dcterms:created>
  <dcterms:modified xsi:type="dcterms:W3CDTF">2026-04-17T15:55:16Z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8CE315F449C943B0A03441FAB45BFA52_13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