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761"/>
  </bookViews>
  <sheets>
    <sheet name="项目汇总" sheetId="1" r:id="rId1"/>
    <sheet name="交付-不动产组" sheetId="2" r:id="rId2"/>
    <sheet name="交付-房产组" sheetId="3" r:id="rId3"/>
    <sheet name="交付-物业组" sheetId="5" r:id="rId4"/>
    <sheet name="交付-AI大数据组" sheetId="6" r:id="rId5"/>
    <sheet name="交付-JD组" sheetId="7" r:id="rId6"/>
    <sheet name="产品研发部" sheetId="8" r:id="rId7"/>
    <sheet name="汇房智选部" sheetId="9" r:id="rId8"/>
    <sheet name="软件项目部" sheetId="10" r:id="rId9"/>
  </sheets>
  <externalReferences>
    <externalReference r:id="rId10"/>
    <externalReference r:id="rId11"/>
    <externalReference r:id="rId12"/>
    <externalReference r:id="rId13"/>
  </externalReferences>
  <definedNames>
    <definedName name="_xlnm._FilterDatabase" localSheetId="1" hidden="1">'交付-不动产组'!$A$1:$L$21</definedName>
    <definedName name="_xlnm._FilterDatabase" localSheetId="7" hidden="1">汇房智选部!$I$1:$I$56</definedName>
    <definedName name="_xlnm._FilterDatabase" localSheetId="8" hidden="1">软件项目部!$A$1:$Z$42</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N2" authorId="0">
      <text>
        <r>
          <rPr>
            <b/>
            <sz val="9"/>
            <rFont val="宋体"/>
            <charset val="134"/>
          </rPr>
          <t>王壮-leo:</t>
        </r>
        <r>
          <rPr>
            <sz val="9"/>
            <rFont val="宋体"/>
            <charset val="134"/>
          </rPr>
          <t xml:space="preserve">
按照每周各项目成员填报工时累计之和除以8计算</t>
        </r>
      </text>
    </comment>
    <comment ref="M3" authorId="0">
      <text>
        <r>
          <rPr>
            <b/>
            <sz val="9"/>
            <rFont val="宋体"/>
            <charset val="134"/>
          </rPr>
          <t>王壮-leo:</t>
        </r>
        <r>
          <rPr>
            <sz val="9"/>
            <rFont val="宋体"/>
            <charset val="134"/>
          </rPr>
          <t xml:space="preserve">
</t>
        </r>
        <r>
          <rPr>
            <sz val="12"/>
            <rFont val="宋体"/>
            <charset val="134"/>
          </rPr>
          <t>本年度</t>
        </r>
      </text>
    </comment>
    <comment ref="M7" authorId="0">
      <text>
        <r>
          <rPr>
            <b/>
            <sz val="9"/>
            <rFont val="宋体"/>
            <charset val="134"/>
          </rPr>
          <t>王壮-leo:</t>
        </r>
        <r>
          <rPr>
            <sz val="9"/>
            <rFont val="宋体"/>
            <charset val="134"/>
          </rPr>
          <t xml:space="preserve">
本年度</t>
        </r>
      </text>
    </comment>
    <comment ref="M8" authorId="0">
      <text>
        <r>
          <rPr>
            <b/>
            <sz val="9"/>
            <rFont val="宋体"/>
            <charset val="134"/>
          </rPr>
          <t>王壮-leo:</t>
        </r>
        <r>
          <rPr>
            <sz val="9"/>
            <rFont val="宋体"/>
            <charset val="134"/>
          </rPr>
          <t xml:space="preserve">
成本超支</t>
        </r>
      </text>
    </comment>
    <comment ref="M18" authorId="0">
      <text>
        <r>
          <rPr>
            <b/>
            <sz val="9"/>
            <rFont val="宋体"/>
            <charset val="134"/>
          </rPr>
          <t>王壮-leo:</t>
        </r>
        <r>
          <rPr>
            <sz val="9"/>
            <rFont val="宋体"/>
            <charset val="134"/>
          </rPr>
          <t xml:space="preserve">
本年度
含ZB维修、基层财务、住房贷款项目售后</t>
        </r>
      </text>
    </comment>
    <comment ref="M19" authorId="0">
      <text>
        <r>
          <rPr>
            <b/>
            <sz val="9"/>
            <rFont val="宋体"/>
            <charset val="134"/>
          </rPr>
          <t>王壮-leo:</t>
        </r>
        <r>
          <rPr>
            <sz val="9"/>
            <rFont val="宋体"/>
            <charset val="134"/>
          </rPr>
          <t xml:space="preserve">
本年度</t>
        </r>
      </text>
    </comment>
    <comment ref="M20" authorId="0">
      <text>
        <r>
          <rPr>
            <b/>
            <sz val="9"/>
            <rFont val="宋体"/>
            <charset val="134"/>
          </rPr>
          <t>王壮-leo:</t>
        </r>
        <r>
          <rPr>
            <sz val="9"/>
            <rFont val="宋体"/>
            <charset val="134"/>
          </rPr>
          <t xml:space="preserve">
本年度
</t>
        </r>
      </text>
    </comment>
    <comment ref="M21" authorId="0">
      <text>
        <r>
          <rPr>
            <b/>
            <sz val="9"/>
            <rFont val="宋体"/>
            <charset val="134"/>
          </rPr>
          <t>王壮-leo:</t>
        </r>
        <r>
          <rPr>
            <sz val="9"/>
            <rFont val="宋体"/>
            <charset val="134"/>
          </rPr>
          <t xml:space="preserve">
本年度</t>
        </r>
      </text>
    </comment>
    <comment ref="M22" authorId="0">
      <text>
        <r>
          <rPr>
            <b/>
            <sz val="9"/>
            <rFont val="宋体"/>
            <charset val="134"/>
          </rPr>
          <t>王壮-leo:</t>
        </r>
        <r>
          <rPr>
            <sz val="9"/>
            <rFont val="宋体"/>
            <charset val="134"/>
          </rPr>
          <t xml:space="preserve">
本年度</t>
        </r>
      </text>
    </comment>
    <comment ref="M23" authorId="0">
      <text>
        <r>
          <rPr>
            <b/>
            <sz val="9"/>
            <rFont val="宋体"/>
            <charset val="134"/>
          </rPr>
          <t>王壮-leo:</t>
        </r>
        <r>
          <rPr>
            <sz val="9"/>
            <rFont val="宋体"/>
            <charset val="134"/>
          </rPr>
          <t xml:space="preserve">
本年度</t>
        </r>
      </text>
    </comment>
    <comment ref="M32" authorId="0">
      <text>
        <r>
          <rPr>
            <b/>
            <sz val="9"/>
            <rFont val="宋体"/>
            <charset val="134"/>
          </rPr>
          <t>王壮-leo:</t>
        </r>
        <r>
          <rPr>
            <sz val="9"/>
            <rFont val="宋体"/>
            <charset val="134"/>
          </rPr>
          <t xml:space="preserve">
成本超支</t>
        </r>
      </text>
    </comment>
    <comment ref="M34" authorId="0">
      <text>
        <r>
          <rPr>
            <b/>
            <sz val="9"/>
            <rFont val="宋体"/>
            <charset val="134"/>
          </rPr>
          <t>王壮-leo:</t>
        </r>
        <r>
          <rPr>
            <sz val="9"/>
            <rFont val="宋体"/>
            <charset val="134"/>
          </rPr>
          <t xml:space="preserve">
成本超支</t>
        </r>
      </text>
    </comment>
    <comment ref="M35" authorId="0">
      <text>
        <r>
          <rPr>
            <b/>
            <sz val="9"/>
            <rFont val="宋体"/>
            <charset val="134"/>
          </rPr>
          <t>王壮-leo:</t>
        </r>
        <r>
          <rPr>
            <sz val="9"/>
            <rFont val="宋体"/>
            <charset val="134"/>
          </rPr>
          <t xml:space="preserve">
成本超支</t>
        </r>
      </text>
    </comment>
    <comment ref="M41" authorId="0">
      <text>
        <r>
          <rPr>
            <b/>
            <sz val="9"/>
            <rFont val="宋体"/>
            <charset val="134"/>
          </rPr>
          <t>王壮-leo:</t>
        </r>
        <r>
          <rPr>
            <sz val="9"/>
            <rFont val="宋体"/>
            <charset val="134"/>
          </rPr>
          <t xml:space="preserve">
本年度
</t>
        </r>
      </text>
    </comment>
    <comment ref="M43" authorId="0">
      <text>
        <r>
          <rPr>
            <b/>
            <sz val="9"/>
            <rFont val="宋体"/>
            <charset val="134"/>
          </rPr>
          <t>王壮-leo:</t>
        </r>
        <r>
          <rPr>
            <sz val="9"/>
            <rFont val="宋体"/>
            <charset val="134"/>
          </rPr>
          <t xml:space="preserve">
本年度</t>
        </r>
      </text>
    </comment>
  </commentList>
</comments>
</file>

<file path=xl/sharedStrings.xml><?xml version="1.0" encoding="utf-8"?>
<sst xmlns="http://schemas.openxmlformats.org/spreadsheetml/2006/main" count="916" uniqueCount="380">
  <si>
    <t>项目周报汇总（2026.5.18-2025.5.22）</t>
  </si>
  <si>
    <t>序号</t>
  </si>
  <si>
    <t>隶属部门</t>
  </si>
  <si>
    <t>项目类型</t>
  </si>
  <si>
    <t>项目编号</t>
  </si>
  <si>
    <t>项目名称</t>
  </si>
  <si>
    <t>项目经理</t>
  </si>
  <si>
    <t>立项情况</t>
  </si>
  <si>
    <t>当前阶段</t>
  </si>
  <si>
    <t>进度情况</t>
  </si>
  <si>
    <t>总体完成进度</t>
  </si>
  <si>
    <t>合同状态
（合同额）</t>
  </si>
  <si>
    <t>回款情况</t>
  </si>
  <si>
    <t>累计人力成本
（截止到4.30）</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</si>
  <si>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</si>
  <si>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</si>
  <si>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</si>
  <si>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</si>
  <si>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</si>
  <si>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</si>
  <si>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</si>
  <si>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</si>
  <si>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</si>
  <si>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</si>
  <si>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</si>
  <si>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</si>
  <si>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</si>
  <si>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</si>
  <si>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不动产登记信息平台信创升级改造项目</t>
  </si>
  <si>
    <t>已立项</t>
  </si>
  <si>
    <t>验收</t>
  </si>
  <si>
    <t>完成初验，目前处于各子系统陆续切换过程中，分好多系统需要信创上线  最后一个系统上线是今年10月份；4.17那周电子监督和电子证照本周上线，4.24周云柜台、智能审核、律师查询系统上线，5月底会迁移网上抵押项目，截止5月22这周新进展：
（1）正式发布reissDzpjQuartz(电子票据开具定时任务)、reissQuartz(预受理业务自动处理定时任务)程序，已正常运行，原X86服务已停掉。
（2）正式发布reiss_sdqrlb 图纸、水电气热联办定时任务，已正常运行，原X86服务已停掉。
（3）信创环境正式发布reissClient 建委定时任务程序，已正常运行，原X86服务已停掉。
（4）正式发布rerip_dsqtjk 电子证照、税务定时任务，已正常运行，原X86服务已停掉。</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</si>
  <si>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</si>
  <si>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</si>
  <si>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</si>
  <si>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</si>
  <si>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</si>
  <si>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</si>
  <si>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</si>
  <si>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</si>
  <si>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</si>
  <si>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济南房产交易与租赁服务平台</t>
  </si>
  <si>
    <t>李宪鹏</t>
  </si>
  <si>
    <t>严重延迟</t>
  </si>
  <si>
    <t>进度延迟严重</t>
  </si>
  <si>
    <t>2025年12月完成初验，目前调整及测试中，甲方暂定5月份上线，服务器资源预计5月中旬能够到位</t>
  </si>
  <si>
    <t>21250606J</t>
  </si>
  <si>
    <t>山东省机关事务局职工房改管理系统适配改造项目</t>
  </si>
  <si>
    <t>付艳芳</t>
  </si>
  <si>
    <t>维护</t>
  </si>
  <si>
    <t>2025年12月完成终验，现在处于3年免费运维中</t>
  </si>
  <si>
    <t>宿松房产一体化平台</t>
  </si>
  <si>
    <t>刘存山</t>
  </si>
  <si>
    <t>开发</t>
  </si>
  <si>
    <t>未验收，验收后收104.85</t>
  </si>
  <si>
    <t>5月15日周：维修资金系统开发完成，迁移程序完成；5月22日周：去现场演示系统，需要协调人力进行对账</t>
  </si>
  <si>
    <t>经过详细了解：当前客户  2021年之前的 档案是纸质的，和银行以及业务都要核对，21年之后有u8财务系统，财务和银行账务是符合的，需要财务和业务系统进行对账；工作展开需要我由公司负责对账，房管局和银行配合 ；</t>
  </si>
  <si>
    <t>物业组
（袁畅）</t>
  </si>
  <si>
    <t>日照市三平台融合、智慧物业、住宅专项维修资金系统信创改造项目</t>
  </si>
  <si>
    <t>王成</t>
  </si>
  <si>
    <t>已回全款</t>
  </si>
  <si>
    <t>还没组织验收，现在是上线配合推广阶段</t>
  </si>
  <si>
    <t>滨州智慧物业</t>
  </si>
  <si>
    <t>王壮</t>
  </si>
  <si>
    <t>实施</t>
  </si>
  <si>
    <t>有合同</t>
  </si>
  <si>
    <t>尾款追讨，公积金已初步答应拨付</t>
  </si>
  <si>
    <t>下周配合客户对试点区县进行推广（滨城、沾化、博兴）</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</si>
  <si>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</si>
  <si>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</si>
  <si>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</si>
  <si>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</si>
  <si>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</si>
  <si>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</si>
  <si>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</si>
  <si>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延迟</t>
  </si>
  <si>
    <t>已申报</t>
  </si>
  <si>
    <t>1、大汉平台对接不动产接口有问题，大汉一直在解决，这个还影响进度
2、缺少中级以上开发人员，毕彦信技术能力不足</t>
  </si>
  <si>
    <t>21250313J</t>
  </si>
  <si>
    <t>电子监督系统标准化产品改造</t>
  </si>
  <si>
    <t>佟丽</t>
  </si>
  <si>
    <t>发布</t>
  </si>
  <si>
    <t>无合同</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</si>
  <si>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</si>
  <si>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</si>
  <si>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</si>
  <si>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</si>
  <si>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</si>
  <si>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</si>
  <si>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</si>
  <si>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</si>
  <si>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</si>
  <si>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</si>
  <si>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</si>
  <si>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</si>
  <si>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房产项目运维</t>
  </si>
  <si>
    <t>维修资金项目运维</t>
  </si>
  <si>
    <t>智慧物业运维</t>
  </si>
  <si>
    <t>人力小计：</t>
  </si>
  <si>
    <t>人力饱和度</t>
  </si>
  <si>
    <t>袁畅借调软件项目部</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</si>
  <si>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</si>
  <si>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</si>
  <si>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</si>
  <si>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</si>
  <si>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</si>
  <si>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</si>
  <si>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</si>
  <si>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</si>
  <si>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</si>
  <si>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</si>
  <si>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</si>
  <si>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</si>
  <si>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济南市不动产登记系统功能拓展(研发支持)</t>
  </si>
  <si>
    <t>不动产电子监督系统功能拓展(研发支持)</t>
  </si>
  <si>
    <t>汇房智选部
（任建伟）</t>
  </si>
  <si>
    <t>22250903HF</t>
  </si>
  <si>
    <t>济南市联合资产交易公示平台</t>
  </si>
  <si>
    <t>王帅</t>
  </si>
  <si>
    <t>已签订</t>
  </si>
  <si>
    <t>一直有小范围需求增加，进度会出现未增长状态</t>
  </si>
  <si>
    <t>汇房云经纪人</t>
  </si>
  <si>
    <t>任建伟</t>
  </si>
  <si>
    <t>多合同，运营</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</si>
  <si>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</si>
  <si>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</si>
  <si>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</si>
  <si>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</si>
  <si>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</si>
  <si>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</si>
  <si>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</si>
  <si>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</si>
  <si>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</si>
  <si>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</si>
  <si>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</si>
  <si>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</si>
  <si>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售前</t>
  </si>
  <si>
    <t>价格未谈拢</t>
  </si>
  <si>
    <t>房屋租赁管理系统(汇房云租)</t>
  </si>
  <si>
    <t>待立项</t>
  </si>
  <si>
    <t>挂起</t>
  </si>
  <si>
    <t>阳信房产超市运维&amp;乐居乳山</t>
  </si>
  <si>
    <t>安震、王帅</t>
  </si>
  <si>
    <t>软件项目部
(王成)</t>
  </si>
  <si>
    <t>日照银行智慧社区维护与升级</t>
  </si>
  <si>
    <t>泉农通二期销售售前支持</t>
  </si>
  <si>
    <t>刘传祥</t>
  </si>
  <si>
    <t>销售立项</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</si>
  <si>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</si>
  <si>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</si>
  <si>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</si>
  <si>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</si>
  <si>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</si>
  <si>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</si>
  <si>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</si>
  <si>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</si>
  <si>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</si>
  <si>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</si>
  <si>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济南市不动产登记系统功能拓展
项目编号：22220901</t>
  </si>
  <si>
    <t xml:space="preserve">统计任务：8条
1、宗地压盖数据补充属性信息。（周一）
2、导出所有宗地压盖提醒数据，有效无效都要加个状态区分。
3、统计截止到2026.5.18长清区已网签未办证的名单明细。
4、统计全市26年4月受理传递业务数量。
5、统计开发企业名下有效不动产登记信息。
6、统计16年至今，转移业务交过土地出让金的量和每年的资金总数。
7、2026年4月涉企登记相关明细统计。
8、2026年4月涉企抵押登记业务相关明细统计。
</t>
  </si>
  <si>
    <t>不动产登记系统：解决受理房屋首次登记业务自动提取数据挂接业务数字化赋值有误导致无法正常查看数字化bug。</t>
  </si>
  <si>
    <t>不动产登记系统-信息共享:排查解决超图权籍系统提交数据挂接业务，提交的数据挂接成果包生成失败问题。</t>
  </si>
  <si>
    <t>智能审核系统：
1.问题处理智能审核处理提取电子证照问题，生成电子证照调整为历史数字化记录文件。 
2.被担保主债权数额和最高债权数额校验sql单元测试。
3.根据业务日志定位代码，查看问题报错原因。
4.发布公告异常未捕获问题修改。并发包至生产。</t>
  </si>
  <si>
    <t>张志鹏</t>
  </si>
  <si>
    <t>不动产数据共享：公证处接口，自测调用跟踪了解接口逻辑，并与公证处技术进行接口联调工作。</t>
  </si>
  <si>
    <t>网上抵押系统农房系统问题处理。</t>
  </si>
  <si>
    <t>李中正</t>
  </si>
  <si>
    <t>数据汇交问题处理，重报补报</t>
  </si>
  <si>
    <t>合计</t>
  </si>
  <si>
    <t>下周计划</t>
  </si>
  <si>
    <t xml:space="preserve">济南市不动产登记中心不动产登记信息平台信创升级改造项目
项目编号：22250226
</t>
  </si>
  <si>
    <t>本周工作</t>
  </si>
  <si>
    <t>信创-登记系统</t>
  </si>
  <si>
    <t>（1）正式发布reissDzpjQuartz(电子票据开具定时任务)、reissQuartz(预受理业务自动处理定时任务)程序，已正常运行，原X86服务已停掉。
（2）正式发布reiss_sdqrlb 图纸、水电气热联办定时任务，已正常运行，原X86服务已停掉。
（3）信创环境正式发布reissClient 建委定时任务程序，已正常运行，原X86服务已停掉。
（4）正式发布rerip_dsqtjk 电子证照、税务定时任务，已正常运行，原X86服务已停掉。</t>
  </si>
  <si>
    <t>登录支持谷歌适配 ,且兼容btwarw ,测试并提交代码。</t>
  </si>
  <si>
    <t xml:space="preserve">  1、解决日志菜单样式显示不正常问题，配置nginx  /js/ /style/  已解决
    2、处理日志显示JS失效问题 待解决 ，可能存在跨域的问题
    3、处理申请表有字段不显示问题、保存证照不成功问题、复制业务不成功问题 
    4、获取序列增加瀚高库判断
    5、对于查询中Sql 里 有 with ur 添加DB2数据库参数判断
    6、增加查询接口 信创环境和非信创环境URL  参数控制</t>
  </si>
  <si>
    <t>李国强</t>
  </si>
  <si>
    <t>其他</t>
  </si>
  <si>
    <t>网上抵押系统抵押接口信创环境测试，发布，联调银行。</t>
  </si>
  <si>
    <t>济南不动产登记平台运行维护
项目编号：41221101</t>
  </si>
  <si>
    <t>不动产软件运维</t>
  </si>
  <si>
    <t>处理登记系统、抵押系统等业务问题，共计 331 件，详情见附件1。
增量数据汇交每日巡检。</t>
  </si>
  <si>
    <t>李猛</t>
  </si>
  <si>
    <t>杨森</t>
  </si>
  <si>
    <t>不动产系统运维</t>
  </si>
  <si>
    <t>每日数据巡检问题数据汇交。 
每日不动产增量数据汇交系统查看。
迁移网上抵押生产平台库到信创瀚高库。
梳理2026年不动产信创和非信创云资源清退停用计划表。
在登记信创机器63的java密钥库添加56机器https证书。
信创政务云数据汇交，省厅前置机测试机0.62重装为麒麟v10sp3版本，测试用。
在93.171上还原了预受理二手房的生产瀚高库在上面做测试。
网上抵押：67重装操作系统后，配置67的tomcat节点环境和https证书；
网上抵押信创tomcat节点机器67和68配置war包nfs共享，挂载数字化存储。
在信创接口服务器上部署两个tomcat，lib下的jar包、数据源，数字化存储挂载。
在93.142上代理大数据局接口平台地址。
数据汇交信创行政服务域机器62上的4个端口申请对省厅前置机开放需求申请。
信创71:9080端口申请映射成59段的，跟税务土地出让金进行交互。</t>
  </si>
  <si>
    <t>杨真真</t>
  </si>
  <si>
    <t>祝席成</t>
  </si>
  <si>
    <t xml:space="preserve">济南市房产交易管理平台拓展项目编号:22221201
</t>
  </si>
  <si>
    <t>99%</t>
  </si>
  <si>
    <t>证明模板修改，对接泉城链接口</t>
  </si>
  <si>
    <t>档案证明处理，测绘返回接口处理</t>
  </si>
  <si>
    <t>重写数据上传接口</t>
  </si>
  <si>
    <t xml:space="preserve">山东省机关事务局职工房改管理系统适配改造项目：21250606J
</t>
  </si>
  <si>
    <t>运维</t>
  </si>
  <si>
    <t>1.省市上市交易状态查询接口以及上市交易要件接口编码测试完成                                                                            2.济南市房改平台系统本地编译报错问题排查                   3.于主任反馈吴美兰对应的电子档案显示的是张俊功的，经核实数据档案扫描的时候将两人档案拍反了，根据于主任要求将两人的数据手动做调整。                                                                             4.解决济南市房改平台系统编译环境jar冲突。                  5.信创资源变化导致济南市房改接口服务器发生变化，需协调不动产系统，省直信息中心同步修改网络打通地址.        6.和宋雯雯确定数字化存放路径以及服务器地址                 7.济南市房改平台系统本机编译测试通过                          8 .配置平台系统连接瀚高库所需的文件以及jar包             9.和李工讨论市房改系统信创环境测试问题</t>
  </si>
  <si>
    <t xml:space="preserve">
1.根据新的接口文档，做新婚姻民政信息查询接口程序并测试；
2.编写房改数字化文件迁移程序；
3.给张凤查询武警总队购房记录信息；处理申请人单身购房去世后，配偶重复申请房改信息问题；填写申请打通不动产信创网络申请流程住建局数据资源申请；处理公有住房系统区片2类和3类区片楼面地价问题；处理房改数据建账问题；
4.给姚永晶处理卧龙花园老数据录入老系统问题；
5.给保障中心王兵处理已退房数据，配偶姓名错误勘误问题；</t>
  </si>
  <si>
    <t>宋雯雯</t>
  </si>
  <si>
    <t>省直机关职工住房管理系统升级优化（省市上市交易初审提交以及复审详情、业务挂接相关功能业务编码测试                                                                                   省市上市交易业务挂接功能编码测试 ）</t>
  </si>
  <si>
    <t>济南房产交易运维</t>
  </si>
  <si>
    <t xml:space="preserve">房管监测平台维护:
</t>
  </si>
  <si>
    <t>1.修改房改证明样式，包括窗口端及自助机端
2.编写房改证明样式调整需求单
3.编写OA与排队机迁移调整方案
4.为甲方导出槐荫区桃园北区等楼幢商品房数据</t>
  </si>
  <si>
    <t>1、资金监管系统对接恒丰银行生产环境测试(完成70%)
2、老系统修改网签合同pdf模板样式(完成100%)
3、存量房网签及资金监管日常运维问题处理
4、老系统配合建设银行测试联调接口(完成80%)</t>
  </si>
  <si>
    <t>张杨</t>
  </si>
  <si>
    <t>处理测绘挂接、网签备案等业务问题，共计 45 件，详情件附件2。
检测平台每日巡检。
交易接口日志每日巡检。</t>
  </si>
  <si>
    <t>每日数据迁移的查看日志并删除多余备份。
市房改两台生产机器打通到市民政局接口地址。
将交易OA库备份还原到10.10.8.11windows上面。
房改和不动产互相调用彼此接口，带文件去站前街登记中心盖不动产的章。
交易OA库备份还原到10.10.8.11上报字符集错误，将8.11mysql字符集设置成utf8mb4重新还原。
沟通房改生产机器上面的数字化目录拷贝到信创机器上的情况。</t>
  </si>
  <si>
    <t>根据问题清单优化系统：添加备案单PDF预览页签；变更/解除添加保存按钮；
添加空格/回车键关闭提示信息等；
两次系统发包并测试，同业务人员逐一核对问题清单；</t>
  </si>
  <si>
    <t>董文超</t>
  </si>
  <si>
    <t>1、受理科问题台账中的问题处理（完成70%）
2、新增中介经纪服务合同相关功能的演示与业务领导会议讨论具体需求（完成100%）
3、资金监管北京银行接口对接（完成20%）</t>
  </si>
  <si>
    <t>1.编写零信任与堡垒机账号申请单，并与信息中心沟通
2.修改迁移程序解决数据不完整数据迁移问题，并补充迁移问题数据</t>
  </si>
  <si>
    <t>存量房网签备案开发、前端对接</t>
  </si>
  <si>
    <t>郇正基</t>
  </si>
  <si>
    <t>维修资金迁移程序开发</t>
  </si>
  <si>
    <t>时守杰</t>
  </si>
  <si>
    <t xml:space="preserve">维修资金迁移程序开发测试，维修资金系统二次开发 </t>
  </si>
  <si>
    <t>许建飞</t>
  </si>
  <si>
    <t>维修资金系统测试、调优</t>
  </si>
  <si>
    <t>景旭</t>
  </si>
  <si>
    <t>维修资金前端优化，二次开发</t>
  </si>
  <si>
    <t>段佑轩</t>
  </si>
  <si>
    <t>宿松原数据分析，出差宿松系统演示，维修资金账户核对</t>
  </si>
  <si>
    <t>房产一体化项目：阳信、滨州、无棣、沾化、乳山维护；</t>
  </si>
  <si>
    <t>万德跃</t>
  </si>
  <si>
    <t>房产一体化：安徽地区、五莲、诸城维护</t>
  </si>
  <si>
    <t>滨州销售统计查询优化</t>
  </si>
  <si>
    <t>滨州房产一体化驻场维护</t>
  </si>
  <si>
    <t>吴胜傲</t>
  </si>
  <si>
    <t>维修资金系统维护：东营地区区、滨州地区维护；东营经开、河口对账</t>
  </si>
  <si>
    <t>牛丽君</t>
  </si>
  <si>
    <t>1维修资金系统维护：高唐、滨州、东营、兖州、莱芜、潍坊滨海等地区维护
2 惠民维修资金系统账务核对</t>
  </si>
  <si>
    <t>赵衍峰</t>
  </si>
  <si>
    <t>日照维系资金驻场维护</t>
  </si>
  <si>
    <t>马睿</t>
  </si>
  <si>
    <t>无棣维修资金对账</t>
  </si>
  <si>
    <t>王德智</t>
  </si>
  <si>
    <t>路红林</t>
  </si>
  <si>
    <t>东营区：对账</t>
  </si>
  <si>
    <t>孙达</t>
  </si>
  <si>
    <t>各地维修资金维护</t>
  </si>
  <si>
    <t>日照智慧物业维护</t>
  </si>
  <si>
    <t>日照市三平台融合、智慧物业、住宅专项维修资金系统信创改造项目
项目编号：22240822</t>
  </si>
  <si>
    <t>日照维修资金问题处理及测试</t>
  </si>
  <si>
    <t>潘春蕾</t>
  </si>
  <si>
    <t>日照维修资金运维</t>
  </si>
  <si>
    <t>滨州智慧物业
项目编号：23251211</t>
  </si>
  <si>
    <t>试点推进各区县动员部署会议现场沟通</t>
  </si>
  <si>
    <t>袁畅</t>
  </si>
  <si>
    <t>系统功能测试，功能优化</t>
  </si>
  <si>
    <t>业务功能测试</t>
  </si>
  <si>
    <t>各区县试点企业现场培训，推动试点工作</t>
  </si>
  <si>
    <t>泉农通二期销售售前支持
项目编号：
121018</t>
  </si>
  <si>
    <t>农业局-泉农通小程序集成开发及测试</t>
  </si>
  <si>
    <t>王延磊</t>
  </si>
  <si>
    <t>韩华斌</t>
  </si>
  <si>
    <t>农业局-泉农通小程序现场沟通汇报</t>
  </si>
  <si>
    <t>网信办投标文件编制</t>
  </si>
  <si>
    <t>网信办-系统设计工作</t>
  </si>
  <si>
    <t>农业局-泉农通小程序集成优化、现场汇报</t>
  </si>
  <si>
    <t>济南市不动产登记全量数据汇交及比对系统
项目编号：222201001</t>
  </si>
  <si>
    <t>给自然资源部填报的地房联动指标数据核对，导出各年明细及差异</t>
  </si>
  <si>
    <t>济南市不动产登记电子监督系统功能拓展
项目编号：22220905</t>
  </si>
  <si>
    <t>90%</t>
  </si>
  <si>
    <t>1）退件情况：统计分析-退件明细调整为“退件情况”，包含两类：退件明细、退件量统计。设计、开发、测试、上线。
2）移动端适配：山东通访问电子监督大屏和后台管理界面，实现移动端自适应。
3）数据质量评价竞赛：按照2026年制定的新规则统计各行政区的得分情况。</t>
  </si>
  <si>
    <t>毕彦信</t>
  </si>
  <si>
    <t>闫元泉</t>
  </si>
  <si>
    <t>不动产登记人工智能数字人(一期)项目
项目编号：21250326</t>
  </si>
  <si>
    <t>85%</t>
  </si>
  <si>
    <t>1）接口对接：本地GPU服务器的模型接口对接，包括大模型、嵌入模型及重排序模型接口。
2）语义检索：在原有关键字检索基础上，开发语义检索与知识库向量化处理。
3）新增AI交互功能：开发AI问答模块，结合混合检索和重排序优化结果，提升知识库的智能化响应质量与用户体验。</t>
  </si>
  <si>
    <t>电子监督系统标准化产品改造
项目编号：21250313J</t>
  </si>
  <si>
    <t>配合政通准备安全检查材料</t>
  </si>
  <si>
    <t xml:space="preserve">住房贷款项目验收材料-测试大纲、测试报告  </t>
  </si>
  <si>
    <t>住房贷款项目国产化集成调试</t>
  </si>
  <si>
    <t>卢波</t>
  </si>
  <si>
    <t>住房贷款项目验收材料编写</t>
  </si>
  <si>
    <t>基层经费监管系统升级研发（二期）
项目编号：
210123ZHJJ02</t>
  </si>
  <si>
    <t>系统运维管理</t>
  </si>
  <si>
    <t>王晓阳</t>
  </si>
  <si>
    <t>编写数据库操作的db-mcp工具，支持多类型数据库，以及多种安全管控配置。</t>
  </si>
  <si>
    <t>编写markdown培训文档。</t>
  </si>
  <si>
    <t>扩展FileService接口，支持流式上传，扩展LocalFileClient、FtpFileClient、S3FileClient、SftpFileClient、DBFileClient实现类支持流式存储</t>
  </si>
  <si>
    <t>技术委员会、部门协调、工作汇报、项目委员会、项目经理能力清单等</t>
  </si>
  <si>
    <t>智慧房产产品线项目
项目编号：21260422</t>
  </si>
  <si>
    <t>商品房资金监管系统
1、退款审核和打印完成
2、合同监管功能 接口完成
3、协助测试测 租赁功能</t>
  </si>
  <si>
    <t>郭培培</t>
  </si>
  <si>
    <t>1.商品房网签合同完善(调整流程提交和保存业务)
2.修复流程提交失败但流程任务有效的bug
3.完善项目提交流程功能
4.完善销售许可打印功能</t>
  </si>
  <si>
    <t>彭步坤</t>
  </si>
  <si>
    <t>商品房网签与监管系统：
1、资金退款 打印、撤销等功能接口对接 - 完成
2、楼盘表组件优化 - 使其可展示多种状态  - 完成
3、新增根据楼幢code查询销售许可房屋列表接口 - 完成
4、监管合同接口联调 - 进行中
5、测试问题修改 - 进行中</t>
  </si>
  <si>
    <t>王光辉</t>
  </si>
  <si>
    <t>功能测试</t>
  </si>
  <si>
    <t>宿松智慧房产测试：
1.商品房网签备案与预售资金监管系统
2.租赁网签备案系统</t>
  </si>
  <si>
    <t>张燕</t>
  </si>
  <si>
    <t>数据治理平台
项目编号：21260423</t>
  </si>
  <si>
    <t>测试环境部署数据治理平台。</t>
  </si>
  <si>
    <t>宿松二进制数据分析以及数据库初步分析。二进制等大数据处理方案编写。</t>
  </si>
  <si>
    <t>整体转换器模块梳理优化。</t>
  </si>
  <si>
    <t>字段处理器逻辑调整：抛出业务异常时令处理中断3
字典管理：同一字典组内不允许添加多个默认值1
执行计划：定时任务优化（补齐schedule持久化链路,同步注册/注销运行时定时任务）</t>
  </si>
  <si>
    <t>执行计划：
crontab输入框优化为平台公共组件1
后端多进程场景测试验证执行计划的分布式锁控制</t>
  </si>
  <si>
    <t>文件迁移转换器：
节点迁移查询调整为不查询二进制数据字段，防止内存溢出；
完成转换器内部逐条流式查询二进制数据转存minio流程</t>
  </si>
  <si>
    <t>1、测试抵押、变更登簿功能
2、搭建预受理项目开发环境，熟悉预受理业务逻辑、代码逻辑</t>
  </si>
  <si>
    <t>整理预受理业务相关的需求方案</t>
  </si>
  <si>
    <t>1.使用AI完成国有建设用地变更注销登记登簿代码
2.使用AI完成预量化接口和删除量化自然幢接口
3.量化登记需求开会</t>
  </si>
  <si>
    <t>窦延群</t>
  </si>
  <si>
    <t>使用AI编写登记簿量化表展示以及后台查询逻辑</t>
  </si>
  <si>
    <t>非信创资源核对及对接、存量房预受理系统需求、银行预警需求对接</t>
  </si>
  <si>
    <t xml:space="preserve">济南市联合资产交易公示平台
项目编号：22250903HF
</t>
  </si>
  <si>
    <t>1.完成设计联合资产（小程序+PC端）页面。包括房源发布-房源指引的两个版本、个人中心新增图标、首页金刚区功能图标的调整；
2. 设计小程序端房源发布-选择房屋步骤里的产权信息状态提示样式；
3. 与前端沟通开发的页面与设计稿还原存在出入的部分问题；
4.首页通知公告部分问题、功能标题样式问题、宣传语间距问题；房源列表页右侧平台简介展示样式问题等。</t>
  </si>
  <si>
    <t>冯庆召</t>
  </si>
  <si>
    <t>1.设计查封意向表结构；
2.开发查封意向实体接口；
3.新房、土地列表增加排序条件 ;
4.新房列表增加展示字段;
5.测试房源功能；
6.修改用户意向-企业分配功能； 
7.测试企业入驻功能； 
8.测试房源录入功能，排查房产录入产权未展示问题原因；
9.企业入驻功能完善；</t>
  </si>
  <si>
    <t>安震</t>
  </si>
  <si>
    <t>1.房源展厅（pc+小程序）首页，新房、二手房、土地、强制管理、查封不动产、历史遗留列表页、房源详情页根据UI设计完成页面开发与接口联调；
2.房源展厅（pc+小程序）完成房源发布输入项优化，交易方式逻辑优化与页面调整；
3.房源展厅小程序“我的”菜单调整、房源发布指引页面、房源发布告知函页面调整与后台联调；</t>
  </si>
  <si>
    <t>赵旺</t>
  </si>
  <si>
    <t>1. 大数据申报材料业务流程图、业务描述、应用系统设计编写；
2. 与公证处沟通演示需求以及演示需求开发进度推进；
3. 参加项目进度会议并汇报项目进度；
4. 与客户沟通演示需求；
5. 与虚拟号服务商沟通需求；
6. 推进法信接口对接事项；
7. 齐鲁公证处现场演示平台与需求记录沟通，并整理需求记录；
8. 准备周四与不动产、住建、公证处演示平台内容；
9. 公证处现场与不动产、住建、公证处演示平台流程；</t>
  </si>
  <si>
    <t xml:space="preserve"> </t>
  </si>
  <si>
    <t>大数据申报材料方案、预算表编写
与公证处沟通演示需求以及演示需求开发进度推进；
参加项目进度会议并汇报项目进度；
齐鲁公证处现场演示平台与需求记录沟通，并整理需求记录；
准备周四与不动产、住建、公证处演示平台内容；
公证处现场与不动产、住建、公证处演示平台流程；</t>
  </si>
  <si>
    <t xml:space="preserve">车位使用权公证备案平台
项目编号：22250829HF
</t>
  </si>
  <si>
    <t>1.车位备案法信接口对接逻辑修改，测试验证、排查问题、业务逻辑梳理，新增接口对接（获取法信签署文件信息分步获取）；
2.车位备案平台全流程测试以及bug修复，功能完善；</t>
  </si>
  <si>
    <t>许兴欣</t>
  </si>
  <si>
    <t xml:space="preserve">汇房云经纪人
项目编号：21250418
</t>
  </si>
  <si>
    <t>--</t>
  </si>
  <si>
    <t>银联商务支付对接，接口自测
线上问题处理升级（发布新版本）归档房源</t>
  </si>
  <si>
    <t>蔡高情</t>
  </si>
  <si>
    <t>根据德邦发房规则调整系统，完成房源门牌号及业主展示配置的修改与测试；
新增企业房源自定义标签配置与筛选的需求设计。
银联商务完成平台方开户材料的准备、协议盖章及邮寄工作。</t>
  </si>
  <si>
    <t>设计</t>
  </si>
  <si>
    <t xml:space="preserve">汇房云培训考试
项目编号：
</t>
  </si>
  <si>
    <t>枣庄考试运维处理，支持企业集中培训，门店人员开户、证书审核、问题支持等</t>
  </si>
  <si>
    <t>卓识网安业务平台系统
项目编号：22251028HFJ</t>
  </si>
  <si>
    <t>测试</t>
  </si>
  <si>
    <t>公司内部系统维护升级项目
项目编号：21250801J</t>
  </si>
  <si>
    <t>阳信房产超市运维</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</si>
  <si>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</si>
  <si>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</si>
  <si>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</si>
  <si>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</si>
  <si>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</si>
  <si>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</si>
  <si>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</si>
  <si>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</si>
  <si>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</si>
  <si>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</si>
  <si>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</si>
  <si>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</si>
  <si>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</si>
  <si>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</si>
  <si>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</si>
  <si>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</si>
  <si>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</si>
  <si>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</si>
  <si>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</si>
  <si>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智惠e家移动端备案漏洞、服务漏洞修复整改</t>
  </si>
  <si>
    <t>配合银行扫码测试</t>
  </si>
  <si>
    <t>潘春雷</t>
  </si>
  <si>
    <t>智惠e家漏洞修复、测试、发版、数据运维、系统运维</t>
  </si>
  <si>
    <t>三方复测</t>
  </si>
  <si>
    <r>
      <rPr>
        <sz val="10"/>
        <color theme="9"/>
        <rFont val="微软雅黑"/>
        <charset val="134"/>
      </rPr>
      <t>智慧餐厅离线支付项目（先享后付）</t>
    </r>
    <r>
      <rPr>
        <sz val="10"/>
        <color theme="5" tint="0.4"/>
        <rFont val="微软雅黑"/>
        <charset val="134"/>
      </rPr>
      <t xml:space="preserve">
“一家人大食堂”等智慧餐厅相关系统功能优化需求
智惠e家宜当生活物业缴费功能改造
</t>
    </r>
    <r>
      <rPr>
        <sz val="10"/>
        <color theme="9"/>
        <rFont val="微软雅黑"/>
        <charset val="134"/>
      </rPr>
      <t>社区访客通行以及押金缴费退款需求</t>
    </r>
    <r>
      <rPr>
        <sz val="10"/>
        <color theme="5" tint="0.4"/>
        <rFont val="微软雅黑"/>
        <charset val="134"/>
      </rPr>
      <t xml:space="preserve">
</t>
    </r>
    <r>
      <rPr>
        <sz val="10"/>
        <color theme="9"/>
        <rFont val="微软雅黑"/>
        <charset val="134"/>
      </rPr>
      <t>济宁联民广场（浙江五联智能电力科技有限公司）智能电表对接</t>
    </r>
    <r>
      <rPr>
        <sz val="10"/>
        <color theme="5" tint="0.4"/>
        <rFont val="微软雅黑"/>
        <charset val="134"/>
      </rPr>
      <t xml:space="preserve">
智惠e家餐厅餐补规则改造（新加需求，已确认需求，推进开发中）</t>
    </r>
  </si>
  <si>
    <t>正常开发
需求验收（新加需求加急）部分功能发版</t>
  </si>
  <si>
    <t>银行运营</t>
  </si>
  <si>
    <t>银行网络金融部驻场银行业务运营</t>
  </si>
  <si>
    <t>穆德坤</t>
  </si>
  <si>
    <t>银行场景金融中心驻场银行业务运营</t>
  </si>
  <si>
    <t>赵文斌</t>
  </si>
  <si>
    <t>郑家洋</t>
  </si>
  <si>
    <t>需求</t>
  </si>
  <si>
    <t>安全保卫部智慧园区功能优化、2026年行政管理部“行政后勤管理平台”（推进）</t>
  </si>
  <si>
    <t>需求推进</t>
  </si>
  <si>
    <t>智慧餐厅移动端全量接入宜当生活、智慧物业公共收益项目推进</t>
  </si>
  <si>
    <t>需求推进，部分功能集成</t>
  </si>
  <si>
    <t>运营中心需求方案对接工时推进、工单验收回款推进</t>
  </si>
  <si>
    <t>提交流程，回款跟进</t>
  </si>
  <si>
    <t>智惠e家宜餐厅认证API对接宜当生活（需求对接完成）</t>
  </si>
  <si>
    <t>确认工作量</t>
  </si>
  <si>
    <t>日照高新支行关于日照“新发地”智慧市场项目需求对接</t>
  </si>
  <si>
    <t>概要需求讨论、推进详细需求讨论</t>
  </si>
  <si>
    <t>智惠e家信用积分需求对接</t>
  </si>
  <si>
    <t>需求确认</t>
  </si>
  <si>
    <t>智慧餐厅离线支付项目（先享后付）
“一家人大食堂”等智慧餐厅相关系统功能优化需求
智惠e家宜当生活物业缴费功能改造
社区访客通行以及押金缴费退款需求
济宁联民广场（浙江五联智能电力科技有限公司）智能电表对接
智惠e家餐厅餐补规则改造（新加需求，已确认需求，推进开发中）</t>
  </si>
  <si>
    <t>（临时增加开发需求）</t>
  </si>
  <si>
    <t>智慧餐厅移动端全量接入宜当生活（推进）</t>
  </si>
  <si>
    <t>安全保卫部智慧园区功能优化（推进需求提报）</t>
  </si>
  <si>
    <t>2026年行政管理部“行政后勤管理平台”（推进）</t>
  </si>
  <si>
    <t>智惠e家宜餐厅认证API对接宜当生活（设计方案确认完毕，推进开发）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</si>
</sst>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 numFmtId="178" formatCode="yyyy/m/d;@"/>
    <numFmt numFmtId="179" formatCode="0.00_ "/>
  </numFmts>
  <fonts count="51">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5" tint="0.4"/>
      <name val="微软雅黑"/>
      <charset val="134"/>
    </font>
    <font>
      <sz val="10"/>
      <color theme="9"/>
      <name val="微软雅黑"/>
      <charset val="134"/>
    </font>
    <font>
      <sz val="10"/>
      <color theme="1"/>
      <name val="等线"/>
      <charset val="134"/>
    </font>
    <font>
      <sz val="10"/>
      <name val="等线"/>
      <charset val="134"/>
    </font>
    <font>
      <sz val="11"/>
      <color rgb="FF060A26"/>
      <name val="等线"/>
      <charset val="134"/>
      <scheme val="minor"/>
    </font>
    <font>
      <sz val="10"/>
      <color theme="1"/>
      <name val="等线"/>
      <charset val="134"/>
      <scheme val="minor"/>
    </font>
    <font>
      <sz val="12"/>
      <color rgb="FF000000"/>
      <name val="等线"/>
      <charset val="134"/>
      <scheme val="minor"/>
    </font>
    <font>
      <sz val="10"/>
      <color rgb="FF000000"/>
      <name val="等线"/>
      <charset val="134"/>
      <scheme val="minor"/>
    </font>
    <font>
      <sz val="9"/>
      <color rgb="FF000000"/>
      <name val="等线"/>
      <charset val="134"/>
      <scheme val="minor"/>
    </font>
    <font>
      <sz val="10"/>
      <color rgb="FF000000"/>
      <name val="宋体"/>
      <charset val="134"/>
    </font>
    <font>
      <sz val="10"/>
      <color rgb="FF000000"/>
      <name val="SimSun"/>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
      <sz val="12"/>
      <name val="宋体"/>
      <charset val="134"/>
    </font>
  </fonts>
  <fills count="39">
    <fill>
      <patternFill patternType="none"/>
    </fill>
    <fill>
      <patternFill patternType="gray125"/>
    </fill>
    <fill>
      <patternFill patternType="solid">
        <fgColor indexed="65"/>
        <bgColor indexed="64"/>
      </patternFill>
    </fill>
    <fill>
      <patternFill patternType="solid">
        <fgColor theme="9"/>
        <bgColor indexed="64"/>
      </patternFill>
    </fill>
    <fill>
      <patternFill patternType="solid">
        <fgColor theme="5" tint="0.6"/>
        <bgColor indexed="64"/>
      </patternFill>
    </fill>
    <fill>
      <patternFill patternType="solid">
        <fgColor rgb="FFFFFF00"/>
        <bgColor indexed="64"/>
      </patternFill>
    </fill>
    <fill>
      <patternFill patternType="solid">
        <fgColor theme="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style="thin">
        <color rgb="FF000000"/>
      </left>
      <right style="thin">
        <color rgb="FF000000"/>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9" borderId="3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1" applyNumberFormat="0" applyFill="0" applyAlignment="0" applyProtection="0">
      <alignment vertical="center"/>
    </xf>
    <xf numFmtId="0" fontId="33" fillId="0" borderId="31" applyNumberFormat="0" applyFill="0" applyAlignment="0" applyProtection="0">
      <alignment vertical="center"/>
    </xf>
    <xf numFmtId="0" fontId="34" fillId="0" borderId="32" applyNumberFormat="0" applyFill="0" applyAlignment="0" applyProtection="0">
      <alignment vertical="center"/>
    </xf>
    <xf numFmtId="0" fontId="34" fillId="0" borderId="0" applyNumberFormat="0" applyFill="0" applyBorder="0" applyAlignment="0" applyProtection="0">
      <alignment vertical="center"/>
    </xf>
    <xf numFmtId="0" fontId="35" fillId="10" borderId="33" applyNumberFormat="0" applyAlignment="0" applyProtection="0">
      <alignment vertical="center"/>
    </xf>
    <xf numFmtId="0" fontId="36" fillId="11" borderId="34" applyNumberFormat="0" applyAlignment="0" applyProtection="0">
      <alignment vertical="center"/>
    </xf>
    <xf numFmtId="0" fontId="37" fillId="11" borderId="33" applyNumberFormat="0" applyAlignment="0" applyProtection="0">
      <alignment vertical="center"/>
    </xf>
    <xf numFmtId="0" fontId="38" fillId="12" borderId="35" applyNumberFormat="0" applyAlignment="0" applyProtection="0">
      <alignment vertical="center"/>
    </xf>
    <xf numFmtId="0" fontId="39" fillId="0" borderId="36" applyNumberFormat="0" applyFill="0" applyAlignment="0" applyProtection="0">
      <alignment vertical="center"/>
    </xf>
    <xf numFmtId="0" fontId="40" fillId="0" borderId="37" applyNumberFormat="0" applyFill="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4" fillId="38" borderId="0" applyNumberFormat="0" applyBorder="0" applyAlignment="0" applyProtection="0">
      <alignment vertical="center"/>
    </xf>
    <xf numFmtId="9" fontId="46" fillId="0" borderId="0" applyFont="0" applyFill="0" applyBorder="0" applyAlignment="0" applyProtection="0">
      <alignment vertical="center"/>
    </xf>
    <xf numFmtId="9" fontId="0" fillId="0" borderId="0" applyFont="0" applyFill="0" applyBorder="0" applyAlignment="0" applyProtection="0">
      <alignment vertical="center"/>
    </xf>
    <xf numFmtId="176" fontId="46" fillId="0" borderId="0">
      <alignment vertical="center"/>
    </xf>
    <xf numFmtId="176" fontId="46" fillId="0" borderId="0">
      <alignment vertical="center"/>
    </xf>
    <xf numFmtId="176" fontId="1" fillId="0" borderId="0">
      <alignment vertical="center"/>
    </xf>
    <xf numFmtId="0" fontId="1" fillId="0" borderId="0">
      <alignment vertical="center"/>
    </xf>
    <xf numFmtId="0" fontId="46" fillId="0" borderId="0">
      <alignment vertical="center"/>
    </xf>
    <xf numFmtId="176" fontId="46" fillId="0" borderId="0">
      <alignment vertical="center"/>
    </xf>
    <xf numFmtId="176" fontId="46" fillId="0" borderId="0">
      <alignment vertical="center"/>
    </xf>
    <xf numFmtId="176" fontId="46" fillId="0" borderId="0">
      <alignment vertical="center"/>
    </xf>
    <xf numFmtId="176" fontId="47" fillId="0" borderId="0">
      <alignment vertical="center"/>
    </xf>
    <xf numFmtId="176" fontId="46" fillId="0" borderId="0">
      <alignment vertical="center"/>
    </xf>
    <xf numFmtId="176" fontId="46" fillId="0" borderId="0">
      <alignment vertical="center"/>
    </xf>
    <xf numFmtId="176" fontId="46" fillId="0" borderId="0">
      <alignment vertical="center"/>
    </xf>
    <xf numFmtId="176" fontId="46" fillId="0" borderId="0" applyBorder="0">
      <alignment vertical="center"/>
    </xf>
  </cellStyleXfs>
  <cellXfs count="461">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xf>
    <xf numFmtId="9" fontId="5" fillId="0" borderId="2" xfId="0" applyNumberFormat="1" applyFont="1" applyFill="1" applyBorder="1" applyAlignment="1">
      <alignment horizontal="center" vertical="center" wrapText="1"/>
    </xf>
    <xf numFmtId="9" fontId="5" fillId="0" borderId="3" xfId="0" applyNumberFormat="1" applyFont="1" applyFill="1" applyBorder="1" applyAlignment="1">
      <alignment horizontal="center" vertical="center" wrapText="1"/>
    </xf>
    <xf numFmtId="9"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9"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xf>
    <xf numFmtId="0" fontId="5" fillId="3"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9" fontId="6" fillId="0" borderId="3" xfId="0" applyNumberFormat="1" applyFont="1" applyFill="1" applyBorder="1" applyAlignment="1">
      <alignment horizontal="center" vertical="center" wrapText="1"/>
    </xf>
    <xf numFmtId="0" fontId="6" fillId="0" borderId="3" xfId="0" applyNumberFormat="1"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0" fontId="6" fillId="0" borderId="4"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0" fontId="5" fillId="5" borderId="1" xfId="0" applyNumberFormat="1" applyFont="1" applyFill="1" applyBorder="1" applyAlignment="1">
      <alignment horizontal="center" vertical="center"/>
    </xf>
    <xf numFmtId="9" fontId="5" fillId="5" borderId="1" xfId="0" applyNumberFormat="1" applyFont="1" applyFill="1" applyBorder="1" applyAlignment="1">
      <alignment vertical="center"/>
    </xf>
    <xf numFmtId="0" fontId="5" fillId="5" borderId="1" xfId="0" applyNumberFormat="1" applyFont="1" applyFill="1" applyBorder="1" applyAlignment="1">
      <alignment vertical="center"/>
    </xf>
    <xf numFmtId="177" fontId="5" fillId="5" borderId="1" xfId="0" applyNumberFormat="1" applyFont="1" applyFill="1" applyBorder="1" applyAlignment="1">
      <alignment horizontal="center" vertical="center"/>
    </xf>
    <xf numFmtId="0" fontId="5" fillId="0" borderId="1" xfId="0" applyNumberFormat="1" applyFont="1" applyFill="1" applyBorder="1" applyAlignment="1">
      <alignment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178"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5" xfId="0" applyNumberFormat="1" applyFont="1" applyFill="1" applyBorder="1" applyAlignment="1">
      <alignment horizontal="left" vertical="center" wrapText="1"/>
    </xf>
    <xf numFmtId="0" fontId="5" fillId="2" borderId="6"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2" xfId="0" applyNumberFormat="1" applyFont="1" applyFill="1" applyBorder="1" applyAlignment="1">
      <alignment vertical="center"/>
    </xf>
    <xf numFmtId="177" fontId="5" fillId="2" borderId="2" xfId="0" applyNumberFormat="1" applyFont="1" applyFill="1" applyBorder="1" applyAlignment="1">
      <alignment horizontal="center" vertical="center"/>
    </xf>
    <xf numFmtId="0" fontId="5" fillId="0" borderId="7" xfId="0" applyNumberFormat="1" applyFont="1" applyBorder="1" applyAlignment="1">
      <alignment horizontal="center" vertical="center" wrapText="1"/>
    </xf>
    <xf numFmtId="0" fontId="5" fillId="2" borderId="8" xfId="0" applyNumberFormat="1" applyFont="1" applyFill="1" applyBorder="1" applyAlignment="1">
      <alignment horizontal="center" vertical="center"/>
    </xf>
    <xf numFmtId="0" fontId="5" fillId="2" borderId="8" xfId="0" applyNumberFormat="1" applyFont="1" applyFill="1" applyBorder="1" applyAlignment="1">
      <alignment horizontal="left" vertical="center" wrapText="1"/>
    </xf>
    <xf numFmtId="9" fontId="5" fillId="2" borderId="8" xfId="0" applyNumberFormat="1" applyFont="1" applyFill="1" applyBorder="1" applyAlignment="1">
      <alignment horizontal="center" vertical="center"/>
    </xf>
    <xf numFmtId="0" fontId="5" fillId="2" borderId="8" xfId="0" applyNumberFormat="1" applyFont="1" applyFill="1" applyBorder="1" applyAlignment="1">
      <alignment vertical="center"/>
    </xf>
    <xf numFmtId="177" fontId="5" fillId="2" borderId="8" xfId="0" applyNumberFormat="1" applyFont="1" applyFill="1" applyBorder="1" applyAlignment="1">
      <alignment horizontal="center" vertical="center"/>
    </xf>
    <xf numFmtId="0" fontId="5" fillId="2" borderId="8" xfId="0" applyNumberFormat="1" applyFont="1" applyFill="1" applyBorder="1"/>
    <xf numFmtId="0" fontId="5" fillId="2" borderId="8" xfId="0" applyNumberFormat="1" applyFont="1" applyFill="1" applyBorder="1" applyAlignment="1">
      <alignment horizontal="center" vertical="center" wrapText="1"/>
    </xf>
    <xf numFmtId="0" fontId="8" fillId="0" borderId="8" xfId="0" applyNumberFormat="1" applyFont="1" applyFill="1" applyBorder="1" applyAlignment="1">
      <alignment vertical="center" wrapText="1"/>
    </xf>
    <xf numFmtId="0" fontId="8" fillId="0" borderId="8" xfId="0" applyNumberFormat="1" applyFont="1" applyFill="1" applyBorder="1" applyAlignment="1">
      <alignment horizontal="center" vertical="center" wrapText="1"/>
    </xf>
    <xf numFmtId="0" fontId="5" fillId="2" borderId="9" xfId="0" applyNumberFormat="1" applyFont="1" applyFill="1" applyBorder="1" applyAlignment="1">
      <alignment horizontal="left" vertical="center" wrapText="1"/>
    </xf>
    <xf numFmtId="0" fontId="5" fillId="2" borderId="10" xfId="0" applyNumberFormat="1" applyFont="1" applyFill="1" applyBorder="1" applyAlignment="1">
      <alignment horizontal="center" vertical="center"/>
    </xf>
    <xf numFmtId="9" fontId="8" fillId="0" borderId="8" xfId="0" applyNumberFormat="1" applyFont="1" applyFill="1" applyBorder="1" applyAlignment="1">
      <alignment horizontal="center" vertical="center" wrapText="1"/>
    </xf>
    <xf numFmtId="177" fontId="5" fillId="2" borderId="4" xfId="0" applyNumberFormat="1" applyFont="1" applyFill="1" applyBorder="1" applyAlignment="1">
      <alignment horizontal="center" vertical="center"/>
    </xf>
    <xf numFmtId="0" fontId="5" fillId="2" borderId="11" xfId="0" applyNumberFormat="1" applyFont="1" applyFill="1" applyBorder="1" applyAlignment="1">
      <alignment horizontal="left" vertical="center" wrapText="1"/>
    </xf>
    <xf numFmtId="0" fontId="5" fillId="2" borderId="0" xfId="0" applyNumberFormat="1" applyFont="1" applyFill="1" applyAlignment="1">
      <alignment horizontal="center" vertical="center"/>
    </xf>
    <xf numFmtId="9" fontId="5" fillId="2" borderId="11" xfId="0" applyNumberFormat="1" applyFont="1" applyFill="1" applyBorder="1" applyAlignment="1">
      <alignment horizontal="center" vertical="center"/>
    </xf>
    <xf numFmtId="0" fontId="8" fillId="0" borderId="5" xfId="0" applyNumberFormat="1" applyFont="1" applyFill="1" applyBorder="1" applyAlignment="1">
      <alignment vertical="center" wrapText="1"/>
    </xf>
    <xf numFmtId="177" fontId="5" fillId="2" borderId="3" xfId="0" applyNumberFormat="1" applyFont="1" applyFill="1" applyBorder="1" applyAlignment="1">
      <alignment horizontal="center" vertical="center"/>
    </xf>
    <xf numFmtId="0" fontId="5" fillId="2" borderId="12" xfId="0" applyNumberFormat="1" applyFont="1" applyFill="1" applyBorder="1" applyAlignment="1">
      <alignment horizontal="center" vertical="center"/>
    </xf>
    <xf numFmtId="0" fontId="9" fillId="0" borderId="0" xfId="0" applyNumberFormat="1" applyFont="1" applyFill="1" applyBorder="1" applyAlignment="1">
      <alignment vertical="center" wrapText="1"/>
    </xf>
    <xf numFmtId="0" fontId="5" fillId="0" borderId="4" xfId="0" applyNumberFormat="1" applyFont="1" applyBorder="1" applyAlignment="1">
      <alignment horizontal="center" vertical="center" wrapText="1"/>
    </xf>
    <xf numFmtId="0" fontId="5" fillId="2" borderId="13" xfId="0" applyNumberFormat="1" applyFont="1" applyFill="1" applyBorder="1" applyAlignment="1">
      <alignment horizontal="center" vertical="center"/>
    </xf>
    <xf numFmtId="0" fontId="5" fillId="2" borderId="8" xfId="0" applyNumberFormat="1" applyFont="1" applyFill="1" applyBorder="1" applyAlignment="1">
      <alignment wrapText="1"/>
    </xf>
    <xf numFmtId="0" fontId="5" fillId="5" borderId="4" xfId="0" applyNumberFormat="1" applyFont="1" applyFill="1" applyBorder="1" applyAlignment="1">
      <alignment horizontal="center" vertical="center"/>
    </xf>
    <xf numFmtId="9" fontId="5" fillId="5" borderId="4" xfId="0" applyNumberFormat="1" applyFont="1" applyFill="1" applyBorder="1" applyAlignment="1">
      <alignment vertical="center"/>
    </xf>
    <xf numFmtId="0" fontId="5" fillId="5" borderId="4" xfId="0" applyNumberFormat="1" applyFont="1" applyFill="1" applyBorder="1" applyAlignment="1">
      <alignment vertical="center"/>
    </xf>
    <xf numFmtId="177" fontId="5" fillId="5" borderId="4" xfId="0" applyNumberFormat="1" applyFont="1" applyFill="1" applyBorder="1" applyAlignment="1">
      <alignment horizontal="center"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wrapText="1"/>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4" fillId="0" borderId="2" xfId="0" applyNumberFormat="1" applyFont="1" applyBorder="1" applyAlignment="1">
      <alignment horizontal="left" vertical="center" wrapText="1"/>
    </xf>
    <xf numFmtId="0"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77" fontId="5" fillId="0" borderId="2" xfId="0" applyNumberFormat="1" applyFont="1" applyBorder="1" applyAlignment="1">
      <alignment horizontal="center" vertical="center"/>
    </xf>
    <xf numFmtId="0" fontId="5" fillId="0" borderId="13" xfId="0" applyNumberFormat="1" applyFont="1" applyBorder="1" applyAlignment="1">
      <alignment horizontal="center" vertical="center" wrapText="1"/>
    </xf>
    <xf numFmtId="0" fontId="0" fillId="0" borderId="3" xfId="0" applyNumberFormat="1" applyBorder="1"/>
    <xf numFmtId="0" fontId="0" fillId="0" borderId="4" xfId="0" applyNumberFormat="1" applyBorder="1"/>
    <xf numFmtId="0" fontId="5" fillId="0" borderId="4" xfId="0" applyNumberFormat="1" applyFont="1" applyBorder="1" applyAlignment="1">
      <alignment horizontal="left" vertical="center" wrapText="1"/>
    </xf>
    <xf numFmtId="0" fontId="5" fillId="2" borderId="4" xfId="0" applyNumberFormat="1" applyFont="1" applyFill="1" applyBorder="1" applyAlignment="1">
      <alignment horizontal="center" vertical="center" wrapText="1"/>
    </xf>
    <xf numFmtId="9" fontId="5" fillId="0" borderId="4" xfId="0" applyNumberFormat="1" applyFont="1" applyBorder="1" applyAlignment="1">
      <alignment horizontal="center" vertical="center" wrapText="1"/>
    </xf>
    <xf numFmtId="0" fontId="5" fillId="0" borderId="4" xfId="0" applyNumberFormat="1" applyFont="1" applyBorder="1" applyAlignment="1">
      <alignment wrapText="1"/>
    </xf>
    <xf numFmtId="0" fontId="5" fillId="0" borderId="2" xfId="0" applyNumberFormat="1" applyFont="1" applyBorder="1" applyAlignment="1">
      <alignment horizontal="left" vertical="center"/>
    </xf>
    <xf numFmtId="9" fontId="5" fillId="0" borderId="2" xfId="0" applyNumberFormat="1" applyFont="1" applyBorder="1" applyAlignment="1">
      <alignment horizontal="center" vertical="center" wrapText="1"/>
    </xf>
    <xf numFmtId="0" fontId="5" fillId="0" borderId="13" xfId="0" applyNumberFormat="1" applyFont="1" applyBorder="1" applyAlignment="1">
      <alignment horizontal="center" vertical="center"/>
    </xf>
    <xf numFmtId="0" fontId="5" fillId="0" borderId="8" xfId="0" applyNumberFormat="1" applyFont="1" applyBorder="1" applyAlignment="1">
      <alignment horizontal="left" vertical="center" wrapText="1"/>
    </xf>
    <xf numFmtId="0" fontId="5" fillId="2" borderId="14" xfId="0" applyNumberFormat="1" applyFont="1" applyFill="1" applyBorder="1" applyAlignment="1">
      <alignment horizontal="center" vertical="center" wrapText="1"/>
    </xf>
    <xf numFmtId="9" fontId="5" fillId="0" borderId="8" xfId="0" applyNumberFormat="1" applyFont="1" applyBorder="1" applyAlignment="1">
      <alignment horizontal="center" vertical="center" wrapText="1"/>
    </xf>
    <xf numFmtId="0" fontId="5" fillId="0" borderId="14" xfId="0" applyNumberFormat="1" applyFont="1" applyBorder="1" applyAlignment="1">
      <alignment horizontal="center" vertical="center" wrapText="1"/>
    </xf>
    <xf numFmtId="0" fontId="5" fillId="0" borderId="15" xfId="0" applyNumberFormat="1" applyFont="1" applyBorder="1" applyAlignment="1">
      <alignment horizontal="left" vertical="center" wrapText="1"/>
    </xf>
    <xf numFmtId="0" fontId="10" fillId="0" borderId="0" xfId="0" applyNumberFormat="1" applyFont="1" applyAlignment="1">
      <alignment wrapText="1"/>
    </xf>
    <xf numFmtId="0" fontId="11" fillId="0" borderId="0" xfId="0" applyNumberFormat="1" applyFont="1" applyFill="1" applyAlignment="1">
      <alignment vertical="center" wrapText="1"/>
    </xf>
    <xf numFmtId="0" fontId="11" fillId="0" borderId="0" xfId="0" applyNumberFormat="1" applyFont="1" applyFill="1" applyAlignment="1">
      <alignment horizontal="center" vertical="center" wrapText="1"/>
    </xf>
    <xf numFmtId="0" fontId="12"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xf>
    <xf numFmtId="0" fontId="13"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left" vertical="center" wrapText="1"/>
    </xf>
    <xf numFmtId="9" fontId="13" fillId="0" borderId="8" xfId="0" applyNumberFormat="1" applyFont="1" applyFill="1" applyBorder="1" applyAlignment="1">
      <alignment horizontal="center" vertical="center" wrapText="1"/>
    </xf>
    <xf numFmtId="177" fontId="13" fillId="0" borderId="8" xfId="0" applyNumberFormat="1" applyFont="1" applyFill="1" applyBorder="1" applyAlignment="1">
      <alignment horizontal="center" vertical="center"/>
    </xf>
    <xf numFmtId="0" fontId="12" fillId="0" borderId="5" xfId="0" applyNumberFormat="1" applyFont="1" applyFill="1" applyBorder="1" applyAlignment="1">
      <alignment horizontal="center" vertical="center" wrapText="1"/>
    </xf>
    <xf numFmtId="0" fontId="14" fillId="0" borderId="5" xfId="0" applyNumberFormat="1" applyFont="1" applyFill="1" applyBorder="1" applyAlignment="1">
      <alignment horizontal="center" vertical="center"/>
    </xf>
    <xf numFmtId="0" fontId="13" fillId="0" borderId="5" xfId="0" applyNumberFormat="1" applyFont="1" applyFill="1" applyBorder="1" applyAlignment="1">
      <alignment horizontal="center" vertical="center" wrapText="1"/>
    </xf>
    <xf numFmtId="0" fontId="13" fillId="0" borderId="5" xfId="0" applyNumberFormat="1" applyFont="1" applyFill="1" applyBorder="1" applyAlignment="1">
      <alignment horizontal="center" vertical="center"/>
    </xf>
    <xf numFmtId="0" fontId="15" fillId="0" borderId="8" xfId="0" applyNumberFormat="1" applyFont="1" applyFill="1" applyBorder="1" applyAlignment="1">
      <alignment horizontal="left" vertical="center" wrapText="1"/>
    </xf>
    <xf numFmtId="0" fontId="15" fillId="0" borderId="8" xfId="0" applyNumberFormat="1" applyFont="1" applyFill="1" applyBorder="1" applyAlignment="1">
      <alignment horizontal="center" vertical="center" wrapText="1"/>
    </xf>
    <xf numFmtId="0" fontId="12" fillId="0" borderId="11" xfId="0" applyNumberFormat="1" applyFont="1" applyFill="1" applyBorder="1" applyAlignment="1">
      <alignment horizontal="center" vertical="center" wrapText="1"/>
    </xf>
    <xf numFmtId="0" fontId="14" fillId="0" borderId="11" xfId="0" applyNumberFormat="1" applyFont="1" applyFill="1" applyBorder="1" applyAlignment="1">
      <alignment horizontal="center" vertical="center"/>
    </xf>
    <xf numFmtId="0" fontId="13" fillId="0" borderId="11" xfId="0" applyNumberFormat="1" applyFont="1" applyFill="1" applyBorder="1" applyAlignment="1">
      <alignment horizontal="center" vertical="center" wrapText="1"/>
    </xf>
    <xf numFmtId="0" fontId="13" fillId="0" borderId="11" xfId="0" applyNumberFormat="1" applyFont="1" applyFill="1" applyBorder="1" applyAlignment="1">
      <alignment horizontal="center" vertical="center"/>
    </xf>
    <xf numFmtId="0" fontId="15" fillId="0" borderId="5" xfId="0" applyNumberFormat="1" applyFont="1" applyFill="1" applyBorder="1" applyAlignment="1">
      <alignment horizontal="left" vertical="center" wrapText="1"/>
    </xf>
    <xf numFmtId="0" fontId="15" fillId="0" borderId="5" xfId="0" applyNumberFormat="1" applyFont="1" applyFill="1" applyBorder="1" applyAlignment="1">
      <alignment horizontal="center" vertical="center" wrapText="1"/>
    </xf>
    <xf numFmtId="177" fontId="13" fillId="0" borderId="5" xfId="0" applyNumberFormat="1" applyFont="1" applyFill="1" applyBorder="1" applyAlignment="1">
      <alignment horizontal="center" vertical="center"/>
    </xf>
    <xf numFmtId="0" fontId="13" fillId="0" borderId="9" xfId="0" applyNumberFormat="1" applyFont="1" applyFill="1" applyBorder="1" applyAlignment="1">
      <alignment horizontal="center" vertical="center" wrapText="1"/>
    </xf>
    <xf numFmtId="0" fontId="13" fillId="0" borderId="16" xfId="0" applyNumberFormat="1" applyFont="1" applyFill="1" applyBorder="1" applyAlignment="1">
      <alignment horizontal="center" vertical="center"/>
    </xf>
    <xf numFmtId="0" fontId="13" fillId="0" borderId="9" xfId="0" applyNumberFormat="1" applyFont="1" applyFill="1" applyBorder="1" applyAlignment="1">
      <alignment horizontal="center" vertical="center"/>
    </xf>
    <xf numFmtId="0" fontId="15" fillId="0" borderId="8" xfId="0" applyNumberFormat="1" applyFont="1" applyFill="1" applyBorder="1" applyAlignment="1">
      <alignment vertical="center"/>
    </xf>
    <xf numFmtId="0" fontId="13" fillId="5" borderId="16" xfId="0" applyNumberFormat="1" applyFont="1" applyFill="1" applyBorder="1" applyAlignment="1">
      <alignment horizontal="center" vertical="center"/>
    </xf>
    <xf numFmtId="0" fontId="13" fillId="5" borderId="17" xfId="0" applyNumberFormat="1" applyFont="1" applyFill="1" applyBorder="1" applyAlignment="1">
      <alignment horizontal="center" vertical="center"/>
    </xf>
    <xf numFmtId="0" fontId="13" fillId="5" borderId="18" xfId="0" applyNumberFormat="1" applyFont="1" applyFill="1" applyBorder="1" applyAlignment="1">
      <alignment horizontal="center" vertical="center"/>
    </xf>
    <xf numFmtId="0" fontId="13" fillId="5" borderId="9" xfId="0" applyNumberFormat="1" applyFont="1" applyFill="1" applyBorder="1" applyAlignment="1">
      <alignment horizontal="center" vertical="center"/>
    </xf>
    <xf numFmtId="9" fontId="13" fillId="5" borderId="9" xfId="0" applyNumberFormat="1" applyFont="1" applyFill="1" applyBorder="1" applyAlignment="1">
      <alignment vertical="center"/>
    </xf>
    <xf numFmtId="0" fontId="13" fillId="5" borderId="9" xfId="0" applyNumberFormat="1" applyFont="1" applyFill="1" applyBorder="1" applyAlignment="1">
      <alignment vertical="center"/>
    </xf>
    <xf numFmtId="177" fontId="13" fillId="5" borderId="9" xfId="0" applyNumberFormat="1" applyFont="1" applyFill="1" applyBorder="1" applyAlignment="1">
      <alignment horizontal="center" vertical="center"/>
    </xf>
    <xf numFmtId="0" fontId="12" fillId="0" borderId="9" xfId="0" applyNumberFormat="1" applyFont="1" applyFill="1" applyBorder="1" applyAlignment="1">
      <alignment horizontal="center" vertical="center" wrapText="1"/>
    </xf>
    <xf numFmtId="0" fontId="14" fillId="0" borderId="9" xfId="0" applyNumberFormat="1" applyFont="1" applyFill="1" applyBorder="1" applyAlignment="1">
      <alignment horizontal="center" vertical="center"/>
    </xf>
    <xf numFmtId="0" fontId="15" fillId="0" borderId="8" xfId="0" applyNumberFormat="1" applyFont="1" applyFill="1" applyBorder="1" applyAlignment="1">
      <alignment vertical="center" wrapText="1"/>
    </xf>
    <xf numFmtId="9" fontId="13" fillId="0" borderId="8" xfId="0" applyNumberFormat="1" applyFont="1" applyFill="1" applyBorder="1" applyAlignment="1">
      <alignment horizontal="center" vertical="center"/>
    </xf>
    <xf numFmtId="0" fontId="16" fillId="0" borderId="8" xfId="0" applyNumberFormat="1" applyFont="1" applyFill="1" applyBorder="1" applyAlignment="1">
      <alignment horizontal="left" vertical="center" wrapText="1"/>
    </xf>
    <xf numFmtId="0" fontId="15" fillId="0" borderId="16" xfId="0" applyNumberFormat="1" applyFont="1" applyFill="1" applyBorder="1" applyAlignment="1">
      <alignment horizontal="center" vertical="center" wrapText="1"/>
    </xf>
    <xf numFmtId="0" fontId="15" fillId="0" borderId="19" xfId="0" applyNumberFormat="1" applyFont="1" applyFill="1" applyBorder="1" applyAlignment="1">
      <alignment horizontal="center" vertical="center" wrapText="1"/>
    </xf>
    <xf numFmtId="0" fontId="15" fillId="0" borderId="19" xfId="0" applyNumberFormat="1" applyFont="1" applyFill="1" applyBorder="1" applyAlignment="1">
      <alignment vertical="center" wrapText="1"/>
    </xf>
    <xf numFmtId="0" fontId="13" fillId="0" borderId="8" xfId="0" applyNumberFormat="1" applyFont="1" applyFill="1" applyBorder="1" applyAlignment="1">
      <alignment vertical="center"/>
    </xf>
    <xf numFmtId="0" fontId="13" fillId="0" borderId="8" xfId="0" applyNumberFormat="1" applyFont="1" applyFill="1" applyBorder="1" applyAlignment="1">
      <alignment vertical="center" wrapText="1"/>
    </xf>
    <xf numFmtId="0" fontId="15" fillId="0" borderId="20" xfId="0" applyNumberFormat="1" applyFont="1" applyFill="1" applyBorder="1" applyAlignment="1">
      <alignment horizontal="center" vertical="center" wrapText="1"/>
    </xf>
    <xf numFmtId="0" fontId="15" fillId="0" borderId="9" xfId="0" applyNumberFormat="1" applyFont="1" applyFill="1" applyBorder="1" applyAlignment="1">
      <alignment vertical="center" wrapText="1"/>
    </xf>
    <xf numFmtId="9" fontId="13" fillId="0" borderId="9" xfId="0" applyNumberFormat="1" applyFont="1" applyFill="1" applyBorder="1" applyAlignment="1">
      <alignment horizontal="right" vertical="center"/>
    </xf>
    <xf numFmtId="0" fontId="13" fillId="0" borderId="9" xfId="0" applyNumberFormat="1" applyFont="1" applyFill="1" applyBorder="1" applyAlignment="1">
      <alignment vertical="center"/>
    </xf>
    <xf numFmtId="177" fontId="13" fillId="0" borderId="9" xfId="0" applyNumberFormat="1" applyFont="1" applyFill="1" applyBorder="1" applyAlignment="1">
      <alignment horizontal="center" vertical="center"/>
    </xf>
    <xf numFmtId="0" fontId="13" fillId="5" borderId="8" xfId="0" applyNumberFormat="1" applyFont="1" applyFill="1" applyBorder="1" applyAlignment="1">
      <alignment horizontal="center" vertical="center"/>
    </xf>
    <xf numFmtId="9" fontId="13" fillId="5" borderId="8" xfId="0" applyNumberFormat="1" applyFont="1" applyFill="1" applyBorder="1" applyAlignment="1">
      <alignment vertical="center"/>
    </xf>
    <xf numFmtId="0" fontId="13" fillId="5" borderId="8" xfId="0" applyNumberFormat="1" applyFont="1" applyFill="1" applyBorder="1" applyAlignment="1">
      <alignment vertical="center"/>
    </xf>
    <xf numFmtId="177" fontId="13" fillId="5" borderId="8" xfId="0" applyNumberFormat="1" applyFont="1" applyFill="1" applyBorder="1" applyAlignment="1">
      <alignment horizontal="center" vertical="center"/>
    </xf>
    <xf numFmtId="0" fontId="17" fillId="0" borderId="0" xfId="0" applyNumberFormat="1" applyFont="1" applyAlignment="1">
      <alignment vertical="center" wrapText="1"/>
    </xf>
    <xf numFmtId="0" fontId="17" fillId="0" borderId="0" xfId="0" applyNumberFormat="1" applyFont="1" applyAlignment="1">
      <alignment horizontal="center" vertical="center" wrapText="1"/>
    </xf>
    <xf numFmtId="0" fontId="18" fillId="0" borderId="1" xfId="0" applyNumberFormat="1" applyFont="1" applyBorder="1" applyAlignment="1">
      <alignment horizontal="center" vertical="center" wrapText="1"/>
    </xf>
    <xf numFmtId="0" fontId="18" fillId="0" borderId="1" xfId="0" applyNumberFormat="1" applyFont="1" applyBorder="1" applyAlignment="1">
      <alignment horizontal="center" vertical="center"/>
    </xf>
    <xf numFmtId="0" fontId="18" fillId="0" borderId="1" xfId="0" applyNumberFormat="1" applyFont="1" applyBorder="1" applyAlignment="1">
      <alignment horizontal="left" vertical="center" wrapText="1"/>
    </xf>
    <xf numFmtId="9" fontId="18" fillId="0" borderId="1" xfId="0" applyNumberFormat="1" applyFont="1" applyBorder="1" applyAlignment="1">
      <alignment horizontal="center" vertical="center" wrapText="1"/>
    </xf>
    <xf numFmtId="177" fontId="18" fillId="0" borderId="1" xfId="0" applyNumberFormat="1" applyFont="1" applyBorder="1" applyAlignment="1">
      <alignment horizontal="center" vertical="center"/>
    </xf>
    <xf numFmtId="0" fontId="13" fillId="0" borderId="0" xfId="0" applyNumberFormat="1" applyFont="1" applyAlignment="1">
      <alignment vertical="center"/>
    </xf>
    <xf numFmtId="0" fontId="18" fillId="0" borderId="2" xfId="0" applyNumberFormat="1" applyFont="1" applyBorder="1" applyAlignment="1">
      <alignment horizontal="center" vertical="center" wrapText="1"/>
    </xf>
    <xf numFmtId="0" fontId="19" fillId="0" borderId="2" xfId="0" applyNumberFormat="1" applyFont="1" applyBorder="1" applyAlignment="1">
      <alignment horizontal="center" vertical="center"/>
    </xf>
    <xf numFmtId="9" fontId="20" fillId="0" borderId="2" xfId="0" applyNumberFormat="1" applyFont="1" applyBorder="1" applyAlignment="1">
      <alignment horizontal="center" vertical="center" wrapText="1"/>
    </xf>
    <xf numFmtId="0" fontId="20" fillId="0" borderId="2" xfId="0" applyNumberFormat="1" applyFont="1" applyBorder="1" applyAlignment="1">
      <alignment horizontal="center" vertical="center" wrapText="1"/>
    </xf>
    <xf numFmtId="0" fontId="20" fillId="0" borderId="2" xfId="0" applyNumberFormat="1" applyFont="1" applyBorder="1" applyAlignment="1">
      <alignment horizontal="center" vertical="center"/>
    </xf>
    <xf numFmtId="0" fontId="20" fillId="0" borderId="1" xfId="0" applyNumberFormat="1" applyFont="1" applyBorder="1" applyAlignment="1">
      <alignment horizontal="center" vertical="center" wrapText="1"/>
    </xf>
    <xf numFmtId="0" fontId="20" fillId="0" borderId="1" xfId="0" applyNumberFormat="1" applyFont="1" applyBorder="1" applyAlignment="1">
      <alignment horizontal="left" vertical="center" wrapText="1"/>
    </xf>
    <xf numFmtId="0" fontId="20" fillId="2" borderId="1" xfId="0" applyNumberFormat="1" applyFont="1" applyFill="1" applyBorder="1" applyAlignment="1">
      <alignment horizontal="center" vertical="center" wrapText="1"/>
    </xf>
    <xf numFmtId="9" fontId="20" fillId="0" borderId="1" xfId="0" applyNumberFormat="1" applyFont="1" applyBorder="1" applyAlignment="1">
      <alignment horizontal="center" vertical="center" wrapText="1"/>
    </xf>
    <xf numFmtId="0" fontId="20" fillId="0" borderId="1" xfId="0" applyNumberFormat="1" applyFont="1" applyBorder="1" applyAlignment="1">
      <alignment horizontal="center" vertical="center"/>
    </xf>
    <xf numFmtId="177" fontId="20" fillId="6" borderId="1" xfId="0" applyNumberFormat="1" applyFont="1" applyFill="1" applyBorder="1" applyAlignment="1">
      <alignment horizontal="center" vertical="center"/>
    </xf>
    <xf numFmtId="0" fontId="18" fillId="0" borderId="3" xfId="0" applyNumberFormat="1" applyFont="1" applyBorder="1" applyAlignment="1">
      <alignment horizontal="center" vertical="center" wrapText="1"/>
    </xf>
    <xf numFmtId="0" fontId="19" fillId="0" borderId="3" xfId="0" applyNumberFormat="1" applyFont="1" applyBorder="1" applyAlignment="1">
      <alignment horizontal="center" vertical="center"/>
    </xf>
    <xf numFmtId="9" fontId="20" fillId="0" borderId="3" xfId="0" applyNumberFormat="1" applyFont="1" applyBorder="1" applyAlignment="1">
      <alignment horizontal="center" vertical="center" wrapText="1"/>
    </xf>
    <xf numFmtId="0" fontId="20" fillId="0" borderId="3" xfId="0" applyNumberFormat="1" applyFont="1" applyBorder="1" applyAlignment="1">
      <alignment horizontal="center" vertical="center" wrapText="1"/>
    </xf>
    <xf numFmtId="0" fontId="20" fillId="0" borderId="3" xfId="0" applyNumberFormat="1" applyFont="1" applyBorder="1" applyAlignment="1">
      <alignment horizontal="center" vertical="center"/>
    </xf>
    <xf numFmtId="0" fontId="20" fillId="0" borderId="4" xfId="0" applyNumberFormat="1" applyFont="1" applyBorder="1" applyAlignment="1">
      <alignment horizontal="center" vertical="center"/>
    </xf>
    <xf numFmtId="0" fontId="20" fillId="5" borderId="1" xfId="0" applyNumberFormat="1" applyFont="1" applyFill="1" applyBorder="1" applyAlignment="1">
      <alignment horizontal="center" vertical="center"/>
    </xf>
    <xf numFmtId="9" fontId="20" fillId="5" borderId="1" xfId="0" applyNumberFormat="1" applyFont="1" applyFill="1" applyBorder="1" applyAlignment="1">
      <alignment vertical="center"/>
    </xf>
    <xf numFmtId="0" fontId="20" fillId="5" borderId="1" xfId="0" applyNumberFormat="1" applyFont="1" applyFill="1" applyBorder="1" applyAlignment="1">
      <alignment vertical="center"/>
    </xf>
    <xf numFmtId="177" fontId="20" fillId="5" borderId="1" xfId="0" applyNumberFormat="1" applyFont="1" applyFill="1" applyBorder="1" applyAlignment="1">
      <alignment horizontal="center" vertical="center"/>
    </xf>
    <xf numFmtId="9" fontId="20" fillId="0" borderId="1" xfId="0" applyNumberFormat="1" applyFont="1" applyBorder="1" applyAlignment="1">
      <alignment horizontal="center" vertical="center"/>
    </xf>
    <xf numFmtId="177" fontId="20" fillId="0" borderId="1" xfId="0" applyNumberFormat="1" applyFont="1" applyBorder="1" applyAlignment="1">
      <alignment horizontal="center" vertical="center"/>
    </xf>
    <xf numFmtId="0" fontId="18" fillId="0" borderId="4" xfId="0" applyNumberFormat="1" applyFont="1" applyBorder="1" applyAlignment="1">
      <alignment horizontal="center" vertical="center" wrapText="1"/>
    </xf>
    <xf numFmtId="0" fontId="19" fillId="0" borderId="4" xfId="0" applyNumberFormat="1" applyFont="1" applyBorder="1" applyAlignment="1">
      <alignment horizontal="center" vertical="center"/>
    </xf>
    <xf numFmtId="9" fontId="20" fillId="0" borderId="4" xfId="0" applyNumberFormat="1" applyFont="1" applyBorder="1" applyAlignment="1">
      <alignment horizontal="center" vertical="center" wrapText="1"/>
    </xf>
    <xf numFmtId="0" fontId="20" fillId="0" borderId="4" xfId="0" applyNumberFormat="1" applyFont="1" applyBorder="1" applyAlignment="1">
      <alignment horizontal="center" vertical="center" wrapText="1"/>
    </xf>
    <xf numFmtId="0" fontId="19" fillId="0" borderId="1" xfId="0" applyNumberFormat="1" applyFont="1" applyBorder="1" applyAlignment="1">
      <alignment horizontal="center" vertical="center"/>
    </xf>
    <xf numFmtId="0" fontId="20" fillId="0" borderId="1" xfId="0" applyNumberFormat="1" applyFont="1" applyBorder="1" applyAlignment="1">
      <alignment vertical="center" wrapText="1"/>
    </xf>
    <xf numFmtId="176" fontId="2" fillId="0" borderId="9" xfId="0" applyFont="1" applyBorder="1" applyAlignment="1">
      <alignment horizontal="center" vertical="center" wrapText="1"/>
    </xf>
    <xf numFmtId="176" fontId="4" fillId="0" borderId="9" xfId="0" applyFont="1" applyBorder="1" applyAlignment="1">
      <alignment horizontal="left" vertical="center"/>
    </xf>
    <xf numFmtId="49" fontId="5" fillId="0" borderId="9" xfId="0" applyNumberFormat="1" applyFont="1" applyBorder="1" applyAlignment="1">
      <alignment horizontal="center" vertical="center" wrapText="1"/>
    </xf>
    <xf numFmtId="176" fontId="5" fillId="0" borderId="9" xfId="0" applyFont="1" applyBorder="1" applyAlignment="1">
      <alignment horizontal="center" vertical="center" wrapText="1"/>
    </xf>
    <xf numFmtId="176" fontId="5" fillId="0" borderId="9" xfId="0" applyFont="1" applyBorder="1" applyAlignment="1">
      <alignment horizontal="center" vertical="center"/>
    </xf>
    <xf numFmtId="0" fontId="5" fillId="0" borderId="2" xfId="0" applyNumberFormat="1" applyFont="1" applyBorder="1" applyAlignment="1">
      <alignment horizontal="left" vertical="center" wrapText="1"/>
    </xf>
    <xf numFmtId="0" fontId="5" fillId="0" borderId="21" xfId="0" applyNumberFormat="1" applyFont="1" applyBorder="1" applyAlignment="1">
      <alignment horizontal="center" vertical="center" wrapText="1"/>
    </xf>
    <xf numFmtId="176" fontId="5" fillId="0" borderId="8" xfId="0" applyFont="1" applyBorder="1" applyAlignment="1">
      <alignment horizontal="center" vertical="center" wrapText="1"/>
    </xf>
    <xf numFmtId="177" fontId="5" fillId="0" borderId="8" xfId="0" applyNumberFormat="1" applyFont="1" applyBorder="1" applyAlignment="1">
      <alignment horizontal="center" vertical="center"/>
    </xf>
    <xf numFmtId="176" fontId="2" fillId="0" borderId="8" xfId="0" applyFont="1" applyBorder="1" applyAlignment="1">
      <alignment horizontal="center" vertical="center" wrapText="1"/>
    </xf>
    <xf numFmtId="176" fontId="4" fillId="0" borderId="8" xfId="0" applyFont="1" applyBorder="1" applyAlignment="1">
      <alignment horizontal="left" vertical="center"/>
    </xf>
    <xf numFmtId="49" fontId="5" fillId="0" borderId="8" xfId="0" applyNumberFormat="1" applyFont="1" applyBorder="1" applyAlignment="1">
      <alignment horizontal="center" vertical="center" wrapText="1"/>
    </xf>
    <xf numFmtId="176" fontId="5" fillId="0" borderId="8" xfId="0" applyFont="1" applyBorder="1" applyAlignment="1">
      <alignment horizontal="center" vertical="center"/>
    </xf>
    <xf numFmtId="176" fontId="5" fillId="0" borderId="5" xfId="0" applyFont="1" applyBorder="1" applyAlignment="1">
      <alignment horizontal="center" vertical="center"/>
    </xf>
    <xf numFmtId="176" fontId="5" fillId="0" borderId="5" xfId="0" applyFont="1" applyBorder="1" applyAlignment="1">
      <alignment horizontal="center" vertical="center" wrapText="1"/>
    </xf>
    <xf numFmtId="0" fontId="5" fillId="0" borderId="1" xfId="0" applyNumberFormat="1" applyFont="1" applyBorder="1" applyAlignment="1">
      <alignment vertical="center" wrapText="1"/>
    </xf>
    <xf numFmtId="176" fontId="5" fillId="5" borderId="22" xfId="0" applyFont="1" applyFill="1" applyBorder="1" applyAlignment="1">
      <alignment horizontal="center" vertical="center"/>
    </xf>
    <xf numFmtId="176" fontId="5" fillId="5" borderId="15" xfId="0" applyFont="1" applyFill="1" applyBorder="1" applyAlignment="1">
      <alignment horizontal="center" vertical="center"/>
    </xf>
    <xf numFmtId="176" fontId="5" fillId="5" borderId="23" xfId="0" applyFont="1" applyFill="1" applyBorder="1" applyAlignment="1">
      <alignment horizontal="center" vertical="center"/>
    </xf>
    <xf numFmtId="176" fontId="5" fillId="5" borderId="5" xfId="0" applyFont="1" applyFill="1" applyBorder="1" applyAlignment="1">
      <alignment horizontal="center" vertical="center"/>
    </xf>
    <xf numFmtId="9" fontId="5" fillId="5" borderId="8" xfId="0" applyNumberFormat="1" applyFont="1" applyFill="1" applyBorder="1" applyAlignment="1">
      <alignment vertical="center"/>
    </xf>
    <xf numFmtId="176" fontId="5" fillId="5" borderId="8" xfId="0" applyFont="1" applyFill="1" applyBorder="1" applyAlignment="1">
      <alignment vertical="center"/>
    </xf>
    <xf numFmtId="177" fontId="5" fillId="5" borderId="8" xfId="0" applyNumberFormat="1" applyFont="1" applyFill="1" applyBorder="1" applyAlignment="1">
      <alignment horizontal="center" vertical="center"/>
    </xf>
    <xf numFmtId="176" fontId="5" fillId="0" borderId="24" xfId="0" applyFont="1" applyBorder="1" applyAlignment="1">
      <alignment horizontal="center" vertical="center"/>
    </xf>
    <xf numFmtId="176" fontId="4" fillId="0" borderId="9" xfId="0" applyFont="1" applyBorder="1" applyAlignment="1">
      <alignment horizontal="left" vertical="center" wrapText="1"/>
    </xf>
    <xf numFmtId="9" fontId="5" fillId="0" borderId="18" xfId="0" applyNumberFormat="1" applyFont="1" applyBorder="1" applyAlignment="1">
      <alignment horizontal="center" vertical="center"/>
    </xf>
    <xf numFmtId="176" fontId="5" fillId="0" borderId="16" xfId="0" applyFont="1" applyBorder="1" applyAlignment="1">
      <alignment horizontal="center" vertical="center"/>
    </xf>
    <xf numFmtId="176" fontId="4" fillId="0" borderId="8" xfId="0" applyFont="1" applyBorder="1" applyAlignment="1">
      <alignment vertical="center"/>
    </xf>
    <xf numFmtId="176" fontId="5" fillId="0" borderId="25" xfId="0" applyFont="1" applyBorder="1" applyAlignment="1">
      <alignment horizontal="left" vertical="center" wrapText="1"/>
    </xf>
    <xf numFmtId="176" fontId="5" fillId="0" borderId="18" xfId="0" applyFont="1" applyBorder="1" applyAlignment="1">
      <alignment horizontal="center" vertical="center" wrapText="1"/>
    </xf>
    <xf numFmtId="176" fontId="5" fillId="0" borderId="1" xfId="0" applyFont="1" applyBorder="1" applyAlignment="1">
      <alignment horizontal="left" vertical="center" wrapText="1"/>
    </xf>
    <xf numFmtId="176" fontId="5" fillId="0" borderId="26" xfId="0" applyFont="1" applyBorder="1" applyAlignment="1">
      <alignment vertical="center" wrapText="1"/>
    </xf>
    <xf numFmtId="176" fontId="5" fillId="5" borderId="8" xfId="0" applyFont="1" applyFill="1" applyBorder="1" applyAlignment="1">
      <alignment horizontal="center" vertical="center"/>
    </xf>
    <xf numFmtId="0" fontId="5" fillId="0" borderId="8" xfId="0" applyNumberFormat="1" applyFont="1" applyBorder="1" applyAlignment="1">
      <alignment vertical="center" wrapText="1"/>
    </xf>
    <xf numFmtId="9" fontId="5" fillId="0" borderId="8" xfId="0" applyNumberFormat="1" applyFont="1" applyBorder="1" applyAlignment="1">
      <alignment horizontal="center" vertical="center"/>
    </xf>
    <xf numFmtId="0" fontId="5" fillId="0" borderId="27"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26" xfId="0" applyNumberFormat="1" applyFont="1" applyBorder="1" applyAlignment="1">
      <alignment horizontal="left" vertical="center" wrapText="1"/>
    </xf>
    <xf numFmtId="0" fontId="5" fillId="0" borderId="8"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4" xfId="0" applyFont="1" applyBorder="1" applyAlignment="1">
      <alignment horizontal="left" vertical="center" wrapText="1"/>
    </xf>
    <xf numFmtId="176" fontId="5" fillId="5" borderId="13" xfId="0" applyFont="1" applyFill="1" applyBorder="1" applyAlignment="1">
      <alignment horizontal="center" vertical="center"/>
    </xf>
    <xf numFmtId="176" fontId="5" fillId="5" borderId="14" xfId="0" applyFont="1" applyFill="1" applyBorder="1" applyAlignment="1">
      <alignment horizontal="center" vertical="center"/>
    </xf>
    <xf numFmtId="176" fontId="5" fillId="5" borderId="1" xfId="0" applyFont="1" applyFill="1" applyBorder="1" applyAlignment="1">
      <alignment vertical="center"/>
    </xf>
    <xf numFmtId="0" fontId="5" fillId="0" borderId="1" xfId="0" applyNumberFormat="1" applyFont="1" applyBorder="1" applyAlignment="1">
      <alignmen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1" xfId="0" applyNumberFormat="1" applyFont="1" applyFill="1" applyBorder="1" applyAlignment="1">
      <alignment vertical="center" wrapText="1"/>
    </xf>
    <xf numFmtId="9" fontId="5" fillId="0" borderId="1" xfId="0" applyNumberFormat="1" applyFont="1" applyFill="1" applyBorder="1" applyAlignment="1" applyProtection="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top" wrapText="1"/>
    </xf>
    <xf numFmtId="0" fontId="5" fillId="0" borderId="3" xfId="0" applyNumberFormat="1" applyFont="1" applyFill="1" applyBorder="1" applyAlignment="1">
      <alignment horizontal="center" vertical="center"/>
    </xf>
    <xf numFmtId="0" fontId="4" fillId="5" borderId="1"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left" vertical="center" wrapText="1"/>
    </xf>
    <xf numFmtId="0" fontId="13" fillId="2" borderId="1" xfId="0" applyNumberFormat="1" applyFont="1" applyFill="1" applyBorder="1" applyAlignment="1">
      <alignment horizontal="center" vertical="center" wrapText="1"/>
    </xf>
    <xf numFmtId="9" fontId="13"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xf>
    <xf numFmtId="177" fontId="21" fillId="0" borderId="1" xfId="0" applyNumberFormat="1" applyFont="1" applyFill="1" applyBorder="1" applyAlignment="1">
      <alignment horizontal="center" vertical="center"/>
    </xf>
    <xf numFmtId="177" fontId="13" fillId="0"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1" fillId="0" borderId="0" xfId="0" applyNumberFormat="1" applyFont="1" applyFill="1" applyAlignment="1">
      <alignment vertical="center" wrapText="1"/>
    </xf>
    <xf numFmtId="0" fontId="17" fillId="0" borderId="0" xfId="0" applyNumberFormat="1" applyFont="1" applyFill="1" applyAlignment="1">
      <alignment vertical="center" wrapText="1"/>
    </xf>
    <xf numFmtId="0" fontId="17" fillId="0" borderId="0" xfId="0" applyNumberFormat="1" applyFont="1" applyFill="1" applyAlignment="1">
      <alignment horizontal="center" vertical="center" wrapText="1"/>
    </xf>
    <xf numFmtId="0"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xf>
    <xf numFmtId="0" fontId="18" fillId="0" borderId="1" xfId="0" applyNumberFormat="1" applyFont="1" applyFill="1" applyBorder="1" applyAlignment="1">
      <alignment horizontal="left" vertical="center" wrapText="1"/>
    </xf>
    <xf numFmtId="9" fontId="18" fillId="0" borderId="1" xfId="0" applyNumberFormat="1" applyFont="1" applyFill="1" applyBorder="1" applyAlignment="1">
      <alignment horizontal="center" vertical="center" wrapText="1"/>
    </xf>
    <xf numFmtId="177" fontId="18" fillId="0" borderId="1" xfId="0" applyNumberFormat="1" applyFont="1" applyFill="1" applyBorder="1" applyAlignment="1">
      <alignment horizontal="center" vertical="center"/>
    </xf>
    <xf numFmtId="0" fontId="13" fillId="0" borderId="0" xfId="0" applyNumberFormat="1" applyFont="1" applyFill="1" applyAlignment="1">
      <alignment vertical="center"/>
    </xf>
    <xf numFmtId="0" fontId="19" fillId="0" borderId="1" xfId="0" applyNumberFormat="1" applyFont="1" applyFill="1" applyBorder="1" applyAlignment="1">
      <alignment horizontal="center" vertical="center"/>
    </xf>
    <xf numFmtId="9" fontId="20" fillId="0" borderId="1"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xf>
    <xf numFmtId="0" fontId="20" fillId="0" borderId="2" xfId="0" applyNumberFormat="1" applyFont="1" applyFill="1" applyBorder="1" applyAlignment="1">
      <alignment horizontal="center" vertical="center" wrapText="1"/>
    </xf>
    <xf numFmtId="0" fontId="20" fillId="2" borderId="2" xfId="0" applyNumberFormat="1" applyFont="1" applyFill="1" applyBorder="1" applyAlignment="1">
      <alignment horizontal="left" vertical="center" wrapText="1"/>
    </xf>
    <xf numFmtId="0" fontId="20" fillId="2" borderId="1" xfId="0" applyNumberFormat="1" applyFont="1" applyFill="1" applyBorder="1" applyAlignment="1">
      <alignment horizontal="left" vertical="center" wrapText="1"/>
    </xf>
    <xf numFmtId="0" fontId="20" fillId="0" borderId="1" xfId="0" applyNumberFormat="1" applyFont="1" applyFill="1" applyBorder="1" applyAlignment="1">
      <alignment horizontal="left" vertical="center" wrapText="1"/>
    </xf>
    <xf numFmtId="0" fontId="19" fillId="0" borderId="1" xfId="0" applyNumberFormat="1" applyFont="1" applyFill="1" applyBorder="1" applyAlignment="1">
      <alignment horizontal="left" vertical="center" wrapText="1"/>
    </xf>
    <xf numFmtId="9" fontId="20" fillId="0" borderId="1" xfId="0" applyNumberFormat="1" applyFont="1" applyFill="1" applyBorder="1" applyAlignment="1">
      <alignment horizontal="center" vertical="center"/>
    </xf>
    <xf numFmtId="177" fontId="20" fillId="0" borderId="1" xfId="0" applyNumberFormat="1" applyFont="1" applyFill="1" applyBorder="1" applyAlignment="1">
      <alignment horizontal="center" vertical="center"/>
    </xf>
    <xf numFmtId="0" fontId="20" fillId="0" borderId="2" xfId="0" applyNumberFormat="1" applyFont="1" applyFill="1" applyBorder="1" applyAlignment="1">
      <alignment horizontal="left" vertical="center" wrapText="1"/>
    </xf>
    <xf numFmtId="0" fontId="20" fillId="0" borderId="3" xfId="0" applyNumberFormat="1" applyFont="1" applyFill="1" applyBorder="1" applyAlignment="1">
      <alignment horizontal="center" vertical="center" wrapText="1"/>
    </xf>
    <xf numFmtId="0" fontId="20" fillId="2" borderId="1" xfId="0" applyNumberFormat="1" applyFont="1" applyFill="1" applyBorder="1" applyAlignment="1">
      <alignment horizontal="center" vertical="center"/>
    </xf>
    <xf numFmtId="9" fontId="20" fillId="2" borderId="1" xfId="0" applyNumberFormat="1" applyFont="1" applyFill="1" applyBorder="1" applyAlignment="1">
      <alignment horizontal="center" vertical="center"/>
    </xf>
    <xf numFmtId="0" fontId="20" fillId="2" borderId="1" xfId="0" applyNumberFormat="1" applyFont="1" applyFill="1" applyBorder="1" applyAlignment="1">
      <alignment vertical="center"/>
    </xf>
    <xf numFmtId="177" fontId="20" fillId="2" borderId="1"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xf>
    <xf numFmtId="9" fontId="13" fillId="0" borderId="2" xfId="0" applyNumberFormat="1"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3" fillId="0" borderId="2" xfId="0" applyNumberFormat="1" applyFont="1" applyFill="1" applyBorder="1" applyAlignment="1">
      <alignment horizontal="center" vertical="center"/>
    </xf>
    <xf numFmtId="0" fontId="12" fillId="0" borderId="3"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xf>
    <xf numFmtId="9" fontId="13" fillId="0" borderId="3" xfId="0" applyNumberFormat="1" applyFont="1" applyFill="1" applyBorder="1" applyAlignment="1">
      <alignment horizontal="center" vertical="center" wrapText="1"/>
    </xf>
    <xf numFmtId="0" fontId="13" fillId="0" borderId="3" xfId="0" applyNumberFormat="1" applyFont="1" applyFill="1" applyBorder="1" applyAlignment="1">
      <alignment horizontal="center" vertical="center" wrapText="1"/>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2" fillId="0" borderId="4" xfId="0" applyNumberFormat="1" applyFont="1" applyFill="1" applyBorder="1" applyAlignment="1">
      <alignment horizontal="center" vertical="center" wrapText="1"/>
    </xf>
    <xf numFmtId="0" fontId="14" fillId="0" borderId="4" xfId="0" applyNumberFormat="1" applyFont="1" applyFill="1" applyBorder="1" applyAlignment="1">
      <alignment horizontal="center" vertical="center"/>
    </xf>
    <xf numFmtId="9" fontId="13" fillId="0" borderId="4" xfId="0" applyNumberFormat="1" applyFont="1" applyFill="1" applyBorder="1" applyAlignment="1">
      <alignment horizontal="center" vertical="center" wrapText="1"/>
    </xf>
    <xf numFmtId="0" fontId="13" fillId="0" borderId="4" xfId="0" applyNumberFormat="1" applyFont="1" applyFill="1" applyBorder="1" applyAlignment="1">
      <alignment horizontal="center" vertical="center" wrapText="1"/>
    </xf>
    <xf numFmtId="0" fontId="13" fillId="5" borderId="1" xfId="0" applyNumberFormat="1" applyFont="1" applyFill="1" applyBorder="1" applyAlignment="1">
      <alignment horizontal="center" vertical="center"/>
    </xf>
    <xf numFmtId="9" fontId="13" fillId="5" borderId="1" xfId="0" applyNumberFormat="1" applyFont="1" applyFill="1" applyBorder="1" applyAlignment="1">
      <alignment vertical="center"/>
    </xf>
    <xf numFmtId="0" fontId="13" fillId="5" borderId="1" xfId="0" applyNumberFormat="1" applyFont="1" applyFill="1" applyBorder="1" applyAlignment="1">
      <alignment vertical="center"/>
    </xf>
    <xf numFmtId="177" fontId="13" fillId="5" borderId="1" xfId="0" applyNumberFormat="1" applyFont="1" applyFill="1" applyBorder="1" applyAlignment="1">
      <alignment horizontal="center" vertical="center"/>
    </xf>
    <xf numFmtId="0" fontId="0" fillId="0" borderId="0" xfId="0" applyNumberFormat="1"/>
    <xf numFmtId="9" fontId="0" fillId="0" borderId="0" xfId="0" applyNumberFormat="1"/>
    <xf numFmtId="179" fontId="0" fillId="0" borderId="0" xfId="0" applyNumberFormat="1"/>
    <xf numFmtId="49" fontId="0" fillId="0" borderId="0" xfId="0" applyNumberFormat="1"/>
    <xf numFmtId="176" fontId="0" fillId="0" borderId="0" xfId="0" applyAlignment="1">
      <alignment wrapText="1"/>
    </xf>
    <xf numFmtId="176" fontId="22" fillId="7" borderId="1" xfId="0" applyFont="1" applyFill="1" applyBorder="1" applyAlignment="1">
      <alignment horizontal="center" vertical="center"/>
    </xf>
    <xf numFmtId="179" fontId="22" fillId="7" borderId="1" xfId="0" applyNumberFormat="1" applyFont="1" applyFill="1" applyBorder="1" applyAlignment="1">
      <alignment horizontal="center" vertical="center"/>
    </xf>
    <xf numFmtId="0" fontId="23" fillId="7" borderId="1" xfId="0" applyNumberFormat="1" applyFont="1" applyFill="1" applyBorder="1" applyAlignment="1">
      <alignment horizontal="center" vertical="center"/>
    </xf>
    <xf numFmtId="176" fontId="23" fillId="7" borderId="1" xfId="0" applyFont="1" applyFill="1" applyBorder="1" applyAlignment="1">
      <alignment horizontal="center" vertical="center"/>
    </xf>
    <xf numFmtId="9" fontId="23" fillId="7" borderId="1" xfId="0" applyNumberFormat="1" applyFont="1" applyFill="1" applyBorder="1" applyAlignment="1">
      <alignment horizontal="center" vertical="center"/>
    </xf>
    <xf numFmtId="0" fontId="23" fillId="7" borderId="1" xfId="0" applyNumberFormat="1" applyFont="1" applyFill="1" applyBorder="1" applyAlignment="1">
      <alignment horizontal="center" vertical="center" wrapText="1"/>
    </xf>
    <xf numFmtId="179" fontId="23" fillId="7" borderId="1" xfId="0" applyNumberFormat="1" applyFont="1" applyFill="1" applyBorder="1" applyAlignment="1">
      <alignment horizontal="center" vertical="center"/>
    </xf>
    <xf numFmtId="179" fontId="23" fillId="7" borderId="1" xfId="0" applyNumberFormat="1" applyFont="1" applyFill="1" applyBorder="1" applyAlignment="1">
      <alignment horizontal="center" vertical="center" wrapText="1"/>
    </xf>
    <xf numFmtId="49" fontId="23" fillId="7" borderId="1" xfId="0" applyNumberFormat="1" applyFont="1" applyFill="1" applyBorder="1" applyAlignment="1">
      <alignment horizontal="center" vertical="center" wrapText="1"/>
    </xf>
    <xf numFmtId="176" fontId="23" fillId="7" borderId="1" xfId="0" applyFont="1" applyFill="1" applyBorder="1" applyAlignment="1">
      <alignment horizontal="center" vertical="center" wrapText="1"/>
    </xf>
    <xf numFmtId="0" fontId="24" fillId="0" borderId="1" xfId="0" applyNumberFormat="1" applyFont="1" applyBorder="1" applyAlignment="1">
      <alignment horizontal="center" vertical="center"/>
    </xf>
    <xf numFmtId="176" fontId="24" fillId="0" borderId="2" xfId="0" applyFont="1" applyBorder="1" applyAlignment="1">
      <alignment horizontal="center" vertical="center" wrapText="1"/>
    </xf>
    <xf numFmtId="176" fontId="24" fillId="0" borderId="1" xfId="0" applyFont="1" applyBorder="1" applyAlignment="1">
      <alignment horizontal="center" vertical="center" wrapText="1"/>
    </xf>
    <xf numFmtId="176" fontId="24" fillId="0" borderId="1" xfId="0" applyFont="1" applyBorder="1" applyAlignment="1">
      <alignment vertical="center"/>
    </xf>
    <xf numFmtId="176" fontId="24" fillId="0" borderId="1" xfId="0" applyFont="1" applyBorder="1" applyAlignment="1">
      <alignment horizontal="center" vertical="center"/>
    </xf>
    <xf numFmtId="9" fontId="24" fillId="0" borderId="1" xfId="0" applyNumberFormat="1" applyFont="1" applyBorder="1" applyAlignment="1">
      <alignment horizontal="center" vertical="center"/>
    </xf>
    <xf numFmtId="179" fontId="24" fillId="0" borderId="1" xfId="0" applyNumberFormat="1" applyFont="1" applyBorder="1" applyAlignment="1">
      <alignment horizontal="center" vertical="center"/>
    </xf>
    <xf numFmtId="0" fontId="24" fillId="0" borderId="1"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wrapText="1"/>
    </xf>
    <xf numFmtId="176" fontId="24" fillId="0" borderId="1" xfId="0" applyFont="1" applyBorder="1" applyAlignment="1">
      <alignment vertical="center" wrapText="1"/>
    </xf>
    <xf numFmtId="176" fontId="24" fillId="0" borderId="3" xfId="0" applyFont="1" applyBorder="1" applyAlignment="1">
      <alignment horizontal="center" vertical="center"/>
    </xf>
    <xf numFmtId="9" fontId="24" fillId="0" borderId="1" xfId="0" applyNumberFormat="1" applyFont="1" applyFill="1" applyBorder="1" applyAlignment="1" applyProtection="1">
      <alignment horizontal="center" vertical="center"/>
    </xf>
    <xf numFmtId="0" fontId="24" fillId="0" borderId="1" xfId="0" applyNumberFormat="1" applyFont="1" applyBorder="1" applyAlignment="1">
      <alignment horizontal="center" vertical="center" wrapText="1"/>
    </xf>
    <xf numFmtId="176" fontId="24" fillId="0" borderId="1" xfId="0" applyFont="1" applyFill="1" applyBorder="1" applyAlignment="1">
      <alignment horizontal="center" vertical="center" wrapText="1"/>
    </xf>
    <xf numFmtId="179" fontId="24" fillId="0" borderId="2" xfId="0" applyNumberFormat="1" applyFont="1" applyBorder="1" applyAlignment="1">
      <alignment horizontal="center" vertical="center" wrapText="1"/>
    </xf>
    <xf numFmtId="179" fontId="24" fillId="0" borderId="2" xfId="0" applyNumberFormat="1" applyFont="1" applyBorder="1" applyAlignment="1">
      <alignment horizontal="center" vertical="center" wrapText="1"/>
    </xf>
    <xf numFmtId="179" fontId="24" fillId="0" borderId="4" xfId="0" applyNumberFormat="1" applyFont="1" applyBorder="1" applyAlignment="1">
      <alignment horizontal="center" vertical="center" wrapText="1"/>
    </xf>
    <xf numFmtId="179" fontId="24" fillId="0" borderId="4" xfId="0" applyNumberFormat="1" applyFont="1" applyBorder="1" applyAlignment="1">
      <alignment horizontal="center" vertical="center" wrapText="1"/>
    </xf>
    <xf numFmtId="176" fontId="24" fillId="0" borderId="1" xfId="0" applyFont="1" applyFill="1" applyBorder="1" applyAlignment="1">
      <alignment horizontal="center" vertical="center"/>
    </xf>
    <xf numFmtId="176" fontId="24" fillId="8" borderId="1" xfId="0" applyFont="1" applyFill="1" applyBorder="1" applyAlignment="1">
      <alignment horizontal="center" vertical="center"/>
    </xf>
    <xf numFmtId="9" fontId="24" fillId="0" borderId="1" xfId="0" applyNumberFormat="1" applyFont="1" applyFill="1" applyBorder="1" applyAlignment="1">
      <alignment horizontal="center" vertical="center"/>
    </xf>
    <xf numFmtId="179" fontId="24" fillId="8" borderId="1" xfId="0" applyNumberFormat="1" applyFont="1" applyFill="1" applyBorder="1" applyAlignment="1">
      <alignment horizontal="center" vertical="center"/>
    </xf>
    <xf numFmtId="176" fontId="24" fillId="8" borderId="1" xfId="0" applyFont="1" applyFill="1" applyBorder="1" applyAlignment="1">
      <alignment horizontal="center" vertical="center" wrapText="1"/>
    </xf>
    <xf numFmtId="176" fontId="24" fillId="0" borderId="1" xfId="0" applyFont="1" applyFill="1" applyBorder="1" applyAlignment="1">
      <alignment vertical="center"/>
    </xf>
    <xf numFmtId="179" fontId="24" fillId="0" borderId="1" xfId="0" applyNumberFormat="1" applyFont="1" applyFill="1" applyBorder="1" applyAlignment="1">
      <alignment horizontal="center" vertical="center"/>
    </xf>
    <xf numFmtId="0" fontId="25" fillId="0" borderId="1" xfId="0" applyNumberFormat="1" applyFont="1" applyFill="1" applyBorder="1" applyAlignment="1">
      <alignment horizontal="center" vertical="center"/>
    </xf>
    <xf numFmtId="176" fontId="24" fillId="0" borderId="3" xfId="0" applyFont="1" applyBorder="1" applyAlignment="1">
      <alignment horizontal="center" vertical="center" wrapText="1"/>
    </xf>
    <xf numFmtId="179" fontId="24" fillId="0" borderId="1" xfId="0" applyNumberFormat="1" applyFont="1" applyFill="1" applyBorder="1" applyAlignment="1">
      <alignment horizontal="center" vertical="center" wrapText="1"/>
    </xf>
    <xf numFmtId="49" fontId="25" fillId="0" borderId="1" xfId="0" applyNumberFormat="1" applyFont="1" applyFill="1" applyBorder="1" applyAlignment="1">
      <alignment horizontal="center" vertical="center" wrapText="1"/>
    </xf>
    <xf numFmtId="0" fontId="24" fillId="0" borderId="2" xfId="0" applyNumberFormat="1" applyFont="1" applyBorder="1" applyAlignment="1">
      <alignment horizontal="center" vertical="center" wrapText="1"/>
    </xf>
    <xf numFmtId="179" fontId="24" fillId="0" borderId="1" xfId="0" applyNumberFormat="1" applyFont="1" applyBorder="1" applyAlignment="1">
      <alignment vertical="center" wrapText="1"/>
    </xf>
    <xf numFmtId="0" fontId="24" fillId="0" borderId="4" xfId="0" applyNumberFormat="1" applyFont="1" applyBorder="1" applyAlignment="1">
      <alignment horizontal="center" vertical="center" wrapText="1"/>
    </xf>
    <xf numFmtId="49" fontId="24" fillId="0" borderId="1" xfId="0" applyNumberFormat="1" applyFont="1" applyFill="1" applyBorder="1" applyAlignment="1">
      <alignment horizontal="center" vertical="center" wrapText="1"/>
    </xf>
    <xf numFmtId="176" fontId="25" fillId="8" borderId="1" xfId="0" applyFont="1" applyFill="1" applyBorder="1" applyAlignment="1">
      <alignment horizontal="center" vertical="center"/>
    </xf>
    <xf numFmtId="179" fontId="24" fillId="0" borderId="1" xfId="0" applyNumberFormat="1" applyFont="1" applyBorder="1" applyAlignment="1">
      <alignment horizontal="center" vertical="center" wrapText="1"/>
    </xf>
    <xf numFmtId="0" fontId="24" fillId="0" borderId="28" xfId="0" applyNumberFormat="1" applyFont="1" applyBorder="1" applyAlignment="1">
      <alignment horizontal="center" vertical="center"/>
    </xf>
    <xf numFmtId="176" fontId="24" fillId="0" borderId="29" xfId="0" applyFont="1" applyBorder="1" applyAlignment="1">
      <alignment horizontal="center" vertical="center"/>
    </xf>
    <xf numFmtId="176" fontId="24" fillId="0" borderId="28" xfId="0" applyFont="1" applyBorder="1" applyAlignment="1">
      <alignment horizontal="center" vertical="center"/>
    </xf>
    <xf numFmtId="176" fontId="24" fillId="7" borderId="28" xfId="0" applyFont="1" applyFill="1" applyBorder="1" applyAlignment="1">
      <alignment horizontal="center" vertical="center"/>
    </xf>
    <xf numFmtId="0" fontId="24" fillId="7" borderId="28" xfId="0" applyNumberFormat="1" applyFont="1" applyFill="1" applyBorder="1" applyAlignment="1">
      <alignment horizontal="center" vertical="center"/>
    </xf>
    <xf numFmtId="179" fontId="24" fillId="7" borderId="28" xfId="0" applyNumberFormat="1" applyFont="1" applyFill="1" applyBorder="1" applyAlignment="1">
      <alignment horizontal="center" vertical="center"/>
    </xf>
    <xf numFmtId="0" fontId="25" fillId="7" borderId="28" xfId="0" applyNumberFormat="1" applyFont="1" applyFill="1" applyBorder="1" applyAlignment="1">
      <alignment horizontal="center" vertical="center"/>
    </xf>
    <xf numFmtId="176" fontId="24" fillId="7" borderId="28" xfId="0" applyFont="1" applyFill="1" applyBorder="1" applyAlignment="1">
      <alignment horizontal="center" vertical="center" wrapText="1"/>
    </xf>
    <xf numFmtId="9" fontId="24" fillId="7" borderId="28" xfId="0" applyNumberFormat="1" applyFont="1" applyFill="1" applyBorder="1" applyAlignment="1">
      <alignment horizontal="center" vertical="center"/>
    </xf>
    <xf numFmtId="176" fontId="24" fillId="0" borderId="28" xfId="0" applyFont="1" applyBorder="1" applyAlignment="1">
      <alignment horizontal="center" vertical="center" wrapText="1"/>
    </xf>
    <xf numFmtId="0" fontId="24" fillId="0" borderId="4" xfId="0" applyNumberFormat="1" applyFont="1" applyBorder="1" applyAlignment="1">
      <alignment horizontal="center" vertical="center"/>
    </xf>
    <xf numFmtId="0" fontId="24" fillId="0" borderId="4" xfId="0" applyNumberFormat="1" applyFont="1" applyFill="1" applyBorder="1" applyAlignment="1">
      <alignment horizontal="center" vertical="center"/>
    </xf>
    <xf numFmtId="176" fontId="24" fillId="0" borderId="4" xfId="0" applyFont="1" applyFill="1" applyBorder="1" applyAlignment="1">
      <alignment vertical="center"/>
    </xf>
    <xf numFmtId="176" fontId="24" fillId="0" borderId="4" xfId="0" applyFont="1" applyFill="1" applyBorder="1" applyAlignment="1">
      <alignment horizontal="center" vertical="center"/>
    </xf>
    <xf numFmtId="9" fontId="24" fillId="0" borderId="4" xfId="0" applyNumberFormat="1" applyFont="1" applyFill="1" applyBorder="1" applyAlignment="1">
      <alignment horizontal="center" vertical="center"/>
    </xf>
    <xf numFmtId="0" fontId="24" fillId="0" borderId="4" xfId="0" applyNumberFormat="1" applyFont="1" applyFill="1" applyBorder="1" applyAlignment="1">
      <alignment horizontal="center" vertical="center" wrapText="1"/>
    </xf>
    <xf numFmtId="179" fontId="24" fillId="0" borderId="4" xfId="0" applyNumberFormat="1" applyFont="1" applyFill="1" applyBorder="1" applyAlignment="1">
      <alignment horizontal="center" vertical="center"/>
    </xf>
    <xf numFmtId="0" fontId="25" fillId="0" borderId="4" xfId="0" applyNumberFormat="1" applyFont="1" applyFill="1" applyBorder="1" applyAlignment="1">
      <alignment horizontal="center" vertical="center"/>
    </xf>
    <xf numFmtId="176" fontId="26" fillId="0" borderId="4" xfId="0" applyFont="1" applyFill="1" applyBorder="1" applyAlignment="1">
      <alignment vertical="center" wrapText="1"/>
    </xf>
    <xf numFmtId="0" fontId="24" fillId="0" borderId="2" xfId="0" applyNumberFormat="1" applyFont="1" applyFill="1" applyBorder="1" applyAlignment="1">
      <alignment horizontal="center" vertical="center"/>
    </xf>
    <xf numFmtId="0" fontId="24" fillId="0" borderId="2" xfId="0" applyNumberFormat="1" applyFont="1" applyBorder="1" applyAlignment="1">
      <alignment horizontal="center" vertical="center"/>
    </xf>
    <xf numFmtId="176" fontId="24" fillId="0" borderId="2" xfId="0" applyFont="1" applyBorder="1" applyAlignment="1">
      <alignment vertical="center"/>
    </xf>
    <xf numFmtId="176" fontId="24" fillId="0" borderId="2" xfId="0" applyFont="1" applyBorder="1" applyAlignment="1">
      <alignment horizontal="center" vertical="center"/>
    </xf>
    <xf numFmtId="9" fontId="24" fillId="0" borderId="2" xfId="0" applyNumberFormat="1" applyFont="1" applyBorder="1" applyAlignment="1">
      <alignment horizontal="center" vertical="center"/>
    </xf>
    <xf numFmtId="176" fontId="24" fillId="0" borderId="2" xfId="0" applyFont="1" applyBorder="1" applyAlignment="1">
      <alignment vertical="center" wrapText="1"/>
    </xf>
    <xf numFmtId="176" fontId="24" fillId="0" borderId="2" xfId="0" applyFont="1" applyFill="1" applyBorder="1" applyAlignment="1">
      <alignment horizontal="center" vertical="center"/>
    </xf>
    <xf numFmtId="176" fontId="24" fillId="0" borderId="29" xfId="0" applyFont="1" applyBorder="1" applyAlignment="1">
      <alignment horizontal="center" vertical="center" wrapText="1"/>
    </xf>
    <xf numFmtId="176" fontId="24" fillId="0" borderId="4" xfId="0" applyFont="1" applyBorder="1" applyAlignment="1">
      <alignment horizontal="center" vertical="center" wrapText="1"/>
    </xf>
    <xf numFmtId="176" fontId="24" fillId="0" borderId="4" xfId="0" applyFont="1" applyBorder="1" applyAlignment="1">
      <alignment vertical="center"/>
    </xf>
    <xf numFmtId="176" fontId="24" fillId="0" borderId="4" xfId="0" applyFont="1" applyFill="1" applyBorder="1" applyAlignment="1">
      <alignment horizontal="center" vertical="center" wrapText="1"/>
    </xf>
    <xf numFmtId="176" fontId="24" fillId="5" borderId="4" xfId="0" applyFont="1" applyFill="1" applyBorder="1" applyAlignment="1">
      <alignment horizontal="center" vertical="center"/>
    </xf>
    <xf numFmtId="179" fontId="24" fillId="8" borderId="4" xfId="0" applyNumberFormat="1" applyFont="1" applyFill="1" applyBorder="1" applyAlignment="1">
      <alignment horizontal="center" vertical="center"/>
    </xf>
    <xf numFmtId="176" fontId="24" fillId="0" borderId="4" xfId="0" applyFont="1" applyFill="1" applyBorder="1" applyAlignment="1">
      <alignment vertical="center" wrapText="1"/>
    </xf>
    <xf numFmtId="176" fontId="26" fillId="0" borderId="1" xfId="0" applyFont="1" applyFill="1" applyBorder="1" applyAlignment="1">
      <alignment vertical="center" wrapText="1"/>
    </xf>
    <xf numFmtId="179" fontId="24" fillId="0" borderId="1" xfId="0" applyNumberFormat="1" applyFont="1" applyBorder="1" applyAlignment="1">
      <alignment vertical="center"/>
    </xf>
    <xf numFmtId="0" fontId="24" fillId="0" borderId="13" xfId="0" applyNumberFormat="1" applyFont="1" applyFill="1" applyBorder="1" applyAlignment="1">
      <alignment horizontal="center" vertical="center"/>
    </xf>
    <xf numFmtId="0" fontId="24" fillId="0" borderId="14" xfId="0" applyNumberFormat="1" applyFont="1" applyFill="1" applyBorder="1" applyAlignment="1">
      <alignment horizontal="center" vertical="center"/>
    </xf>
    <xf numFmtId="176" fontId="24" fillId="0" borderId="4" xfId="0" applyFont="1" applyBorder="1" applyAlignment="1">
      <alignment horizontal="center" vertical="center"/>
    </xf>
    <xf numFmtId="9" fontId="24" fillId="0" borderId="4" xfId="0" applyNumberFormat="1" applyFont="1" applyBorder="1" applyAlignment="1">
      <alignment horizontal="center" vertical="center"/>
    </xf>
    <xf numFmtId="179" fontId="24" fillId="0" borderId="4" xfId="0" applyNumberFormat="1" applyFont="1" applyBorder="1" applyAlignment="1">
      <alignment horizontal="center" vertical="center"/>
    </xf>
    <xf numFmtId="49" fontId="24" fillId="0" borderId="4" xfId="0" applyNumberFormat="1" applyFont="1" applyFill="1" applyBorder="1" applyAlignment="1">
      <alignment horizontal="center" vertical="center" wrapText="1"/>
    </xf>
    <xf numFmtId="176" fontId="24" fillId="0" borderId="4" xfId="0" applyFont="1" applyBorder="1" applyAlignment="1">
      <alignment vertical="center" wrapText="1"/>
    </xf>
    <xf numFmtId="0" fontId="24" fillId="0" borderId="3" xfId="0" applyNumberFormat="1" applyFont="1" applyBorder="1" applyAlignment="1">
      <alignment horizontal="center" vertical="center"/>
    </xf>
    <xf numFmtId="176" fontId="24" fillId="0" borderId="3" xfId="0" applyFont="1" applyBorder="1" applyAlignment="1">
      <alignment vertical="center" wrapText="1"/>
    </xf>
    <xf numFmtId="176" fontId="24" fillId="0" borderId="3" xfId="0" applyFont="1" applyBorder="1" applyAlignment="1">
      <alignment vertical="center"/>
    </xf>
    <xf numFmtId="0" fontId="24" fillId="0" borderId="0" xfId="0" applyNumberFormat="1" applyFont="1" applyAlignment="1">
      <alignment horizontal="center" vertical="center"/>
    </xf>
    <xf numFmtId="176" fontId="24" fillId="0" borderId="0" xfId="0" applyFont="1" applyAlignment="1">
      <alignment horizontal="center" vertical="center"/>
    </xf>
    <xf numFmtId="176" fontId="24" fillId="0" borderId="0" xfId="0" applyFont="1" applyAlignment="1">
      <alignment vertical="center"/>
    </xf>
    <xf numFmtId="0" fontId="24"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xwechat_files\wxid_dpubp73711ka12_dee1\msg\file\2026-05\2026.5.16-2026.5.22&#39033;&#30446;&#21608;&#25253;&#27719;&#246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5.18-2026.5.22&#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6.5.18-2026.5.22&#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5.18-2026.5.22&#39033;&#30446;&#21608;&#25253;&#27719;&#24635;-&#20132;&#20184;-JD&#3245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55"/>
  <sheetViews>
    <sheetView tabSelected="1" zoomScale="70" zoomScaleNormal="70" workbookViewId="0">
      <pane xSplit="5" ySplit="2" topLeftCell="F24" activePane="bottomRight" state="frozen"/>
      <selection/>
      <selection pane="topRight"/>
      <selection pane="bottomLeft"/>
      <selection pane="bottomRight" activeCell="M44" sqref="M44"/>
    </sheetView>
  </sheetViews>
  <sheetFormatPr defaultColWidth="9" defaultRowHeight="13.8"/>
  <cols>
    <col min="1" max="1" width="7.11111111111111" style="361" customWidth="1"/>
    <col min="2" max="2" width="15.4444444444444" customWidth="1"/>
    <col min="3" max="3" width="14.4444444444444" customWidth="1"/>
    <col min="4" max="4" width="21.8888888888889" style="361"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362" customWidth="1"/>
    <col min="11" max="11" width="13.0277777777778" style="361" customWidth="1"/>
    <col min="12" max="12" width="25.5555555555556" style="363" customWidth="1"/>
    <col min="13" max="13" width="20.6296296296296" style="363" customWidth="1"/>
    <col min="14" max="14" width="19.7777777777778" style="361" customWidth="1"/>
    <col min="15" max="15" width="20.1574074074074" style="361" customWidth="1"/>
    <col min="16" max="16" width="21.2685185185185" style="364" customWidth="1"/>
    <col min="17" max="17" width="19.2037037037037" customWidth="1"/>
    <col min="18" max="18" width="16.3518518518519" customWidth="1"/>
    <col min="19" max="19" width="91.5740740740741" customWidth="1"/>
    <col min="20" max="20" width="39.6759259259259" style="365" customWidth="1"/>
  </cols>
  <sheetData>
    <row r="1" ht="37.5" customHeight="1" spans="1:20">
      <c r="A1" s="366" t="s">
        <v>0</v>
      </c>
      <c r="B1" s="366"/>
      <c r="C1" s="366"/>
      <c r="D1" s="366"/>
      <c r="E1" s="366"/>
      <c r="F1" s="366"/>
      <c r="G1" s="366"/>
      <c r="H1" s="366"/>
      <c r="I1" s="366"/>
      <c r="J1" s="366"/>
      <c r="K1" s="366"/>
      <c r="L1" s="367"/>
      <c r="M1" s="367"/>
      <c r="N1" s="366"/>
      <c r="O1" s="366"/>
      <c r="P1" s="366"/>
      <c r="Q1" s="366"/>
      <c r="R1" s="366"/>
      <c r="S1" s="366"/>
    </row>
    <row r="2" ht="46" customHeight="1" spans="1:20">
      <c r="A2" s="368" t="s">
        <v>1</v>
      </c>
      <c r="B2" s="369" t="s">
        <v>2</v>
      </c>
      <c r="C2" s="369" t="s">
        <v>3</v>
      </c>
      <c r="D2" s="368" t="s">
        <v>4</v>
      </c>
      <c r="E2" s="369" t="s">
        <v>5</v>
      </c>
      <c r="F2" s="369" t="s">
        <v>6</v>
      </c>
      <c r="G2" s="369" t="s">
        <v>7</v>
      </c>
      <c r="H2" s="369" t="s">
        <v>8</v>
      </c>
      <c r="I2" s="369" t="s">
        <v>9</v>
      </c>
      <c r="J2" s="370" t="s">
        <v>10</v>
      </c>
      <c r="K2" s="371" t="s">
        <v>11</v>
      </c>
      <c r="L2" s="372" t="s">
        <v>12</v>
      </c>
      <c r="M2" s="373" t="s">
        <v>13</v>
      </c>
      <c r="N2" s="368" t="s">
        <v>14</v>
      </c>
      <c r="O2" s="368" t="s">
        <v>15</v>
      </c>
      <c r="P2" s="374" t="s">
        <v>16</v>
      </c>
      <c r="Q2" s="375" t="s">
        <v>17</v>
      </c>
      <c r="R2" s="369" t="s">
        <v>18</v>
      </c>
      <c r="S2" s="369" t="s">
        <v>19</v>
      </c>
    </row>
    <row r="3" ht="35" customHeight="1" spans="1:20">
      <c r="A3" s="376">
        <v>1</v>
      </c>
      <c r="B3" s="377" t="s">
        <v>20</v>
      </c>
      <c r="C3" s="378" t="s">
        <v>21</v>
      </c>
      <c r="D3" s="376">
        <v>22220901</v>
      </c>
      <c r="E3" s="379" t="s">
        <v>22</v>
      </c>
      <c r="F3" s="380" t="s">
        <v>23</v>
      </c>
      <c r="G3" s="380" t="s">
        <v>24</v>
      </c>
      <c r="H3" s="380" t="s">
        <v>25</v>
      </c>
      <c r="I3" s="380" t="s">
        <v>26</v>
      </c>
      <c r="J3" s="381" t="s">
        <v>27</v>
      </c>
      <c r="K3" s="382" t="s">
        <v>27</v>
      </c>
      <c r="L3" s="382" t="s">
        <v>27</v>
      </c>
      <c r="M3" s="382">
        <v>25.328</v>
      </c>
      <c r="N3" s="383">
        <v>11.63</v>
      </c>
      <c r="O3" s="383">
        <v>6.5</v>
      </c>
      <c r="P3" s="384" t="str">
        <f>ROUND(O3-N3,2)&amp;"("&amp;ROUND(((O3-N3)/N3*100),0)&amp;"%)"</f>
        <v>-5.13(-44%)</v>
      </c>
      <c r="Q3" s="385"/>
      <c r="R3" s="379"/>
      <c r="S3" s="380"/>
    </row>
    <row r="4" ht="161" customHeight="1" spans="1:20">
      <c r="A4" s="376">
        <v>2</v>
      </c>
      <c r="B4" s="386"/>
      <c r="C4" s="380"/>
      <c r="D4" s="376">
        <v>22250226</v>
      </c>
      <c r="E4" s="379" t="s">
        <v>28</v>
      </c>
      <c r="F4" s="380" t="s">
        <v>23</v>
      </c>
      <c r="G4" s="380" t="s">
        <v>29</v>
      </c>
      <c r="H4" s="380" t="s">
        <v>30</v>
      </c>
      <c r="I4" s="380" t="s">
        <v>26</v>
      </c>
      <c r="J4" s="387">
        <v>0.94</v>
      </c>
      <c r="K4" s="388">
        <v>423.78</v>
      </c>
      <c r="L4" s="382">
        <v>80</v>
      </c>
      <c r="M4" s="382">
        <v>148.58</v>
      </c>
      <c r="N4" s="383">
        <v>10</v>
      </c>
      <c r="O4" s="383">
        <v>13.5</v>
      </c>
      <c r="P4" s="384" t="str">
        <f t="shared" ref="P4:P6" si="0">ROUND(O4-N4,2)&amp;"("&amp;ROUND(((O4-N4)/N4*100),0)&amp;"%)"</f>
        <v>3.5(35%)</v>
      </c>
      <c r="Q4" s="385"/>
      <c r="R4" s="379"/>
      <c r="S4" s="389" t="s">
        <v>31</v>
      </c>
    </row>
    <row r="5" ht="32" customHeight="1" spans="1:20">
      <c r="A5" s="376">
        <v>3</v>
      </c>
      <c r="B5" s="386"/>
      <c r="C5" s="380"/>
      <c r="D5" s="376">
        <v>22220202</v>
      </c>
      <c r="E5" s="379" t="s">
        <v>32</v>
      </c>
      <c r="F5" s="380" t="s">
        <v>33</v>
      </c>
      <c r="G5" s="378" t="s">
        <v>34</v>
      </c>
      <c r="H5" s="380" t="s">
        <v>25</v>
      </c>
      <c r="I5" s="380" t="s">
        <v>26</v>
      </c>
      <c r="J5" s="381" t="s">
        <v>27</v>
      </c>
      <c r="K5" s="390">
        <v>292.75</v>
      </c>
      <c r="L5" s="391"/>
      <c r="M5" s="390">
        <v>27.147</v>
      </c>
      <c r="N5" s="383">
        <v>0</v>
      </c>
      <c r="O5" s="383">
        <v>0</v>
      </c>
      <c r="P5" s="384">
        <v>0</v>
      </c>
      <c r="Q5" s="378"/>
      <c r="R5" s="379"/>
      <c r="S5" s="389" t="s">
        <v>35</v>
      </c>
    </row>
    <row r="6" ht="23" customHeight="1" spans="1:20">
      <c r="A6" s="376">
        <v>4</v>
      </c>
      <c r="B6" s="386"/>
      <c r="C6" s="380"/>
      <c r="D6" s="376">
        <v>22220701</v>
      </c>
      <c r="E6" s="379" t="s">
        <v>36</v>
      </c>
      <c r="F6" s="380" t="s">
        <v>33</v>
      </c>
      <c r="G6" s="378" t="s">
        <v>34</v>
      </c>
      <c r="H6" s="380" t="s">
        <v>25</v>
      </c>
      <c r="I6" s="380" t="s">
        <v>26</v>
      </c>
      <c r="J6" s="381" t="s">
        <v>27</v>
      </c>
      <c r="K6" s="392"/>
      <c r="L6" s="393"/>
      <c r="M6" s="392"/>
      <c r="N6" s="383">
        <v>0</v>
      </c>
      <c r="O6" s="383">
        <v>0</v>
      </c>
      <c r="P6" s="384">
        <v>0</v>
      </c>
      <c r="Q6" s="378"/>
      <c r="R6" s="379"/>
      <c r="S6" s="389" t="s">
        <v>37</v>
      </c>
    </row>
    <row r="7" ht="23" customHeight="1" spans="1:20">
      <c r="A7" s="376">
        <v>5</v>
      </c>
      <c r="B7" s="386"/>
      <c r="C7" s="378" t="s">
        <v>38</v>
      </c>
      <c r="D7" s="376">
        <v>22221201</v>
      </c>
      <c r="E7" s="379" t="s">
        <v>39</v>
      </c>
      <c r="F7" s="380" t="s">
        <v>40</v>
      </c>
      <c r="G7" s="378" t="s">
        <v>24</v>
      </c>
      <c r="H7" s="380" t="s">
        <v>25</v>
      </c>
      <c r="I7" s="380" t="s">
        <v>26</v>
      </c>
      <c r="J7" s="381">
        <v>0.99</v>
      </c>
      <c r="K7" s="382" t="s">
        <v>27</v>
      </c>
      <c r="L7" s="382"/>
      <c r="M7" s="382">
        <v>9.02</v>
      </c>
      <c r="N7" s="383">
        <v>3</v>
      </c>
      <c r="O7" s="383">
        <v>4</v>
      </c>
      <c r="P7" s="384" t="str">
        <f t="shared" ref="P7:P15" si="1">O7-N7&amp;"("&amp;ROUND(((O7-N7)/N7*100),0)&amp;"%)"</f>
        <v>1(33%)</v>
      </c>
      <c r="Q7" s="385"/>
      <c r="R7" s="379"/>
      <c r="S7" s="394"/>
    </row>
    <row r="8" ht="23" customHeight="1" spans="1:20">
      <c r="A8" s="376">
        <v>6</v>
      </c>
      <c r="B8" s="386"/>
      <c r="C8" s="380"/>
      <c r="D8" s="376">
        <v>22250314</v>
      </c>
      <c r="E8" s="379" t="s">
        <v>41</v>
      </c>
      <c r="F8" s="380" t="s">
        <v>42</v>
      </c>
      <c r="G8" s="380" t="s">
        <v>29</v>
      </c>
      <c r="H8" s="380" t="s">
        <v>30</v>
      </c>
      <c r="I8" s="395" t="s">
        <v>43</v>
      </c>
      <c r="J8" s="396">
        <v>0.95</v>
      </c>
      <c r="K8" s="382">
        <v>89.653</v>
      </c>
      <c r="L8" s="382"/>
      <c r="M8" s="397">
        <v>96.36</v>
      </c>
      <c r="N8" s="383">
        <v>9.5</v>
      </c>
      <c r="O8" s="383">
        <v>9.5</v>
      </c>
      <c r="P8" s="384" t="str">
        <f t="shared" si="1"/>
        <v>0(0%)</v>
      </c>
      <c r="Q8" s="398" t="s">
        <v>44</v>
      </c>
      <c r="R8" s="379"/>
      <c r="S8" s="389" t="s">
        <v>45</v>
      </c>
    </row>
    <row r="9" ht="23" customHeight="1" spans="1:20">
      <c r="A9" s="376">
        <v>7</v>
      </c>
      <c r="B9" s="386"/>
      <c r="C9" s="380"/>
      <c r="D9" s="383" t="s">
        <v>46</v>
      </c>
      <c r="E9" s="399" t="s">
        <v>47</v>
      </c>
      <c r="F9" s="394" t="s">
        <v>48</v>
      </c>
      <c r="G9" s="394" t="s">
        <v>29</v>
      </c>
      <c r="H9" s="394" t="s">
        <v>49</v>
      </c>
      <c r="I9" s="394" t="s">
        <v>26</v>
      </c>
      <c r="J9" s="381" t="s">
        <v>27</v>
      </c>
      <c r="K9" s="400">
        <v>37.96</v>
      </c>
      <c r="L9" s="400"/>
      <c r="M9" s="400">
        <v>18.6</v>
      </c>
      <c r="N9" s="401">
        <v>10</v>
      </c>
      <c r="O9" s="401">
        <v>10</v>
      </c>
      <c r="P9" s="384" t="str">
        <f t="shared" si="1"/>
        <v>0(0%)</v>
      </c>
      <c r="Q9" s="385"/>
      <c r="R9" s="379"/>
      <c r="S9" s="394" t="s">
        <v>50</v>
      </c>
    </row>
    <row r="10" ht="84" customHeight="1" spans="1:20">
      <c r="A10" s="376">
        <v>8</v>
      </c>
      <c r="B10" s="386"/>
      <c r="C10" s="380"/>
      <c r="D10" s="383">
        <v>23260410</v>
      </c>
      <c r="E10" s="399" t="s">
        <v>51</v>
      </c>
      <c r="F10" s="394" t="s">
        <v>52</v>
      </c>
      <c r="G10" s="394" t="s">
        <v>29</v>
      </c>
      <c r="H10" s="380" t="s">
        <v>53</v>
      </c>
      <c r="I10" s="394" t="s">
        <v>26</v>
      </c>
      <c r="J10" s="396">
        <v>0.3</v>
      </c>
      <c r="K10" s="384">
        <v>156.5</v>
      </c>
      <c r="L10" s="400" t="s">
        <v>54</v>
      </c>
      <c r="M10" s="400">
        <v>48.7</v>
      </c>
      <c r="N10" s="401">
        <v>16.5</v>
      </c>
      <c r="O10" s="401">
        <v>24.5</v>
      </c>
      <c r="P10" s="401" t="str">
        <f t="shared" si="1"/>
        <v>8(48%)</v>
      </c>
      <c r="Q10" s="389"/>
      <c r="R10" s="399"/>
      <c r="S10" s="389" t="s">
        <v>55</v>
      </c>
      <c r="T10" s="365" t="s">
        <v>56</v>
      </c>
    </row>
    <row r="11" ht="23" customHeight="1" spans="1:20">
      <c r="A11" s="376">
        <v>9</v>
      </c>
      <c r="B11" s="386"/>
      <c r="C11" s="377" t="s">
        <v>57</v>
      </c>
      <c r="D11" s="383">
        <v>22240822</v>
      </c>
      <c r="E11" s="399" t="s">
        <v>58</v>
      </c>
      <c r="F11" s="394" t="s">
        <v>59</v>
      </c>
      <c r="G11" s="394" t="s">
        <v>29</v>
      </c>
      <c r="H11" s="394" t="s">
        <v>49</v>
      </c>
      <c r="I11" s="394" t="s">
        <v>26</v>
      </c>
      <c r="J11" s="396">
        <v>1</v>
      </c>
      <c r="K11" s="384">
        <v>165.5</v>
      </c>
      <c r="L11" s="400" t="s">
        <v>60</v>
      </c>
      <c r="M11" s="400">
        <v>78.93</v>
      </c>
      <c r="N11" s="401">
        <v>4</v>
      </c>
      <c r="O11" s="401">
        <v>2</v>
      </c>
      <c r="P11" s="384" t="str">
        <f t="shared" si="1"/>
        <v>-2(-50%)</v>
      </c>
      <c r="Q11" s="389"/>
      <c r="R11" s="399"/>
      <c r="S11" s="394" t="s">
        <v>61</v>
      </c>
    </row>
    <row r="12" ht="23" customHeight="1" spans="1:20">
      <c r="A12" s="376">
        <v>10</v>
      </c>
      <c r="B12" s="386"/>
      <c r="C12" s="402"/>
      <c r="D12" s="383">
        <v>23251211</v>
      </c>
      <c r="E12" s="399" t="s">
        <v>62</v>
      </c>
      <c r="F12" s="394" t="s">
        <v>63</v>
      </c>
      <c r="G12" s="394" t="s">
        <v>29</v>
      </c>
      <c r="H12" s="394" t="s">
        <v>64</v>
      </c>
      <c r="I12" s="394" t="s">
        <v>26</v>
      </c>
      <c r="J12" s="396">
        <v>0.9</v>
      </c>
      <c r="K12" s="384" t="s">
        <v>65</v>
      </c>
      <c r="L12" s="403" t="s">
        <v>66</v>
      </c>
      <c r="M12" s="403">
        <v>25.68</v>
      </c>
      <c r="N12" s="401">
        <v>11.5</v>
      </c>
      <c r="O12" s="401">
        <v>10.5</v>
      </c>
      <c r="P12" s="404" t="str">
        <f t="shared" si="1"/>
        <v>-1(-9%)</v>
      </c>
      <c r="Q12" s="389"/>
      <c r="R12" s="399"/>
      <c r="S12" s="394" t="s">
        <v>67</v>
      </c>
    </row>
    <row r="13" ht="23" customHeight="1" spans="1:20">
      <c r="A13" s="383">
        <v>12</v>
      </c>
      <c r="B13" s="386"/>
      <c r="C13" s="378" t="s">
        <v>68</v>
      </c>
      <c r="D13" s="376">
        <v>222201001</v>
      </c>
      <c r="E13" s="379" t="s">
        <v>69</v>
      </c>
      <c r="F13" s="380" t="s">
        <v>70</v>
      </c>
      <c r="G13" s="378" t="s">
        <v>34</v>
      </c>
      <c r="H13" s="380" t="s">
        <v>25</v>
      </c>
      <c r="I13" s="380" t="s">
        <v>26</v>
      </c>
      <c r="J13" s="381">
        <v>0.99</v>
      </c>
      <c r="K13" s="405">
        <v>236.56</v>
      </c>
      <c r="L13" s="406"/>
      <c r="M13" s="390">
        <v>46.211</v>
      </c>
      <c r="N13" s="401">
        <v>4</v>
      </c>
      <c r="O13" s="401">
        <v>1.5</v>
      </c>
      <c r="P13" s="404" t="str">
        <f>O13-N13&amp;"("&amp;ROUND(((O13-N13)/N13*100),0)&amp;"%)"</f>
        <v>-2.5(-63%)</v>
      </c>
      <c r="Q13" s="378"/>
      <c r="R13" s="379"/>
      <c r="S13" s="394" t="s">
        <v>71</v>
      </c>
    </row>
    <row r="14" ht="41" customHeight="1" spans="1:20">
      <c r="A14" s="383">
        <v>13</v>
      </c>
      <c r="B14" s="386"/>
      <c r="C14" s="380"/>
      <c r="D14" s="376">
        <v>22220905</v>
      </c>
      <c r="E14" s="379" t="s">
        <v>72</v>
      </c>
      <c r="F14" s="380" t="s">
        <v>70</v>
      </c>
      <c r="G14" s="378" t="s">
        <v>34</v>
      </c>
      <c r="H14" s="380" t="s">
        <v>25</v>
      </c>
      <c r="I14" s="380" t="s">
        <v>26</v>
      </c>
      <c r="J14" s="381">
        <v>0.99</v>
      </c>
      <c r="K14" s="407"/>
      <c r="L14" s="406"/>
      <c r="M14" s="392"/>
      <c r="N14" s="401">
        <v>5.5</v>
      </c>
      <c r="O14" s="401">
        <v>8</v>
      </c>
      <c r="P14" s="408" t="str">
        <f>O14-N14&amp;"("&amp;ROUND(((O14-N14)/N14*100),0)&amp;"%)"</f>
        <v>2.5(45%)</v>
      </c>
      <c r="Q14" s="385"/>
      <c r="R14" s="379"/>
      <c r="S14" s="394" t="s">
        <v>73</v>
      </c>
    </row>
    <row r="15" ht="43" customHeight="1" spans="1:20">
      <c r="A15" s="383">
        <v>14</v>
      </c>
      <c r="B15" s="386"/>
      <c r="C15" s="380"/>
      <c r="D15" s="376">
        <v>21250326</v>
      </c>
      <c r="E15" s="379" t="s">
        <v>74</v>
      </c>
      <c r="F15" s="380" t="s">
        <v>70</v>
      </c>
      <c r="G15" s="378" t="s">
        <v>29</v>
      </c>
      <c r="H15" s="380" t="s">
        <v>53</v>
      </c>
      <c r="I15" s="409" t="s">
        <v>75</v>
      </c>
      <c r="J15" s="396">
        <v>0.85</v>
      </c>
      <c r="K15" s="388" t="s">
        <v>76</v>
      </c>
      <c r="L15" s="410"/>
      <c r="M15" s="410">
        <v>47.86</v>
      </c>
      <c r="N15" s="401">
        <v>10</v>
      </c>
      <c r="O15" s="401">
        <v>10.5</v>
      </c>
      <c r="P15" s="384" t="str">
        <f t="shared" ref="P14:P23" si="2">O15-N15&amp;"("&amp;ROUND(((O15-N15)/N15*100),0)&amp;"%)"</f>
        <v>0.5(5%)</v>
      </c>
      <c r="Q15" s="385"/>
      <c r="R15" s="379"/>
      <c r="S15" s="389" t="s">
        <v>77</v>
      </c>
    </row>
    <row r="16" ht="23" customHeight="1" spans="1:20">
      <c r="A16" s="383">
        <v>15</v>
      </c>
      <c r="B16" s="386"/>
      <c r="C16" s="380"/>
      <c r="D16" s="376" t="s">
        <v>78</v>
      </c>
      <c r="E16" s="379" t="s">
        <v>79</v>
      </c>
      <c r="F16" s="380" t="s">
        <v>80</v>
      </c>
      <c r="G16" s="378" t="s">
        <v>29</v>
      </c>
      <c r="H16" s="380" t="s">
        <v>81</v>
      </c>
      <c r="I16" s="380" t="s">
        <v>26</v>
      </c>
      <c r="J16" s="396">
        <v>0.99</v>
      </c>
      <c r="K16" s="388" t="s">
        <v>82</v>
      </c>
      <c r="L16" s="410"/>
      <c r="M16" s="410">
        <v>5.94</v>
      </c>
      <c r="N16" s="401">
        <v>0</v>
      </c>
      <c r="O16" s="401">
        <v>0</v>
      </c>
      <c r="P16" s="384">
        <v>0</v>
      </c>
      <c r="Q16" s="385"/>
      <c r="R16" s="379"/>
      <c r="S16" s="380" t="s">
        <v>83</v>
      </c>
    </row>
    <row r="17" ht="23" customHeight="1" spans="1:19">
      <c r="A17" s="376">
        <v>16</v>
      </c>
      <c r="B17" s="386"/>
      <c r="C17" s="378" t="s">
        <v>84</v>
      </c>
      <c r="D17" s="376" t="s">
        <v>85</v>
      </c>
      <c r="E17" s="379" t="s">
        <v>86</v>
      </c>
      <c r="F17" s="380" t="s">
        <v>87</v>
      </c>
      <c r="G17" s="380" t="s">
        <v>29</v>
      </c>
      <c r="H17" s="380" t="s">
        <v>30</v>
      </c>
      <c r="I17" s="380" t="s">
        <v>26</v>
      </c>
      <c r="J17" s="381">
        <v>0.95</v>
      </c>
      <c r="K17" s="388">
        <v>149.1</v>
      </c>
      <c r="L17" s="382">
        <v>0</v>
      </c>
      <c r="M17" s="382">
        <v>33.35</v>
      </c>
      <c r="N17" s="401">
        <v>5.5</v>
      </c>
      <c r="O17" s="401">
        <v>5</v>
      </c>
      <c r="P17" s="408" t="str">
        <f t="shared" si="2"/>
        <v>-0.5(-9%)</v>
      </c>
      <c r="Q17" s="385"/>
      <c r="R17" s="379"/>
      <c r="S17" s="378" t="s">
        <v>88</v>
      </c>
    </row>
    <row r="18" ht="23" customHeight="1" spans="1:19">
      <c r="A18" s="376">
        <v>17</v>
      </c>
      <c r="B18" s="386"/>
      <c r="C18" s="380"/>
      <c r="D18" s="383"/>
      <c r="E18" s="379" t="s">
        <v>89</v>
      </c>
      <c r="F18" s="380" t="s">
        <v>87</v>
      </c>
      <c r="G18" s="380" t="s">
        <v>29</v>
      </c>
      <c r="H18" s="394" t="s">
        <v>49</v>
      </c>
      <c r="I18" s="380" t="s">
        <v>26</v>
      </c>
      <c r="J18" s="381" t="s">
        <v>27</v>
      </c>
      <c r="K18" s="388"/>
      <c r="L18" s="382"/>
      <c r="M18" s="382">
        <v>10.68</v>
      </c>
      <c r="N18" s="401">
        <v>6.5</v>
      </c>
      <c r="O18" s="401">
        <v>10</v>
      </c>
      <c r="P18" s="408" t="str">
        <f t="shared" si="2"/>
        <v>3.5(54%)</v>
      </c>
      <c r="Q18" s="385"/>
      <c r="R18" s="379"/>
      <c r="S18" s="389"/>
    </row>
    <row r="19" ht="23" customHeight="1" spans="1:19">
      <c r="A19" s="376">
        <v>18</v>
      </c>
      <c r="B19" s="386"/>
      <c r="C19" s="378" t="s">
        <v>90</v>
      </c>
      <c r="D19" s="376" t="s">
        <v>91</v>
      </c>
      <c r="E19" s="379" t="s">
        <v>92</v>
      </c>
      <c r="F19" s="380" t="s">
        <v>93</v>
      </c>
      <c r="G19" s="380" t="s">
        <v>29</v>
      </c>
      <c r="H19" s="394" t="s">
        <v>49</v>
      </c>
      <c r="I19" s="380" t="s">
        <v>26</v>
      </c>
      <c r="J19" s="381" t="s">
        <v>27</v>
      </c>
      <c r="K19" s="388"/>
      <c r="L19" s="382"/>
      <c r="M19" s="382">
        <v>21</v>
      </c>
      <c r="N19" s="401">
        <v>18</v>
      </c>
      <c r="O19" s="401">
        <v>23</v>
      </c>
      <c r="P19" s="408" t="str">
        <f t="shared" si="2"/>
        <v>5(28%)</v>
      </c>
      <c r="Q19" s="389"/>
      <c r="R19" s="399"/>
      <c r="S19" s="394"/>
    </row>
    <row r="20" ht="23" customHeight="1" spans="1:19">
      <c r="A20" s="376">
        <v>19</v>
      </c>
      <c r="B20" s="386"/>
      <c r="C20" s="380"/>
      <c r="D20" s="376"/>
      <c r="E20" s="379" t="s">
        <v>94</v>
      </c>
      <c r="F20" s="380" t="s">
        <v>42</v>
      </c>
      <c r="G20" s="380" t="s">
        <v>29</v>
      </c>
      <c r="H20" s="394" t="s">
        <v>49</v>
      </c>
      <c r="I20" s="380" t="s">
        <v>26</v>
      </c>
      <c r="J20" s="381" t="s">
        <v>27</v>
      </c>
      <c r="K20" s="388"/>
      <c r="L20" s="382"/>
      <c r="M20" s="382">
        <v>18.879</v>
      </c>
      <c r="N20" s="383">
        <v>9</v>
      </c>
      <c r="O20" s="383">
        <v>8</v>
      </c>
      <c r="P20" s="384" t="str">
        <f t="shared" si="2"/>
        <v>-1(-11%)</v>
      </c>
      <c r="Q20" s="389"/>
      <c r="R20" s="399"/>
      <c r="S20" s="394"/>
    </row>
    <row r="21" ht="23" customHeight="1" spans="1:19">
      <c r="A21" s="376">
        <v>20</v>
      </c>
      <c r="B21" s="386"/>
      <c r="C21" s="380"/>
      <c r="D21" s="376"/>
      <c r="E21" s="379" t="s">
        <v>95</v>
      </c>
      <c r="F21" s="380" t="s">
        <v>52</v>
      </c>
      <c r="G21" s="380" t="s">
        <v>29</v>
      </c>
      <c r="H21" s="394" t="s">
        <v>49</v>
      </c>
      <c r="I21" s="380" t="s">
        <v>26</v>
      </c>
      <c r="J21" s="381" t="s">
        <v>27</v>
      </c>
      <c r="K21" s="388"/>
      <c r="L21" s="410"/>
      <c r="M21" s="410">
        <v>23.643</v>
      </c>
      <c r="N21" s="383">
        <v>11</v>
      </c>
      <c r="O21" s="383">
        <v>10</v>
      </c>
      <c r="P21" s="384" t="str">
        <f t="shared" si="2"/>
        <v>-1(-9%)</v>
      </c>
      <c r="Q21" s="385"/>
      <c r="R21" s="379"/>
      <c r="S21" s="394"/>
    </row>
    <row r="22" ht="23" customHeight="1" spans="1:19">
      <c r="A22" s="376">
        <v>21</v>
      </c>
      <c r="B22" s="386"/>
      <c r="C22" s="380"/>
      <c r="D22" s="376"/>
      <c r="E22" s="379" t="s">
        <v>96</v>
      </c>
      <c r="F22" s="380" t="s">
        <v>63</v>
      </c>
      <c r="G22" s="380" t="s">
        <v>29</v>
      </c>
      <c r="H22" s="394" t="s">
        <v>49</v>
      </c>
      <c r="I22" s="380" t="s">
        <v>26</v>
      </c>
      <c r="J22" s="381" t="s">
        <v>27</v>
      </c>
      <c r="K22" s="388"/>
      <c r="L22" s="410"/>
      <c r="M22" s="410">
        <v>28.8</v>
      </c>
      <c r="N22" s="383">
        <v>28</v>
      </c>
      <c r="O22" s="383">
        <v>28</v>
      </c>
      <c r="P22" s="384" t="str">
        <f t="shared" si="2"/>
        <v>0(0%)</v>
      </c>
      <c r="Q22" s="385"/>
      <c r="R22" s="379"/>
      <c r="S22" s="394"/>
    </row>
    <row r="23" ht="23" customHeight="1" spans="1:19">
      <c r="A23" s="376">
        <v>22</v>
      </c>
      <c r="B23" s="386"/>
      <c r="C23" s="380"/>
      <c r="D23" s="376"/>
      <c r="E23" s="379" t="s">
        <v>97</v>
      </c>
      <c r="F23" s="380" t="s">
        <v>63</v>
      </c>
      <c r="G23" s="380" t="s">
        <v>29</v>
      </c>
      <c r="H23" s="394" t="s">
        <v>49</v>
      </c>
      <c r="I23" s="380" t="s">
        <v>26</v>
      </c>
      <c r="J23" s="381" t="s">
        <v>27</v>
      </c>
      <c r="K23" s="388"/>
      <c r="L23" s="410"/>
      <c r="M23" s="410">
        <v>3.922</v>
      </c>
      <c r="N23" s="383">
        <v>3</v>
      </c>
      <c r="O23" s="383">
        <v>1.5</v>
      </c>
      <c r="P23" s="384" t="str">
        <f t="shared" si="2"/>
        <v>-1.5(-50%)</v>
      </c>
      <c r="Q23" s="385"/>
      <c r="R23" s="379"/>
      <c r="S23" s="394"/>
    </row>
    <row r="24" ht="38.25" customHeight="1" spans="1:19">
      <c r="A24" s="411"/>
      <c r="B24" s="412"/>
      <c r="C24" s="413"/>
      <c r="D24" s="413"/>
      <c r="E24" s="413"/>
      <c r="F24" s="413"/>
      <c r="G24" s="413"/>
      <c r="H24" s="414"/>
      <c r="I24" s="414"/>
      <c r="J24" s="415"/>
      <c r="K24" s="415"/>
      <c r="L24" s="416" t="s">
        <v>98</v>
      </c>
      <c r="M24" s="416"/>
      <c r="N24" s="417">
        <f>SUM(N3:N23)</f>
        <v>176.63</v>
      </c>
      <c r="O24" s="415">
        <f>SUM(O3:O23)</f>
        <v>186</v>
      </c>
      <c r="P24" s="415"/>
      <c r="Q24" s="418" t="s">
        <v>99</v>
      </c>
      <c r="R24" s="419">
        <f>O24/34/5</f>
        <v>1.09411764705882</v>
      </c>
      <c r="S24" s="420" t="s">
        <v>100</v>
      </c>
    </row>
    <row r="25" ht="29" customHeight="1" spans="1:19">
      <c r="A25" s="421">
        <v>23</v>
      </c>
      <c r="B25" s="402" t="s">
        <v>101</v>
      </c>
      <c r="C25" s="402" t="s">
        <v>102</v>
      </c>
      <c r="D25" s="422" t="s">
        <v>103</v>
      </c>
      <c r="E25" s="423" t="s">
        <v>104</v>
      </c>
      <c r="F25" s="424" t="s">
        <v>105</v>
      </c>
      <c r="G25" s="424" t="s">
        <v>29</v>
      </c>
      <c r="H25" s="424" t="s">
        <v>106</v>
      </c>
      <c r="I25" s="424" t="s">
        <v>26</v>
      </c>
      <c r="J25" s="425">
        <v>0.5</v>
      </c>
      <c r="K25" s="426"/>
      <c r="L25" s="427"/>
      <c r="M25" s="427">
        <v>15.67</v>
      </c>
      <c r="N25" s="428">
        <v>0</v>
      </c>
      <c r="O25" s="428"/>
      <c r="P25" s="384">
        <v>0</v>
      </c>
      <c r="Q25" s="429"/>
      <c r="R25" s="423"/>
      <c r="S25" s="424"/>
    </row>
    <row r="26" ht="29" customHeight="1" spans="1:19">
      <c r="A26" s="421">
        <v>24</v>
      </c>
      <c r="B26" s="402"/>
      <c r="C26" s="402"/>
      <c r="D26" s="422"/>
      <c r="E26" s="423" t="s">
        <v>107</v>
      </c>
      <c r="F26" s="424" t="s">
        <v>108</v>
      </c>
      <c r="G26" s="424" t="s">
        <v>29</v>
      </c>
      <c r="H26" s="380" t="s">
        <v>53</v>
      </c>
      <c r="I26" s="424" t="s">
        <v>26</v>
      </c>
      <c r="J26" s="425" t="s">
        <v>24</v>
      </c>
      <c r="K26" s="426"/>
      <c r="L26" s="427"/>
      <c r="M26" s="427">
        <v>13.4576</v>
      </c>
      <c r="N26" s="383">
        <v>1</v>
      </c>
      <c r="O26" s="383">
        <v>4.1</v>
      </c>
      <c r="P26" s="384" t="str">
        <f t="shared" ref="P25:P30" si="3">O26-N26&amp;"("&amp;ROUND(((O26-N26)/N26*100),0)&amp;"%)"</f>
        <v>3.1(310%)</v>
      </c>
      <c r="Q26" s="429"/>
      <c r="R26" s="423"/>
      <c r="S26" s="424" t="s">
        <v>109</v>
      </c>
    </row>
    <row r="27" ht="25" customHeight="1" spans="1:19">
      <c r="A27" s="376">
        <v>25</v>
      </c>
      <c r="B27" s="402"/>
      <c r="C27" s="402"/>
      <c r="D27" s="376">
        <v>21260422</v>
      </c>
      <c r="E27" s="379" t="s">
        <v>110</v>
      </c>
      <c r="F27" s="380" t="s">
        <v>111</v>
      </c>
      <c r="G27" s="424" t="s">
        <v>29</v>
      </c>
      <c r="H27" s="380" t="s">
        <v>53</v>
      </c>
      <c r="I27" s="380" t="s">
        <v>26</v>
      </c>
      <c r="J27" s="381">
        <v>0.7</v>
      </c>
      <c r="K27" s="388"/>
      <c r="L27" s="410"/>
      <c r="M27" s="390">
        <v>19.224</v>
      </c>
      <c r="N27" s="430">
        <v>23.5</v>
      </c>
      <c r="O27" s="430">
        <v>20</v>
      </c>
      <c r="P27" s="384" t="str">
        <f t="shared" si="3"/>
        <v>-3.5(-15%)</v>
      </c>
      <c r="Q27" s="385"/>
      <c r="R27" s="379"/>
      <c r="S27" s="394"/>
    </row>
    <row r="28" ht="25" customHeight="1" spans="1:19">
      <c r="A28" s="376">
        <v>26</v>
      </c>
      <c r="B28" s="402"/>
      <c r="C28" s="402"/>
      <c r="D28" s="431">
        <v>21260423</v>
      </c>
      <c r="E28" s="432" t="s">
        <v>112</v>
      </c>
      <c r="F28" s="380" t="s">
        <v>111</v>
      </c>
      <c r="G28" s="424" t="s">
        <v>29</v>
      </c>
      <c r="H28" s="433" t="s">
        <v>53</v>
      </c>
      <c r="I28" s="433" t="s">
        <v>26</v>
      </c>
      <c r="J28" s="434">
        <v>0.4</v>
      </c>
      <c r="K28" s="405"/>
      <c r="L28" s="390"/>
      <c r="M28" s="390">
        <v>3.624</v>
      </c>
      <c r="N28" s="430">
        <v>8.37</v>
      </c>
      <c r="O28" s="430">
        <v>8.4</v>
      </c>
      <c r="P28" s="384" t="str">
        <f>ROUND(O28-N28,2)&amp;"("&amp;ROUND(((O28-N28)/N28*100),0)&amp;"%)"</f>
        <v>0.03(0%)</v>
      </c>
      <c r="Q28" s="435"/>
      <c r="R28" s="432"/>
      <c r="S28" s="436"/>
    </row>
    <row r="29" ht="25" customHeight="1" spans="1:19">
      <c r="A29" s="376">
        <v>27</v>
      </c>
      <c r="B29" s="402"/>
      <c r="C29" s="402"/>
      <c r="D29" s="376">
        <v>22220901</v>
      </c>
      <c r="E29" s="379" t="s">
        <v>113</v>
      </c>
      <c r="F29" s="380" t="s">
        <v>23</v>
      </c>
      <c r="G29" s="380" t="s">
        <v>24</v>
      </c>
      <c r="H29" s="380" t="s">
        <v>25</v>
      </c>
      <c r="I29" s="380" t="s">
        <v>26</v>
      </c>
      <c r="J29" s="381" t="s">
        <v>27</v>
      </c>
      <c r="K29" s="405"/>
      <c r="L29" s="390"/>
      <c r="M29" s="390">
        <v>5.888</v>
      </c>
      <c r="N29" s="430">
        <v>13</v>
      </c>
      <c r="O29" s="430">
        <v>12</v>
      </c>
      <c r="P29" s="384" t="str">
        <f t="shared" si="3"/>
        <v>-1(-8%)</v>
      </c>
      <c r="Q29" s="435"/>
      <c r="R29" s="432"/>
      <c r="S29" s="436"/>
    </row>
    <row r="30" ht="25" customHeight="1" spans="1:19">
      <c r="A30" s="376">
        <v>28</v>
      </c>
      <c r="B30" s="402"/>
      <c r="C30" s="402"/>
      <c r="D30" s="431">
        <v>22220905</v>
      </c>
      <c r="E30" s="435" t="s">
        <v>114</v>
      </c>
      <c r="F30" s="433" t="s">
        <v>70</v>
      </c>
      <c r="G30" s="380" t="s">
        <v>24</v>
      </c>
      <c r="H30" s="433" t="s">
        <v>25</v>
      </c>
      <c r="I30" s="433" t="s">
        <v>26</v>
      </c>
      <c r="J30" s="381" t="s">
        <v>27</v>
      </c>
      <c r="K30" s="405"/>
      <c r="L30" s="390"/>
      <c r="M30" s="390">
        <v>1.896</v>
      </c>
      <c r="N30" s="430">
        <v>0</v>
      </c>
      <c r="O30" s="430">
        <v>0</v>
      </c>
      <c r="P30" s="384" t="e">
        <f t="shared" si="3"/>
        <v>#DIV/0!</v>
      </c>
      <c r="Q30" s="435"/>
      <c r="R30" s="432"/>
      <c r="S30" s="436"/>
    </row>
    <row r="31" ht="41" customHeight="1" spans="1:19">
      <c r="A31" s="411"/>
      <c r="B31" s="437"/>
      <c r="C31" s="413"/>
      <c r="D31" s="413"/>
      <c r="E31" s="413"/>
      <c r="F31" s="413"/>
      <c r="G31" s="413"/>
      <c r="H31" s="414"/>
      <c r="I31" s="414"/>
      <c r="J31" s="415"/>
      <c r="K31" s="415"/>
      <c r="L31" s="416" t="s">
        <v>98</v>
      </c>
      <c r="M31" s="416"/>
      <c r="N31" s="417">
        <f>SUM(N25:N30)</f>
        <v>45.87</v>
      </c>
      <c r="O31" s="415">
        <f>SUM(O25:O30)</f>
        <v>44.5</v>
      </c>
      <c r="P31" s="415"/>
      <c r="Q31" s="418" t="s">
        <v>99</v>
      </c>
      <c r="R31" s="419">
        <f>O31/10/5</f>
        <v>0.89</v>
      </c>
      <c r="S31" s="420"/>
    </row>
    <row r="32" ht="23" customHeight="1" spans="1:19">
      <c r="A32" s="421">
        <v>29</v>
      </c>
      <c r="B32" s="402" t="s">
        <v>115</v>
      </c>
      <c r="C32" s="438" t="s">
        <v>102</v>
      </c>
      <c r="D32" s="422" t="s">
        <v>116</v>
      </c>
      <c r="E32" s="439" t="s">
        <v>117</v>
      </c>
      <c r="F32" s="424" t="s">
        <v>118</v>
      </c>
      <c r="G32" s="440" t="s">
        <v>29</v>
      </c>
      <c r="H32" s="424" t="s">
        <v>53</v>
      </c>
      <c r="I32" s="441" t="s">
        <v>75</v>
      </c>
      <c r="J32" s="425">
        <v>0.95</v>
      </c>
      <c r="K32" s="426" t="s">
        <v>119</v>
      </c>
      <c r="L32" s="427">
        <v>100</v>
      </c>
      <c r="M32" s="442">
        <v>101.1</v>
      </c>
      <c r="N32" s="422">
        <v>27</v>
      </c>
      <c r="O32" s="422">
        <v>22</v>
      </c>
      <c r="P32" s="426" t="str">
        <f>ROUND(O32-N32,2)&amp;"("&amp;ROUND(((O32-N32)/N32)*100,0)&amp;"%)"</f>
        <v>-5(-19%)</v>
      </c>
      <c r="Q32" s="443"/>
      <c r="R32" s="423"/>
      <c r="S32" s="424" t="s">
        <v>120</v>
      </c>
    </row>
    <row r="33" ht="23" customHeight="1" spans="1:19">
      <c r="A33" s="421">
        <v>30</v>
      </c>
      <c r="B33" s="402"/>
      <c r="C33" s="378"/>
      <c r="D33" s="376">
        <v>21250418</v>
      </c>
      <c r="E33" s="399" t="s">
        <v>121</v>
      </c>
      <c r="F33" s="380" t="s">
        <v>122</v>
      </c>
      <c r="G33" s="380" t="s">
        <v>29</v>
      </c>
      <c r="H33" s="380" t="s">
        <v>25</v>
      </c>
      <c r="I33" s="380" t="s">
        <v>26</v>
      </c>
      <c r="J33" s="381" t="s">
        <v>27</v>
      </c>
      <c r="K33" s="376" t="s">
        <v>123</v>
      </c>
      <c r="L33" s="400"/>
      <c r="M33" s="400">
        <v>58.93</v>
      </c>
      <c r="N33" s="383">
        <v>5</v>
      </c>
      <c r="O33" s="383">
        <v>5</v>
      </c>
      <c r="P33" s="426" t="str">
        <f>ROUND(O33-N33,2)&amp;"("&amp;ROUND(((O33-N33)/N33)*100,0)&amp;"%)"</f>
        <v>0(0%)</v>
      </c>
      <c r="Q33" s="444"/>
      <c r="R33" s="399"/>
      <c r="S33" s="389"/>
    </row>
    <row r="34" ht="23" customHeight="1" spans="1:19">
      <c r="A34" s="421">
        <v>31</v>
      </c>
      <c r="B34" s="402"/>
      <c r="C34" s="378"/>
      <c r="D34" s="383" t="s">
        <v>124</v>
      </c>
      <c r="E34" s="379" t="s">
        <v>125</v>
      </c>
      <c r="F34" s="394" t="s">
        <v>122</v>
      </c>
      <c r="G34" s="389" t="s">
        <v>29</v>
      </c>
      <c r="H34" s="394" t="s">
        <v>53</v>
      </c>
      <c r="I34" s="394" t="s">
        <v>26</v>
      </c>
      <c r="J34" s="396">
        <v>0.97</v>
      </c>
      <c r="K34" s="384" t="s">
        <v>119</v>
      </c>
      <c r="L34" s="400">
        <v>28.6</v>
      </c>
      <c r="M34" s="397">
        <v>31.94</v>
      </c>
      <c r="N34" s="383">
        <v>11</v>
      </c>
      <c r="O34" s="383">
        <v>4</v>
      </c>
      <c r="P34" s="426" t="str">
        <f>ROUND(O34-N34,2)&amp;"("&amp;ROUND(((O34-N34)/N34)*100,0)&amp;"%)"</f>
        <v>-7(-64%)</v>
      </c>
      <c r="Q34" s="444"/>
      <c r="R34" s="399"/>
      <c r="S34" s="389"/>
    </row>
    <row r="35" ht="23" customHeight="1" spans="1:19">
      <c r="A35" s="421">
        <v>32</v>
      </c>
      <c r="B35" s="402"/>
      <c r="C35" s="378"/>
      <c r="D35" s="383" t="s">
        <v>126</v>
      </c>
      <c r="E35" s="399" t="s">
        <v>127</v>
      </c>
      <c r="F35" s="394" t="s">
        <v>122</v>
      </c>
      <c r="G35" s="389" t="s">
        <v>29</v>
      </c>
      <c r="H35" s="394" t="s">
        <v>30</v>
      </c>
      <c r="I35" s="394" t="s">
        <v>26</v>
      </c>
      <c r="J35" s="396">
        <v>0.99</v>
      </c>
      <c r="K35" s="384"/>
      <c r="L35" s="400">
        <v>40</v>
      </c>
      <c r="M35" s="397">
        <v>64.09</v>
      </c>
      <c r="N35" s="383">
        <v>0</v>
      </c>
      <c r="O35" s="383">
        <v>0</v>
      </c>
      <c r="P35" s="426">
        <v>0</v>
      </c>
      <c r="Q35" s="444"/>
      <c r="R35" s="399"/>
      <c r="S35" s="389" t="s">
        <v>128</v>
      </c>
    </row>
    <row r="36" ht="23" customHeight="1" spans="1:19">
      <c r="A36" s="421">
        <v>33</v>
      </c>
      <c r="B36" s="402"/>
      <c r="C36" s="378"/>
      <c r="D36" s="376" t="s">
        <v>129</v>
      </c>
      <c r="E36" s="379" t="s">
        <v>130</v>
      </c>
      <c r="F36" s="394" t="s">
        <v>122</v>
      </c>
      <c r="G36" s="380" t="s">
        <v>29</v>
      </c>
      <c r="H36" s="380" t="s">
        <v>25</v>
      </c>
      <c r="I36" s="394" t="s">
        <v>26</v>
      </c>
      <c r="J36" s="381" t="s">
        <v>27</v>
      </c>
      <c r="K36" s="376" t="s">
        <v>123</v>
      </c>
      <c r="L36" s="445"/>
      <c r="M36" s="382">
        <v>17.05</v>
      </c>
      <c r="N36" s="376">
        <v>1</v>
      </c>
      <c r="O36" s="376">
        <v>2</v>
      </c>
      <c r="P36" s="426" t="str">
        <f>ROUND(O36-N36,2)&amp;"("&amp;ROUND(((O36-N36)/N36)*100,0)&amp;"%)"</f>
        <v>1(100%)</v>
      </c>
      <c r="Q36" s="379"/>
      <c r="R36" s="399"/>
      <c r="S36" s="389"/>
    </row>
    <row r="37" ht="23" customHeight="1" spans="1:19">
      <c r="A37" s="421">
        <v>34</v>
      </c>
      <c r="B37" s="402"/>
      <c r="C37" s="378"/>
      <c r="D37" s="376" t="s">
        <v>131</v>
      </c>
      <c r="E37" s="379" t="s">
        <v>132</v>
      </c>
      <c r="F37" s="380" t="s">
        <v>122</v>
      </c>
      <c r="G37" s="380" t="s">
        <v>29</v>
      </c>
      <c r="H37" s="380" t="s">
        <v>25</v>
      </c>
      <c r="I37" s="380" t="s">
        <v>26</v>
      </c>
      <c r="J37" s="381" t="s">
        <v>27</v>
      </c>
      <c r="K37" s="388" t="s">
        <v>82</v>
      </c>
      <c r="L37" s="410"/>
      <c r="M37" s="410">
        <v>7.42</v>
      </c>
      <c r="N37" s="376"/>
      <c r="O37" s="376"/>
      <c r="P37" s="426"/>
      <c r="Q37" s="385"/>
      <c r="R37" s="379"/>
      <c r="S37" s="389"/>
    </row>
    <row r="38" ht="23" customHeight="1" spans="1:19">
      <c r="A38" s="421">
        <v>35</v>
      </c>
      <c r="B38" s="402"/>
      <c r="C38" s="378"/>
      <c r="D38" s="376">
        <v>21250417</v>
      </c>
      <c r="E38" s="379" t="s">
        <v>133</v>
      </c>
      <c r="F38" s="380" t="s">
        <v>134</v>
      </c>
      <c r="G38" s="380" t="s">
        <v>29</v>
      </c>
      <c r="H38" s="394" t="s">
        <v>25</v>
      </c>
      <c r="I38" s="380" t="s">
        <v>26</v>
      </c>
      <c r="J38" s="381" t="s">
        <v>27</v>
      </c>
      <c r="K38" s="376" t="s">
        <v>82</v>
      </c>
      <c r="L38" s="445"/>
      <c r="M38" s="382">
        <v>18.25</v>
      </c>
      <c r="N38" s="376"/>
      <c r="O38" s="376"/>
      <c r="P38" s="426"/>
      <c r="Q38" s="379"/>
      <c r="R38" s="379"/>
      <c r="S38" s="389"/>
    </row>
    <row r="39" ht="23" customHeight="1" spans="1:19">
      <c r="A39" s="421">
        <v>36</v>
      </c>
      <c r="B39" s="402"/>
      <c r="C39" s="378"/>
      <c r="D39" s="376"/>
      <c r="E39" s="399" t="s">
        <v>135</v>
      </c>
      <c r="F39" s="394"/>
      <c r="G39" s="389" t="s">
        <v>34</v>
      </c>
      <c r="H39" s="394" t="s">
        <v>136</v>
      </c>
      <c r="I39" s="380"/>
      <c r="J39" s="381"/>
      <c r="K39" s="388"/>
      <c r="L39" s="410"/>
      <c r="M39" s="410">
        <v>0.46</v>
      </c>
      <c r="N39" s="376"/>
      <c r="O39" s="376"/>
      <c r="P39" s="426"/>
      <c r="Q39" s="385"/>
      <c r="R39" s="379"/>
      <c r="S39" s="389" t="s">
        <v>137</v>
      </c>
    </row>
    <row r="40" ht="23" customHeight="1" spans="1:19">
      <c r="A40" s="421">
        <v>37</v>
      </c>
      <c r="B40" s="402"/>
      <c r="C40" s="378"/>
      <c r="D40" s="376"/>
      <c r="E40" s="399" t="s">
        <v>138</v>
      </c>
      <c r="F40" s="380"/>
      <c r="G40" s="380" t="s">
        <v>139</v>
      </c>
      <c r="H40" s="380" t="s">
        <v>140</v>
      </c>
      <c r="I40" s="380"/>
      <c r="J40" s="381"/>
      <c r="K40" s="388"/>
      <c r="L40" s="410"/>
      <c r="M40" s="410">
        <v>0.72</v>
      </c>
      <c r="N40" s="376"/>
      <c r="O40" s="376"/>
      <c r="P40" s="426"/>
      <c r="Q40" s="385"/>
      <c r="R40" s="379"/>
      <c r="S40" s="389"/>
    </row>
    <row r="41" ht="23" customHeight="1" spans="1:19">
      <c r="A41" s="421">
        <v>38</v>
      </c>
      <c r="B41" s="402"/>
      <c r="C41" s="446" t="s">
        <v>91</v>
      </c>
      <c r="D41" s="447"/>
      <c r="E41" s="379" t="s">
        <v>141</v>
      </c>
      <c r="F41" s="380" t="s">
        <v>142</v>
      </c>
      <c r="G41" s="380" t="s">
        <v>29</v>
      </c>
      <c r="H41" s="394"/>
      <c r="I41" s="394"/>
      <c r="J41" s="396"/>
      <c r="K41" s="384"/>
      <c r="L41" s="400"/>
      <c r="M41" s="400">
        <v>3.244</v>
      </c>
      <c r="N41" s="383">
        <v>2</v>
      </c>
      <c r="O41" s="383"/>
      <c r="P41" s="426" t="str">
        <f>ROUND(O41-N41,2)&amp;"("&amp;ROUND(((O41-N41)/N41)*100,0)&amp;"%)"</f>
        <v>-2(-100%)</v>
      </c>
      <c r="Q41" s="444"/>
      <c r="R41" s="399"/>
      <c r="S41" s="389"/>
    </row>
    <row r="42" ht="47" customHeight="1" spans="1:19">
      <c r="A42" s="411"/>
      <c r="B42" s="437"/>
      <c r="C42" s="413"/>
      <c r="D42" s="413"/>
      <c r="E42" s="413"/>
      <c r="F42" s="413"/>
      <c r="G42" s="413"/>
      <c r="H42" s="414"/>
      <c r="I42" s="414"/>
      <c r="J42" s="415"/>
      <c r="K42" s="415"/>
      <c r="L42" s="416" t="s">
        <v>98</v>
      </c>
      <c r="M42" s="416"/>
      <c r="N42" s="417">
        <f>SUM(N32:N41)</f>
        <v>46</v>
      </c>
      <c r="O42" s="415">
        <f>SUM(O32:O41)</f>
        <v>33</v>
      </c>
      <c r="P42" s="415"/>
      <c r="Q42" s="418" t="s">
        <v>99</v>
      </c>
      <c r="R42" s="419">
        <f>O42/7/5</f>
        <v>0.942857142857143</v>
      </c>
      <c r="S42" s="420"/>
    </row>
    <row r="43" ht="28" customHeight="1" spans="1:19">
      <c r="A43" s="421">
        <v>39</v>
      </c>
      <c r="B43" s="402" t="s">
        <v>143</v>
      </c>
      <c r="C43" s="448" t="s">
        <v>102</v>
      </c>
      <c r="D43" s="421">
        <v>22210906</v>
      </c>
      <c r="E43" s="439" t="s">
        <v>144</v>
      </c>
      <c r="F43" s="448" t="s">
        <v>59</v>
      </c>
      <c r="G43" s="448" t="s">
        <v>24</v>
      </c>
      <c r="H43" s="448" t="s">
        <v>53</v>
      </c>
      <c r="I43" s="448" t="s">
        <v>26</v>
      </c>
      <c r="J43" s="449" t="s">
        <v>24</v>
      </c>
      <c r="K43" s="421"/>
      <c r="L43" s="450"/>
      <c r="M43" s="450">
        <v>49.488</v>
      </c>
      <c r="N43" s="428">
        <v>41</v>
      </c>
      <c r="O43" s="428">
        <v>41</v>
      </c>
      <c r="P43" s="451" t="str">
        <f>O43-N43&amp;"("&amp;ROUND(((O43-N43)/N43*100),0)&amp;"%)"</f>
        <v>0(0%)</v>
      </c>
      <c r="Q43" s="452"/>
      <c r="R43" s="439"/>
      <c r="S43" s="438"/>
    </row>
    <row r="44" ht="28" customHeight="1" spans="1:19">
      <c r="A44" s="453">
        <v>40</v>
      </c>
      <c r="B44" s="402"/>
      <c r="C44" s="386"/>
      <c r="D44" s="376">
        <v>121018</v>
      </c>
      <c r="E44" s="379" t="s">
        <v>145</v>
      </c>
      <c r="F44" s="380" t="s">
        <v>146</v>
      </c>
      <c r="G44" s="380" t="s">
        <v>147</v>
      </c>
      <c r="H44" s="380" t="s">
        <v>136</v>
      </c>
      <c r="I44" s="380" t="s">
        <v>26</v>
      </c>
      <c r="J44" s="381" t="s">
        <v>27</v>
      </c>
      <c r="K44" s="388"/>
      <c r="L44" s="382"/>
      <c r="M44" s="382">
        <v>107.59</v>
      </c>
      <c r="N44" s="401">
        <v>16</v>
      </c>
      <c r="O44" s="401">
        <v>16.5</v>
      </c>
      <c r="P44" s="451" t="str">
        <f>O44-N44&amp;"("&amp;ROUND(((O44-N44)/N44*100),0)&amp;"%)"</f>
        <v>0.5(3%)</v>
      </c>
      <c r="Q44" s="454"/>
      <c r="R44" s="455"/>
      <c r="S44" s="402"/>
    </row>
    <row r="45" ht="40" customHeight="1" spans="1:19">
      <c r="A45" s="411"/>
      <c r="B45" s="412"/>
      <c r="C45" s="413"/>
      <c r="D45" s="413"/>
      <c r="E45" s="413"/>
      <c r="F45" s="413"/>
      <c r="G45" s="413"/>
      <c r="H45" s="414"/>
      <c r="I45" s="414"/>
      <c r="J45" s="415"/>
      <c r="K45" s="415"/>
      <c r="L45" s="416" t="s">
        <v>98</v>
      </c>
      <c r="M45" s="416"/>
      <c r="N45" s="417">
        <f>SUM(N43:N43)</f>
        <v>41</v>
      </c>
      <c r="O45" s="415">
        <f>SUM(O43:O44)</f>
        <v>57.5</v>
      </c>
      <c r="P45" s="415"/>
      <c r="Q45" s="418" t="s">
        <v>99</v>
      </c>
      <c r="R45" s="419">
        <f>O45/22/5</f>
        <v>0.522727272727273</v>
      </c>
      <c r="S45" s="420"/>
    </row>
    <row r="46" ht="43.2" customHeight="1" spans="1:19">
      <c r="A46" s="456"/>
      <c r="B46" s="457"/>
      <c r="C46" s="457"/>
      <c r="D46" s="456"/>
      <c r="E46" s="458"/>
      <c r="F46" s="457"/>
    </row>
    <row r="47" ht="43.2" customHeight="1" spans="1:19">
      <c r="A47" s="456"/>
      <c r="B47" s="457"/>
      <c r="C47" s="457"/>
      <c r="D47" s="456"/>
      <c r="E47" s="458"/>
      <c r="F47" s="457"/>
    </row>
    <row r="48" ht="15.6" spans="1:19">
      <c r="A48" s="459"/>
      <c r="B48" s="458"/>
      <c r="C48" s="458"/>
      <c r="D48" s="459"/>
      <c r="E48" s="458"/>
      <c r="F48" s="458"/>
    </row>
    <row r="49" ht="15.6" customHeight="1" spans="1:6">
      <c r="A49" s="459"/>
      <c r="B49" s="458"/>
      <c r="C49" s="458"/>
      <c r="D49" s="459"/>
      <c r="E49" s="458"/>
      <c r="F49" s="458"/>
    </row>
    <row r="50" ht="15.6" spans="1:6">
      <c r="A50" s="459"/>
      <c r="B50" s="458"/>
      <c r="C50" s="458"/>
      <c r="D50" s="459"/>
      <c r="E50" s="458"/>
      <c r="F50" s="458"/>
    </row>
    <row r="51" ht="15.6" spans="1:6">
      <c r="A51" s="459"/>
      <c r="B51" s="458"/>
      <c r="C51" s="458"/>
      <c r="D51" s="459"/>
      <c r="E51" s="458"/>
      <c r="F51" s="458"/>
    </row>
    <row r="52" ht="15.6" spans="1:6">
      <c r="A52" s="459"/>
      <c r="B52" s="458"/>
      <c r="C52" s="458"/>
      <c r="D52" s="459"/>
      <c r="E52" s="458"/>
      <c r="F52" s="458"/>
    </row>
    <row r="53" ht="15.6" spans="1:6">
      <c r="A53" s="459"/>
      <c r="B53" s="458"/>
      <c r="C53" s="458"/>
      <c r="D53" s="459"/>
      <c r="E53" s="458"/>
      <c r="F53" s="458"/>
    </row>
    <row r="54" spans="1:6">
      <c r="A54" s="49"/>
      <c r="B54" s="460"/>
      <c r="C54" s="460"/>
      <c r="D54" s="49"/>
      <c r="E54" s="460"/>
      <c r="F54" s="460"/>
    </row>
    <row r="55" spans="1:6">
      <c r="A55" s="49"/>
      <c r="B55" s="460"/>
      <c r="C55" s="460"/>
      <c r="D55" s="49"/>
      <c r="E55" s="460"/>
      <c r="F55" s="460"/>
    </row>
  </sheetData>
  <mergeCells count="32">
    <mergeCell ref="A1:S1"/>
    <mergeCell ref="C24:G24"/>
    <mergeCell ref="H24:I24"/>
    <mergeCell ref="J24:K24"/>
    <mergeCell ref="C31:G31"/>
    <mergeCell ref="H31:I31"/>
    <mergeCell ref="J31:K31"/>
    <mergeCell ref="C41:D41"/>
    <mergeCell ref="C42:G42"/>
    <mergeCell ref="H42:I42"/>
    <mergeCell ref="J42:K42"/>
    <mergeCell ref="C45:G45"/>
    <mergeCell ref="H45:I45"/>
    <mergeCell ref="J45:K45"/>
    <mergeCell ref="B3:B24"/>
    <mergeCell ref="B25:B31"/>
    <mergeCell ref="B32:B42"/>
    <mergeCell ref="B43:B45"/>
    <mergeCell ref="C3:C6"/>
    <mergeCell ref="C7:C10"/>
    <mergeCell ref="C11:C12"/>
    <mergeCell ref="C13:C16"/>
    <mergeCell ref="C17:C18"/>
    <mergeCell ref="C19:C23"/>
    <mergeCell ref="C25:C30"/>
    <mergeCell ref="C32:C40"/>
    <mergeCell ref="D19:D23"/>
    <mergeCell ref="K5:K6"/>
    <mergeCell ref="K13:K14"/>
    <mergeCell ref="L5:L6"/>
    <mergeCell ref="M5:M6"/>
    <mergeCell ref="M13:M14"/>
  </mergeCells>
  <dataValidations count="7">
    <dataValidation type="list" allowBlank="1" showInputMessage="1" showErrorMessage="1" sqref="H8 H12 H43:H44">
      <formula1>"售前,立项,需求,开发,发布,实施,验收"</formula1>
    </dataValidation>
    <dataValidation type="list" allowBlank="1" showInputMessage="1" showErrorMessage="1" sqref="H9 H11 H32 H18:H23 H34:H35 H38:H39">
      <formula1>"售前,立项,需求,开发,发布,实施,验收,上线运行,维护"</formula1>
    </dataValidation>
    <dataValidation type="list" allowBlank="1" showInputMessage="1" showErrorMessage="1" sqref="H10 H33 H3:H7 H13:H17 H26:H30 H36:H37">
      <formula1>"售前,立项,需求,开发,发布,实施,验收,上线运行"</formula1>
    </dataValidation>
    <dataValidation type="list" allowBlank="1" showInputMessage="1" showErrorMessage="1" sqref="H25 H41">
      <formula1>"售前,立项,需求,设计,开发,发布,实施,验收"</formula1>
    </dataValidation>
    <dataValidation type="list" allowBlank="1" showInputMessage="1" showErrorMessage="1" sqref="I36">
      <formula1>"长期项目,正常,提前,延迟,严重延迟,暂停"</formula1>
    </dataValidation>
    <dataValidation type="list" allowBlank="1" showInputMessage="1" showErrorMessage="1" sqref="H40">
      <formula1>"售前,立项,需求,设计,开发,发布,实施,验收,挂起,暂停"</formula1>
    </dataValidation>
    <dataValidation type="list" allowBlank="1" showInputMessage="1" showErrorMessage="1" sqref="I3:I23 I25:I30 I32:I35 I37:I41 I43:I44">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14" activePane="bottomLeft" state="frozen"/>
      <selection/>
      <selection pane="bottomLeft" activeCell="A22" sqref="$A22:$XFD27"/>
    </sheetView>
  </sheetViews>
  <sheetFormatPr defaultColWidth="9.11111111111111" defaultRowHeight="13.2"/>
  <cols>
    <col min="1" max="1" width="22.4444444444444" style="317" customWidth="1"/>
    <col min="2" max="2" width="11.6666666666667" style="317" customWidth="1"/>
    <col min="3" max="5" width="9.11111111111111" style="317"/>
    <col min="6" max="6" width="19.5555555555556" style="317" customWidth="1"/>
    <col min="7" max="7" width="9.11111111111111" style="317"/>
    <col min="8" max="8" width="69.7777777777778" style="317" customWidth="1"/>
    <col min="9" max="11" width="9.11111111111111" style="317"/>
    <col min="12" max="12" width="30.4444444444444" style="318" customWidth="1"/>
    <col min="13" max="16384" width="9.11111111111111" style="317"/>
  </cols>
  <sheetData>
    <row r="1" ht="69.6" spans="1:26">
      <c r="A1" s="319" t="s">
        <v>148</v>
      </c>
      <c r="B1" s="320" t="s">
        <v>6</v>
      </c>
      <c r="C1" s="319" t="s">
        <v>149</v>
      </c>
      <c r="D1" s="319" t="s">
        <v>150</v>
      </c>
      <c r="E1" s="320" t="s">
        <v>151</v>
      </c>
      <c r="F1" s="319" t="s">
        <v>152</v>
      </c>
      <c r="G1" s="319" t="s">
        <v>1</v>
      </c>
      <c r="H1" s="321" t="s">
        <v>153</v>
      </c>
      <c r="I1" s="319" t="s">
        <v>154</v>
      </c>
      <c r="J1" s="322" t="s">
        <v>155</v>
      </c>
      <c r="K1" s="319" t="s">
        <v>156</v>
      </c>
      <c r="L1" s="323" t="s">
        <v>157</v>
      </c>
      <c r="M1" s="324"/>
      <c r="N1" s="324"/>
      <c r="O1" s="324"/>
      <c r="P1" s="324"/>
      <c r="Q1" s="324"/>
      <c r="R1" s="324"/>
      <c r="S1" s="324"/>
      <c r="T1" s="324"/>
      <c r="U1" s="324"/>
      <c r="V1" s="324"/>
      <c r="W1" s="324"/>
      <c r="X1" s="324"/>
      <c r="Y1" s="324"/>
      <c r="Z1" s="324"/>
    </row>
    <row r="2" ht="140.4" customHeight="1" spans="1:26">
      <c r="A2" s="319" t="s">
        <v>158</v>
      </c>
      <c r="B2" s="325" t="s">
        <v>23</v>
      </c>
      <c r="C2" s="326" t="s">
        <v>24</v>
      </c>
      <c r="D2" s="327"/>
      <c r="E2" s="328"/>
      <c r="F2" s="327"/>
      <c r="G2" s="329">
        <v>1</v>
      </c>
      <c r="H2" s="330" t="s">
        <v>159</v>
      </c>
      <c r="I2" s="194" t="s">
        <v>23</v>
      </c>
      <c r="J2" s="326">
        <v>1</v>
      </c>
      <c r="K2" s="327"/>
      <c r="L2" s="325">
        <v>1</v>
      </c>
    </row>
    <row r="3" ht="30" spans="1:26">
      <c r="A3" s="319"/>
      <c r="B3" s="325"/>
      <c r="C3" s="327"/>
      <c r="D3" s="327"/>
      <c r="E3" s="328"/>
      <c r="F3" s="327"/>
      <c r="G3" s="327">
        <v>2</v>
      </c>
      <c r="H3" s="331" t="s">
        <v>160</v>
      </c>
      <c r="I3" s="194" t="s">
        <v>23</v>
      </c>
      <c r="J3" s="326">
        <v>1</v>
      </c>
      <c r="K3" s="327"/>
      <c r="L3" s="325">
        <v>0.25</v>
      </c>
    </row>
    <row r="4" ht="30" spans="1:26">
      <c r="A4" s="319"/>
      <c r="B4" s="325"/>
      <c r="C4" s="327"/>
      <c r="D4" s="327"/>
      <c r="E4" s="328"/>
      <c r="F4" s="327"/>
      <c r="G4" s="327">
        <v>3</v>
      </c>
      <c r="H4" s="331" t="s">
        <v>161</v>
      </c>
      <c r="I4" s="194" t="s">
        <v>23</v>
      </c>
      <c r="J4" s="326">
        <v>1</v>
      </c>
      <c r="K4" s="327"/>
      <c r="L4" s="325">
        <v>0.25</v>
      </c>
    </row>
    <row r="5" ht="90" spans="1:26">
      <c r="A5" s="319"/>
      <c r="B5" s="325"/>
      <c r="C5" s="327"/>
      <c r="D5" s="327"/>
      <c r="E5" s="328"/>
      <c r="F5" s="327"/>
      <c r="G5" s="327">
        <v>4</v>
      </c>
      <c r="H5" s="331" t="s">
        <v>162</v>
      </c>
      <c r="I5" s="194" t="s">
        <v>163</v>
      </c>
      <c r="J5" s="326">
        <v>1</v>
      </c>
      <c r="K5" s="327"/>
      <c r="L5" s="325">
        <v>2</v>
      </c>
    </row>
    <row r="6" ht="30" spans="1:26">
      <c r="A6" s="319"/>
      <c r="B6" s="325"/>
      <c r="C6" s="327"/>
      <c r="D6" s="327"/>
      <c r="E6" s="328"/>
      <c r="F6" s="327"/>
      <c r="G6" s="327">
        <v>5</v>
      </c>
      <c r="H6" s="332" t="s">
        <v>164</v>
      </c>
      <c r="I6" s="194" t="s">
        <v>163</v>
      </c>
      <c r="J6" s="326">
        <v>1</v>
      </c>
      <c r="K6" s="327"/>
      <c r="L6" s="325">
        <v>1</v>
      </c>
    </row>
    <row r="7" ht="15.6" spans="1:26">
      <c r="A7" s="319"/>
      <c r="B7" s="325"/>
      <c r="C7" s="327"/>
      <c r="D7" s="327"/>
      <c r="E7" s="328"/>
      <c r="F7" s="327"/>
      <c r="G7" s="327">
        <v>6</v>
      </c>
      <c r="H7" s="332" t="s">
        <v>165</v>
      </c>
      <c r="I7" s="327" t="s">
        <v>166</v>
      </c>
      <c r="J7" s="326">
        <v>1</v>
      </c>
      <c r="K7" s="327"/>
      <c r="L7" s="325">
        <v>1</v>
      </c>
    </row>
    <row r="8" ht="15.6" spans="1:26">
      <c r="A8" s="319"/>
      <c r="B8" s="325"/>
      <c r="C8" s="327"/>
      <c r="D8" s="327"/>
      <c r="E8" s="328"/>
      <c r="F8" s="327"/>
      <c r="G8" s="327">
        <v>7</v>
      </c>
      <c r="H8" s="332" t="s">
        <v>167</v>
      </c>
      <c r="I8" s="327" t="s">
        <v>166</v>
      </c>
      <c r="J8" s="326">
        <v>1</v>
      </c>
      <c r="K8" s="327"/>
      <c r="L8" s="325">
        <v>1</v>
      </c>
    </row>
    <row r="9" ht="15.6" spans="1:26">
      <c r="A9" s="319"/>
      <c r="B9" s="325"/>
      <c r="C9" s="327"/>
      <c r="D9" s="327"/>
      <c r="E9" s="328"/>
      <c r="F9" s="327"/>
      <c r="G9" s="327">
        <v>8</v>
      </c>
      <c r="H9" s="332"/>
      <c r="I9" s="327"/>
      <c r="J9" s="326"/>
      <c r="K9" s="327"/>
      <c r="L9" s="325"/>
    </row>
    <row r="10" ht="15" spans="1:26">
      <c r="A10" s="319"/>
      <c r="B10" s="325"/>
      <c r="C10" s="327"/>
      <c r="D10" s="327"/>
      <c r="E10" s="204" t="s">
        <v>168</v>
      </c>
      <c r="F10" s="204"/>
      <c r="G10" s="204"/>
      <c r="H10" s="204"/>
      <c r="I10" s="204"/>
      <c r="J10" s="205"/>
      <c r="K10" s="206"/>
      <c r="L10" s="207">
        <f>SUM(L2:L9)</f>
        <v>6.5</v>
      </c>
    </row>
    <row r="11" ht="15.6" spans="1:26">
      <c r="A11" s="319"/>
      <c r="B11" s="325"/>
      <c r="C11" s="327"/>
      <c r="D11" s="327"/>
      <c r="E11" s="328" t="s">
        <v>169</v>
      </c>
      <c r="F11" s="328" t="s">
        <v>53</v>
      </c>
      <c r="G11" s="328">
        <v>1</v>
      </c>
      <c r="H11" s="333"/>
      <c r="I11" s="327"/>
      <c r="J11" s="334"/>
      <c r="K11" s="328"/>
      <c r="L11" s="335"/>
    </row>
    <row r="12" ht="15.6" spans="1:26">
      <c r="A12" s="319"/>
      <c r="B12" s="325"/>
      <c r="C12" s="327"/>
      <c r="D12" s="327"/>
      <c r="E12" s="328"/>
      <c r="F12" s="328"/>
      <c r="G12" s="328">
        <v>2</v>
      </c>
      <c r="H12" s="333"/>
      <c r="I12" s="328"/>
      <c r="J12" s="334"/>
      <c r="K12" s="328"/>
      <c r="L12" s="335"/>
    </row>
    <row r="13" ht="120" spans="1:26">
      <c r="A13" s="319" t="s">
        <v>170</v>
      </c>
      <c r="B13" s="325" t="s">
        <v>23</v>
      </c>
      <c r="C13" s="326">
        <v>0.94</v>
      </c>
      <c r="D13" s="327"/>
      <c r="E13" s="328" t="s">
        <v>171</v>
      </c>
      <c r="F13" s="329" t="s">
        <v>172</v>
      </c>
      <c r="G13" s="327">
        <v>1</v>
      </c>
      <c r="H13" s="336" t="s">
        <v>173</v>
      </c>
      <c r="I13" s="194" t="s">
        <v>23</v>
      </c>
      <c r="J13" s="326">
        <v>1</v>
      </c>
      <c r="K13" s="328"/>
      <c r="L13" s="325">
        <v>3.5</v>
      </c>
    </row>
    <row r="14" ht="15.6" spans="1:26">
      <c r="A14" s="319"/>
      <c r="B14" s="325"/>
      <c r="C14" s="326"/>
      <c r="D14" s="327"/>
      <c r="E14" s="328"/>
      <c r="F14" s="337"/>
      <c r="G14" s="327">
        <v>2</v>
      </c>
      <c r="H14" s="336" t="s">
        <v>174</v>
      </c>
      <c r="I14" s="194" t="s">
        <v>163</v>
      </c>
      <c r="J14" s="326">
        <v>1</v>
      </c>
      <c r="K14" s="328"/>
      <c r="L14" s="325">
        <v>2</v>
      </c>
    </row>
    <row r="15" ht="90" spans="1:26">
      <c r="A15" s="319"/>
      <c r="B15" s="325"/>
      <c r="C15" s="326"/>
      <c r="D15" s="327"/>
      <c r="E15" s="328"/>
      <c r="F15" s="337"/>
      <c r="G15" s="327">
        <v>3</v>
      </c>
      <c r="H15" s="336" t="s">
        <v>175</v>
      </c>
      <c r="I15" s="194" t="s">
        <v>176</v>
      </c>
      <c r="J15" s="326">
        <v>1</v>
      </c>
      <c r="K15" s="328"/>
      <c r="L15" s="325">
        <v>5</v>
      </c>
    </row>
    <row r="16" ht="15" spans="1:26">
      <c r="A16" s="319"/>
      <c r="B16" s="325"/>
      <c r="C16" s="327"/>
      <c r="D16" s="327"/>
      <c r="E16" s="328"/>
      <c r="F16" s="194" t="s">
        <v>177</v>
      </c>
      <c r="G16" s="338">
        <v>1</v>
      </c>
      <c r="H16" s="331" t="s">
        <v>178</v>
      </c>
      <c r="I16" s="194" t="s">
        <v>166</v>
      </c>
      <c r="J16" s="339">
        <v>1</v>
      </c>
      <c r="K16" s="340"/>
      <c r="L16" s="341">
        <v>3</v>
      </c>
    </row>
    <row r="17" ht="15" spans="1:12">
      <c r="A17" s="319"/>
      <c r="B17" s="325"/>
      <c r="C17" s="327"/>
      <c r="D17" s="327"/>
      <c r="E17" s="328"/>
      <c r="F17" s="194"/>
      <c r="G17" s="338">
        <v>2</v>
      </c>
      <c r="H17" s="331"/>
      <c r="I17" s="194"/>
      <c r="J17" s="339"/>
      <c r="K17" s="340"/>
      <c r="L17" s="341"/>
    </row>
    <row r="18" ht="28.8" customHeight="1" spans="1:12">
      <c r="A18" s="319"/>
      <c r="B18" s="325"/>
      <c r="C18" s="327"/>
      <c r="D18" s="327"/>
      <c r="E18" s="328"/>
      <c r="F18" s="194"/>
      <c r="G18" s="338">
        <v>3</v>
      </c>
      <c r="H18" s="331"/>
      <c r="I18" s="194"/>
      <c r="J18" s="339"/>
      <c r="K18" s="340"/>
      <c r="L18" s="341"/>
    </row>
    <row r="19" ht="15" spans="1:12">
      <c r="A19" s="319"/>
      <c r="B19" s="325"/>
      <c r="C19" s="327"/>
      <c r="D19" s="327"/>
      <c r="E19" s="204" t="s">
        <v>168</v>
      </c>
      <c r="F19" s="204"/>
      <c r="G19" s="204"/>
      <c r="H19" s="204"/>
      <c r="I19" s="204"/>
      <c r="J19" s="205"/>
      <c r="K19" s="206"/>
      <c r="L19" s="207">
        <f>SUM(L13:L18)</f>
        <v>13.5</v>
      </c>
    </row>
    <row r="20" ht="15.6" spans="1:12">
      <c r="A20" s="319"/>
      <c r="B20" s="325"/>
      <c r="C20" s="327"/>
      <c r="D20" s="327"/>
      <c r="E20" s="328" t="s">
        <v>169</v>
      </c>
      <c r="F20" s="328" t="s">
        <v>53</v>
      </c>
      <c r="G20" s="328">
        <v>1</v>
      </c>
      <c r="H20" s="333"/>
      <c r="I20" s="327"/>
      <c r="J20" s="334"/>
      <c r="K20" s="328"/>
      <c r="L20" s="335"/>
    </row>
    <row r="21" ht="15" spans="1:12">
      <c r="A21" s="319"/>
      <c r="B21" s="325"/>
      <c r="C21" s="327"/>
      <c r="D21" s="327"/>
      <c r="E21" s="328"/>
      <c r="F21" s="328"/>
      <c r="G21" s="328">
        <v>2</v>
      </c>
      <c r="H21" s="332"/>
      <c r="I21" s="328"/>
      <c r="J21" s="334"/>
      <c r="K21" s="328"/>
      <c r="L21" s="335"/>
    </row>
    <row r="22" s="316" customFormat="1" customHeight="1" spans="1:12">
      <c r="A22" s="342" t="s">
        <v>179</v>
      </c>
      <c r="B22" s="343" t="s">
        <v>93</v>
      </c>
      <c r="C22" s="344"/>
      <c r="D22" s="345"/>
      <c r="E22" s="346" t="s">
        <v>171</v>
      </c>
      <c r="F22" s="304" t="s">
        <v>180</v>
      </c>
      <c r="G22" s="304">
        <v>1</v>
      </c>
      <c r="H22" s="305" t="s">
        <v>181</v>
      </c>
      <c r="I22" s="306" t="s">
        <v>93</v>
      </c>
      <c r="J22" s="307">
        <v>1</v>
      </c>
      <c r="K22" s="308"/>
      <c r="L22" s="309">
        <v>6</v>
      </c>
    </row>
    <row r="23" s="316" customFormat="1" customHeight="1" spans="1:12">
      <c r="A23" s="347"/>
      <c r="B23" s="348"/>
      <c r="C23" s="349"/>
      <c r="D23" s="350"/>
      <c r="E23" s="351"/>
      <c r="F23" s="304"/>
      <c r="G23" s="304"/>
      <c r="H23" s="305"/>
      <c r="I23" s="306" t="s">
        <v>182</v>
      </c>
      <c r="J23" s="307">
        <v>1</v>
      </c>
      <c r="K23" s="308"/>
      <c r="L23" s="309">
        <v>5</v>
      </c>
    </row>
    <row r="24" s="316" customFormat="1" customHeight="1" spans="1:12">
      <c r="A24" s="347"/>
      <c r="B24" s="348"/>
      <c r="C24" s="349"/>
      <c r="D24" s="350"/>
      <c r="E24" s="351"/>
      <c r="F24" s="304"/>
      <c r="G24" s="304"/>
      <c r="H24" s="305"/>
      <c r="I24" s="306" t="s">
        <v>183</v>
      </c>
      <c r="J24" s="307">
        <v>1</v>
      </c>
      <c r="K24" s="308"/>
      <c r="L24" s="309">
        <v>5</v>
      </c>
    </row>
    <row r="25" s="316" customFormat="1" ht="91.2" customHeight="1" spans="1:12">
      <c r="A25" s="347"/>
      <c r="B25" s="348"/>
      <c r="C25" s="349"/>
      <c r="D25" s="350"/>
      <c r="E25" s="351"/>
      <c r="F25" s="308" t="s">
        <v>184</v>
      </c>
      <c r="G25" s="304">
        <v>1</v>
      </c>
      <c r="H25" s="305" t="s">
        <v>185</v>
      </c>
      <c r="I25" s="306" t="s">
        <v>186</v>
      </c>
      <c r="J25" s="307">
        <v>1</v>
      </c>
      <c r="K25" s="308"/>
      <c r="L25" s="310">
        <v>4</v>
      </c>
    </row>
    <row r="26" s="316" customFormat="1" ht="90.6" customHeight="1" spans="1:12">
      <c r="A26" s="347"/>
      <c r="B26" s="348"/>
      <c r="C26" s="349"/>
      <c r="D26" s="350"/>
      <c r="E26" s="352"/>
      <c r="F26" s="308"/>
      <c r="G26" s="304"/>
      <c r="H26" s="305"/>
      <c r="I26" s="306" t="s">
        <v>187</v>
      </c>
      <c r="J26" s="307">
        <v>1</v>
      </c>
      <c r="K26" s="308"/>
      <c r="L26" s="310">
        <v>3</v>
      </c>
    </row>
    <row r="27" s="316" customFormat="1" customHeight="1" spans="1:12">
      <c r="A27" s="353"/>
      <c r="B27" s="354"/>
      <c r="C27" s="355"/>
      <c r="D27" s="356"/>
      <c r="E27" s="357" t="s">
        <v>168</v>
      </c>
      <c r="F27" s="357"/>
      <c r="G27" s="357"/>
      <c r="H27" s="357"/>
      <c r="I27" s="357"/>
      <c r="J27" s="358"/>
      <c r="K27" s="359"/>
      <c r="L27" s="360">
        <f>SUM(L22:L26)</f>
        <v>23</v>
      </c>
    </row>
  </sheetData>
  <autoFilter xmlns:etc="http://www.wps.cn/officeDocument/2017/etCustomData" ref="A1:L21" etc:filterBottomFollowUsedRange="0">
    <extLst/>
  </autoFilter>
  <mergeCells count="31">
    <mergeCell ref="E10:H10"/>
    <mergeCell ref="E19:H19"/>
    <mergeCell ref="E27:H27"/>
    <mergeCell ref="A2:A12"/>
    <mergeCell ref="A13:A21"/>
    <mergeCell ref="A22:A27"/>
    <mergeCell ref="B2:B12"/>
    <mergeCell ref="B13:B21"/>
    <mergeCell ref="B22:B27"/>
    <mergeCell ref="C2:C12"/>
    <mergeCell ref="C13:C21"/>
    <mergeCell ref="C22:C27"/>
    <mergeCell ref="D2:D12"/>
    <mergeCell ref="D13:D21"/>
    <mergeCell ref="D22:D27"/>
    <mergeCell ref="E2:E9"/>
    <mergeCell ref="E11:E12"/>
    <mergeCell ref="E13:E18"/>
    <mergeCell ref="E20:E21"/>
    <mergeCell ref="E22:E26"/>
    <mergeCell ref="F2:F9"/>
    <mergeCell ref="F11:F12"/>
    <mergeCell ref="F13:F15"/>
    <mergeCell ref="F16:F18"/>
    <mergeCell ref="F20:F21"/>
    <mergeCell ref="F22:F24"/>
    <mergeCell ref="F25:F26"/>
    <mergeCell ref="G22:G24"/>
    <mergeCell ref="G25:G26"/>
    <mergeCell ref="H22:H24"/>
    <mergeCell ref="H25:H2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62"/>
  <sheetViews>
    <sheetView workbookViewId="0">
      <pane ySplit="1" topLeftCell="A10" activePane="bottomLeft" state="frozen"/>
      <selection/>
      <selection pane="bottomLeft" activeCell="L22" sqref="L22"/>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s="1" customFormat="1" ht="15.6" spans="1:26">
      <c r="A2" s="3" t="s">
        <v>188</v>
      </c>
      <c r="B2" s="9" t="s">
        <v>40</v>
      </c>
      <c r="C2" s="461" t="s">
        <v>189</v>
      </c>
      <c r="D2" s="10"/>
      <c r="E2" s="11" t="s">
        <v>171</v>
      </c>
      <c r="F2" s="10" t="s">
        <v>53</v>
      </c>
      <c r="G2" s="10">
        <v>1</v>
      </c>
      <c r="H2" s="13" t="s">
        <v>190</v>
      </c>
      <c r="I2" s="14" t="s">
        <v>40</v>
      </c>
      <c r="J2" s="15">
        <v>1</v>
      </c>
      <c r="K2" s="10"/>
      <c r="L2" s="9">
        <v>2</v>
      </c>
    </row>
    <row r="3" s="1" customFormat="1" ht="15.6" spans="1:26">
      <c r="A3" s="3"/>
      <c r="B3" s="9"/>
      <c r="C3" s="10"/>
      <c r="D3" s="10"/>
      <c r="E3" s="11"/>
      <c r="F3" s="10"/>
      <c r="G3" s="10">
        <v>2</v>
      </c>
      <c r="H3" s="17" t="s">
        <v>191</v>
      </c>
      <c r="I3" s="14" t="s">
        <v>40</v>
      </c>
      <c r="J3" s="15">
        <v>1</v>
      </c>
      <c r="K3" s="10"/>
      <c r="L3" s="9">
        <v>1</v>
      </c>
    </row>
    <row r="4" s="1" customFormat="1" ht="15.6" spans="1:26">
      <c r="A4" s="3"/>
      <c r="B4" s="9"/>
      <c r="C4" s="10"/>
      <c r="D4" s="10"/>
      <c r="E4" s="11"/>
      <c r="F4" s="10"/>
      <c r="G4" s="10">
        <v>3</v>
      </c>
      <c r="H4" s="13" t="s">
        <v>192</v>
      </c>
      <c r="I4" s="14" t="s">
        <v>40</v>
      </c>
      <c r="J4" s="15">
        <v>1</v>
      </c>
      <c r="K4" s="10"/>
      <c r="L4" s="9">
        <v>1</v>
      </c>
    </row>
    <row r="5" s="1" customFormat="1" ht="15" spans="1:26">
      <c r="A5" s="3"/>
      <c r="B5" s="9"/>
      <c r="C5" s="10"/>
      <c r="D5" s="10"/>
      <c r="E5" s="38" t="s">
        <v>168</v>
      </c>
      <c r="F5" s="38"/>
      <c r="G5" s="38"/>
      <c r="H5" s="38"/>
      <c r="I5" s="38"/>
      <c r="J5" s="39"/>
      <c r="K5" s="40"/>
      <c r="L5" s="41">
        <f>SUM(L2:L4)</f>
        <v>4</v>
      </c>
    </row>
    <row r="6" s="1" customFormat="1" ht="15" spans="1:26">
      <c r="A6" s="3"/>
      <c r="B6" s="9"/>
      <c r="C6" s="10"/>
      <c r="D6" s="10"/>
      <c r="E6" s="11" t="s">
        <v>169</v>
      </c>
      <c r="F6" s="11" t="s">
        <v>53</v>
      </c>
      <c r="G6" s="11">
        <v>1</v>
      </c>
      <c r="H6" s="13"/>
      <c r="I6" s="10"/>
      <c r="J6" s="44"/>
      <c r="K6" s="11"/>
      <c r="L6" s="45"/>
    </row>
    <row r="7" s="1" customFormat="1" ht="15" spans="1:26">
      <c r="A7" s="3"/>
      <c r="B7" s="9"/>
      <c r="C7" s="10"/>
      <c r="D7" s="10"/>
      <c r="E7" s="11"/>
      <c r="F7" s="11"/>
      <c r="G7" s="11">
        <v>2</v>
      </c>
      <c r="H7" s="13"/>
      <c r="I7" s="11"/>
      <c r="J7" s="44"/>
      <c r="K7" s="11"/>
      <c r="L7" s="45"/>
    </row>
    <row r="8" ht="150" spans="1:26">
      <c r="A8" s="3" t="s">
        <v>193</v>
      </c>
      <c r="B8" s="9" t="s">
        <v>48</v>
      </c>
      <c r="C8" s="10"/>
      <c r="D8" s="10"/>
      <c r="E8" s="299" t="s">
        <v>171</v>
      </c>
      <c r="F8" s="12" t="s">
        <v>194</v>
      </c>
      <c r="G8" s="10">
        <v>1</v>
      </c>
      <c r="H8" s="300" t="s">
        <v>195</v>
      </c>
      <c r="I8" s="14" t="s">
        <v>48</v>
      </c>
      <c r="J8" s="15">
        <v>1</v>
      </c>
      <c r="K8" s="11"/>
      <c r="L8" s="9">
        <v>3</v>
      </c>
      <c r="M8" s="8"/>
      <c r="N8" s="8"/>
      <c r="O8" s="8"/>
      <c r="P8" s="8"/>
      <c r="Q8" s="8"/>
      <c r="R8" s="8"/>
      <c r="S8" s="8"/>
      <c r="T8" s="8"/>
      <c r="U8" s="8"/>
      <c r="V8" s="8"/>
      <c r="W8" s="8"/>
      <c r="X8" s="8"/>
      <c r="Y8" s="8"/>
      <c r="Z8" s="8"/>
    </row>
    <row r="9" ht="135" spans="1:26">
      <c r="A9" s="3"/>
      <c r="B9" s="9"/>
      <c r="C9" s="10"/>
      <c r="D9" s="10"/>
      <c r="E9" s="301"/>
      <c r="F9" s="21"/>
      <c r="G9" s="10">
        <v>2</v>
      </c>
      <c r="H9" s="300" t="s">
        <v>196</v>
      </c>
      <c r="I9" s="14" t="s">
        <v>197</v>
      </c>
      <c r="J9" s="15">
        <v>1</v>
      </c>
      <c r="K9" s="10"/>
      <c r="L9" s="9">
        <v>5</v>
      </c>
      <c r="M9" s="8"/>
      <c r="N9" s="8"/>
      <c r="O9" s="8"/>
      <c r="P9" s="8"/>
      <c r="Q9" s="8"/>
      <c r="R9" s="8"/>
      <c r="S9" s="8"/>
      <c r="T9" s="8"/>
      <c r="U9" s="8"/>
      <c r="V9" s="8"/>
      <c r="W9" s="8"/>
      <c r="X9" s="8"/>
      <c r="Y9" s="8"/>
      <c r="Z9" s="8"/>
    </row>
    <row r="10" ht="45" spans="1:26">
      <c r="A10" s="3"/>
      <c r="B10" s="9"/>
      <c r="C10" s="10"/>
      <c r="D10" s="10"/>
      <c r="E10" s="301"/>
      <c r="F10" s="21" t="s">
        <v>53</v>
      </c>
      <c r="G10" s="10">
        <v>3</v>
      </c>
      <c r="H10" s="300" t="s">
        <v>198</v>
      </c>
      <c r="I10" s="14" t="s">
        <v>48</v>
      </c>
      <c r="J10" s="15">
        <v>1</v>
      </c>
      <c r="K10" s="10"/>
      <c r="L10" s="9">
        <v>2</v>
      </c>
      <c r="M10" s="8"/>
      <c r="N10" s="8"/>
      <c r="O10" s="8"/>
      <c r="P10" s="8"/>
      <c r="Q10" s="8"/>
      <c r="R10" s="8"/>
      <c r="S10" s="8"/>
      <c r="T10" s="8"/>
      <c r="U10" s="8"/>
      <c r="V10" s="8"/>
      <c r="W10" s="8"/>
      <c r="X10" s="8"/>
      <c r="Y10" s="8"/>
      <c r="Z10" s="8"/>
    </row>
    <row r="11" ht="15.6" spans="1:26">
      <c r="A11" s="3"/>
      <c r="B11" s="9"/>
      <c r="C11" s="10"/>
      <c r="D11" s="10"/>
      <c r="E11" s="38" t="s">
        <v>168</v>
      </c>
      <c r="F11" s="38"/>
      <c r="G11" s="38"/>
      <c r="H11" s="38"/>
      <c r="I11" s="38"/>
      <c r="J11" s="39"/>
      <c r="K11" s="40"/>
      <c r="L11" s="302">
        <f>SUM(L8:L10)</f>
        <v>10</v>
      </c>
      <c r="M11" s="8"/>
      <c r="N11" s="8"/>
      <c r="O11" s="8"/>
      <c r="P11" s="8"/>
      <c r="Q11" s="8"/>
      <c r="R11" s="8"/>
      <c r="S11" s="8"/>
      <c r="T11" s="8"/>
      <c r="U11" s="8"/>
      <c r="V11" s="8"/>
      <c r="W11" s="8"/>
      <c r="X11" s="8"/>
      <c r="Y11" s="8"/>
      <c r="Z11" s="8"/>
    </row>
    <row r="12" ht="15.6" spans="1:26">
      <c r="A12" s="3"/>
      <c r="B12" s="9"/>
      <c r="C12" s="10"/>
      <c r="D12" s="10"/>
      <c r="E12" s="11" t="s">
        <v>169</v>
      </c>
      <c r="F12" s="11"/>
      <c r="G12" s="11"/>
      <c r="H12" s="43"/>
      <c r="I12" s="10"/>
      <c r="J12" s="44"/>
      <c r="K12" s="11"/>
      <c r="L12" s="45"/>
      <c r="M12" s="8"/>
      <c r="N12" s="8"/>
      <c r="O12" s="8"/>
      <c r="P12" s="8"/>
      <c r="Q12" s="8"/>
      <c r="R12" s="8"/>
      <c r="S12" s="8"/>
      <c r="T12" s="8"/>
      <c r="U12" s="8"/>
      <c r="V12" s="8"/>
      <c r="W12" s="8"/>
      <c r="X12" s="8"/>
      <c r="Y12" s="8"/>
      <c r="Z12" s="8"/>
    </row>
    <row r="13" ht="15" spans="1:26">
      <c r="A13" s="3"/>
      <c r="B13" s="9"/>
      <c r="C13" s="10"/>
      <c r="D13" s="10"/>
      <c r="E13" s="11"/>
      <c r="F13" s="11"/>
      <c r="G13" s="11"/>
      <c r="H13" s="13"/>
      <c r="I13" s="11"/>
      <c r="J13" s="44"/>
      <c r="K13" s="11"/>
      <c r="L13" s="45"/>
      <c r="M13" s="8"/>
      <c r="N13" s="8"/>
      <c r="O13" s="8"/>
      <c r="P13" s="8"/>
      <c r="Q13" s="8"/>
      <c r="R13" s="8"/>
      <c r="S13" s="8"/>
      <c r="T13" s="8"/>
      <c r="U13" s="8"/>
      <c r="V13" s="8"/>
      <c r="W13" s="8"/>
      <c r="X13" s="8"/>
      <c r="Y13" s="8"/>
      <c r="Z13" s="8"/>
    </row>
    <row r="14" s="1" customFormat="1" ht="30" spans="1:26">
      <c r="A14" s="3" t="s">
        <v>199</v>
      </c>
      <c r="B14" s="9" t="s">
        <v>42</v>
      </c>
      <c r="C14" s="10"/>
      <c r="D14" s="10"/>
      <c r="E14" s="11"/>
      <c r="F14" s="10"/>
      <c r="G14" s="10">
        <v>1</v>
      </c>
      <c r="H14" s="13" t="s">
        <v>200</v>
      </c>
      <c r="I14" s="14" t="s">
        <v>80</v>
      </c>
      <c r="J14" s="15">
        <v>1</v>
      </c>
      <c r="K14" s="11"/>
      <c r="L14" s="45">
        <v>0</v>
      </c>
    </row>
    <row r="15" s="1" customFormat="1" ht="69" customHeight="1" spans="1:26">
      <c r="A15" s="3"/>
      <c r="B15" s="9"/>
      <c r="C15" s="10"/>
      <c r="D15" s="10"/>
      <c r="E15" s="11"/>
      <c r="F15" s="10"/>
      <c r="G15" s="10">
        <v>2</v>
      </c>
      <c r="H15" s="303" t="s">
        <v>201</v>
      </c>
      <c r="I15" s="14" t="s">
        <v>42</v>
      </c>
      <c r="J15" s="15">
        <v>1</v>
      </c>
      <c r="K15" s="11"/>
      <c r="L15" s="45">
        <v>3</v>
      </c>
    </row>
    <row r="16" s="1" customFormat="1" ht="60" spans="1:26">
      <c r="A16" s="3"/>
      <c r="B16" s="9"/>
      <c r="C16" s="10"/>
      <c r="D16" s="10"/>
      <c r="E16" s="11"/>
      <c r="F16" s="10"/>
      <c r="G16" s="10">
        <v>3</v>
      </c>
      <c r="H16" s="303" t="s">
        <v>202</v>
      </c>
      <c r="I16" s="14" t="s">
        <v>203</v>
      </c>
      <c r="J16" s="15">
        <v>1</v>
      </c>
      <c r="K16" s="11"/>
      <c r="L16" s="45">
        <v>2</v>
      </c>
    </row>
    <row r="17" s="1" customFormat="1" ht="15" spans="1:12">
      <c r="A17" s="3"/>
      <c r="B17" s="9"/>
      <c r="C17" s="10"/>
      <c r="D17" s="10"/>
      <c r="E17" s="11"/>
      <c r="F17" s="10"/>
      <c r="G17" s="304">
        <v>4</v>
      </c>
      <c r="H17" s="305" t="s">
        <v>204</v>
      </c>
      <c r="I17" s="306" t="s">
        <v>93</v>
      </c>
      <c r="J17" s="307">
        <v>1</v>
      </c>
      <c r="K17" s="308"/>
      <c r="L17" s="309">
        <v>1</v>
      </c>
    </row>
    <row r="18" s="1" customFormat="1" ht="15" spans="1:12">
      <c r="A18" s="3"/>
      <c r="B18" s="9"/>
      <c r="C18" s="10"/>
      <c r="D18" s="10"/>
      <c r="E18" s="11"/>
      <c r="F18" s="10"/>
      <c r="G18" s="304"/>
      <c r="H18" s="305"/>
      <c r="I18" s="306" t="s">
        <v>182</v>
      </c>
      <c r="J18" s="307">
        <v>1</v>
      </c>
      <c r="K18" s="308"/>
      <c r="L18" s="309">
        <v>0</v>
      </c>
    </row>
    <row r="19" s="1" customFormat="1" ht="15" spans="1:12">
      <c r="A19" s="3"/>
      <c r="B19" s="9"/>
      <c r="C19" s="10"/>
      <c r="D19" s="10"/>
      <c r="E19" s="11"/>
      <c r="F19" s="10"/>
      <c r="G19" s="304"/>
      <c r="H19" s="305"/>
      <c r="I19" s="306" t="s">
        <v>183</v>
      </c>
      <c r="J19" s="307">
        <v>1</v>
      </c>
      <c r="K19" s="308"/>
      <c r="L19" s="309">
        <v>0</v>
      </c>
    </row>
    <row r="20" s="1" customFormat="1" ht="15" spans="1:12">
      <c r="A20" s="3"/>
      <c r="B20" s="9"/>
      <c r="C20" s="10"/>
      <c r="D20" s="10"/>
      <c r="E20" s="11"/>
      <c r="F20" s="10"/>
      <c r="G20" s="304">
        <v>5</v>
      </c>
      <c r="H20" s="305" t="s">
        <v>205</v>
      </c>
      <c r="I20" s="306" t="s">
        <v>186</v>
      </c>
      <c r="J20" s="307">
        <v>1</v>
      </c>
      <c r="K20" s="308"/>
      <c r="L20" s="310">
        <v>1</v>
      </c>
    </row>
    <row r="21" s="1" customFormat="1" ht="15" spans="1:12">
      <c r="A21" s="3"/>
      <c r="B21" s="9"/>
      <c r="C21" s="10"/>
      <c r="D21" s="10"/>
      <c r="E21" s="11"/>
      <c r="F21" s="10"/>
      <c r="G21" s="304"/>
      <c r="H21" s="305"/>
      <c r="I21" s="306" t="s">
        <v>187</v>
      </c>
      <c r="J21" s="307">
        <v>1</v>
      </c>
      <c r="K21" s="308"/>
      <c r="L21" s="310">
        <v>1</v>
      </c>
    </row>
    <row r="22" s="1" customFormat="1" ht="15" spans="1:12">
      <c r="A22" s="3"/>
      <c r="B22" s="9"/>
      <c r="C22" s="10"/>
      <c r="D22" s="10"/>
      <c r="E22" s="38" t="s">
        <v>168</v>
      </c>
      <c r="F22" s="38"/>
      <c r="G22" s="38"/>
      <c r="H22" s="38"/>
      <c r="I22" s="38"/>
      <c r="J22" s="39"/>
      <c r="K22" s="40"/>
      <c r="L22" s="41">
        <f>SUM(L14:L21)</f>
        <v>8</v>
      </c>
    </row>
    <row r="23" s="1" customFormat="1" ht="15.6" spans="1:12">
      <c r="A23" s="3"/>
      <c r="B23" s="9"/>
      <c r="C23" s="10"/>
      <c r="D23" s="10"/>
      <c r="E23" s="11" t="s">
        <v>169</v>
      </c>
      <c r="F23" s="11"/>
      <c r="G23" s="11"/>
      <c r="H23" s="43"/>
      <c r="I23" s="10"/>
      <c r="J23" s="44"/>
      <c r="K23" s="11"/>
      <c r="L23" s="45"/>
    </row>
    <row r="24" s="1" customFormat="1" ht="15" spans="1:12">
      <c r="A24" s="3"/>
      <c r="B24" s="9"/>
      <c r="C24" s="10"/>
      <c r="D24" s="10"/>
      <c r="E24" s="11"/>
      <c r="F24" s="11"/>
      <c r="G24" s="11"/>
      <c r="H24" s="13"/>
      <c r="I24" s="11"/>
      <c r="J24" s="44"/>
      <c r="K24" s="11"/>
      <c r="L24" s="45"/>
    </row>
    <row r="25" s="1" customFormat="1" ht="60" spans="1:12">
      <c r="A25" s="3" t="s">
        <v>41</v>
      </c>
      <c r="B25" s="9" t="s">
        <v>42</v>
      </c>
      <c r="C25" s="10"/>
      <c r="D25" s="10"/>
      <c r="E25" s="11" t="s">
        <v>171</v>
      </c>
      <c r="F25" s="10" t="s">
        <v>194</v>
      </c>
      <c r="G25" s="10">
        <v>1</v>
      </c>
      <c r="H25" s="303" t="s">
        <v>206</v>
      </c>
      <c r="I25" s="14" t="s">
        <v>207</v>
      </c>
      <c r="J25" s="15">
        <v>1</v>
      </c>
      <c r="K25" s="11"/>
      <c r="L25" s="45">
        <v>5</v>
      </c>
    </row>
    <row r="26" s="1" customFormat="1" ht="69" customHeight="1" spans="1:12">
      <c r="A26" s="3"/>
      <c r="B26" s="9"/>
      <c r="C26" s="10"/>
      <c r="D26" s="10"/>
      <c r="E26" s="11"/>
      <c r="F26" s="10"/>
      <c r="G26" s="10">
        <v>2</v>
      </c>
      <c r="H26" s="13" t="s">
        <v>208</v>
      </c>
      <c r="I26" s="14" t="s">
        <v>203</v>
      </c>
      <c r="J26" s="15">
        <v>1</v>
      </c>
      <c r="K26" s="11"/>
      <c r="L26" s="45">
        <v>2.5</v>
      </c>
    </row>
    <row r="27" s="1" customFormat="1" ht="30" spans="1:12">
      <c r="A27" s="3"/>
      <c r="B27" s="9"/>
      <c r="C27" s="10"/>
      <c r="D27" s="10"/>
      <c r="E27" s="11"/>
      <c r="F27" s="10"/>
      <c r="G27" s="10">
        <v>3</v>
      </c>
      <c r="H27" s="13" t="s">
        <v>209</v>
      </c>
      <c r="I27" s="14" t="s">
        <v>42</v>
      </c>
      <c r="J27" s="15">
        <v>1</v>
      </c>
      <c r="K27" s="11"/>
      <c r="L27" s="45">
        <v>2</v>
      </c>
    </row>
    <row r="28" s="1" customFormat="1" ht="15" spans="1:12">
      <c r="A28" s="3"/>
      <c r="B28" s="9"/>
      <c r="C28" s="10"/>
      <c r="D28" s="10"/>
      <c r="E28" s="38" t="s">
        <v>168</v>
      </c>
      <c r="F28" s="38"/>
      <c r="G28" s="38"/>
      <c r="H28" s="38"/>
      <c r="I28" s="38"/>
      <c r="J28" s="39"/>
      <c r="K28" s="40"/>
      <c r="L28" s="41">
        <f>SUM(L25:L27)</f>
        <v>9.5</v>
      </c>
    </row>
    <row r="29" s="1" customFormat="1" ht="15.6" spans="1:12">
      <c r="A29" s="3"/>
      <c r="B29" s="9"/>
      <c r="C29" s="10"/>
      <c r="D29" s="10"/>
      <c r="E29" s="11" t="s">
        <v>169</v>
      </c>
      <c r="F29" s="11"/>
      <c r="G29" s="11"/>
      <c r="H29" s="43"/>
      <c r="I29" s="10"/>
      <c r="J29" s="44"/>
      <c r="K29" s="11"/>
      <c r="L29" s="45"/>
    </row>
    <row r="30" s="1" customFormat="1" ht="15" spans="1:12">
      <c r="A30" s="3"/>
      <c r="B30" s="9"/>
      <c r="C30" s="10"/>
      <c r="D30" s="10"/>
      <c r="E30" s="11"/>
      <c r="F30" s="11"/>
      <c r="G30" s="11"/>
      <c r="H30" s="13"/>
      <c r="I30" s="11"/>
      <c r="J30" s="44"/>
      <c r="K30" s="11"/>
      <c r="L30" s="45"/>
    </row>
    <row r="31" ht="15" spans="1:12">
      <c r="A31" s="3" t="s">
        <v>51</v>
      </c>
      <c r="B31" s="9" t="s">
        <v>52</v>
      </c>
      <c r="C31" s="15">
        <v>0.3</v>
      </c>
      <c r="D31" s="10"/>
      <c r="E31" s="301"/>
      <c r="F31" s="16"/>
      <c r="G31" s="12">
        <v>1</v>
      </c>
      <c r="H31" s="303" t="s">
        <v>210</v>
      </c>
      <c r="I31" s="311" t="s">
        <v>211</v>
      </c>
      <c r="J31" s="15">
        <v>1</v>
      </c>
      <c r="K31" s="11"/>
      <c r="L31" s="45">
        <v>5</v>
      </c>
    </row>
    <row r="32" ht="15" spans="1:12">
      <c r="A32" s="3"/>
      <c r="B32" s="9"/>
      <c r="C32" s="10"/>
      <c r="D32" s="10"/>
      <c r="E32" s="301"/>
      <c r="F32" s="16"/>
      <c r="G32" s="12">
        <v>2</v>
      </c>
      <c r="H32" s="303" t="s">
        <v>212</v>
      </c>
      <c r="I32" s="311" t="s">
        <v>213</v>
      </c>
      <c r="J32" s="15">
        <v>1</v>
      </c>
      <c r="K32" s="11"/>
      <c r="L32" s="45">
        <v>6</v>
      </c>
    </row>
    <row r="33" ht="15" spans="1:12">
      <c r="A33" s="3"/>
      <c r="B33" s="9"/>
      <c r="C33" s="10"/>
      <c r="D33" s="10"/>
      <c r="E33" s="301"/>
      <c r="F33" s="16"/>
      <c r="G33" s="12">
        <v>3</v>
      </c>
      <c r="H33" s="303" t="s">
        <v>214</v>
      </c>
      <c r="I33" s="311" t="s">
        <v>215</v>
      </c>
      <c r="J33" s="15">
        <v>1</v>
      </c>
      <c r="K33" s="11"/>
      <c r="L33" s="45">
        <v>5</v>
      </c>
    </row>
    <row r="34" ht="15" spans="1:12">
      <c r="A34" s="3"/>
      <c r="B34" s="9"/>
      <c r="C34" s="10"/>
      <c r="D34" s="10"/>
      <c r="E34" s="301"/>
      <c r="F34" s="16"/>
      <c r="G34" s="12">
        <v>4</v>
      </c>
      <c r="H34" s="303" t="s">
        <v>216</v>
      </c>
      <c r="I34" s="311" t="s">
        <v>217</v>
      </c>
      <c r="J34" s="15">
        <v>1</v>
      </c>
      <c r="K34" s="11"/>
      <c r="L34" s="45">
        <v>1.5</v>
      </c>
    </row>
    <row r="35" ht="15" spans="1:12">
      <c r="A35" s="3"/>
      <c r="B35" s="9"/>
      <c r="C35" s="10"/>
      <c r="D35" s="10"/>
      <c r="E35" s="301"/>
      <c r="F35" s="16"/>
      <c r="G35" s="12"/>
      <c r="H35" s="303" t="s">
        <v>218</v>
      </c>
      <c r="I35" s="311" t="s">
        <v>219</v>
      </c>
      <c r="J35" s="15"/>
      <c r="K35" s="11"/>
      <c r="L35" s="45">
        <v>3</v>
      </c>
    </row>
    <row r="36" ht="15" spans="1:12">
      <c r="A36" s="3"/>
      <c r="B36" s="9"/>
      <c r="C36" s="10"/>
      <c r="D36" s="10"/>
      <c r="E36" s="312"/>
      <c r="F36" s="21"/>
      <c r="G36" s="10">
        <v>5</v>
      </c>
      <c r="H36" s="303" t="s">
        <v>220</v>
      </c>
      <c r="I36" s="14" t="s">
        <v>52</v>
      </c>
      <c r="J36" s="15">
        <v>1</v>
      </c>
      <c r="K36" s="11"/>
      <c r="L36" s="45">
        <v>4</v>
      </c>
    </row>
    <row r="37" ht="15" spans="1:12">
      <c r="A37" s="3"/>
      <c r="B37" s="9"/>
      <c r="C37" s="10"/>
      <c r="D37" s="10"/>
      <c r="E37" s="38" t="s">
        <v>168</v>
      </c>
      <c r="F37" s="38"/>
      <c r="G37" s="38"/>
      <c r="H37" s="38"/>
      <c r="I37" s="38"/>
      <c r="J37" s="39"/>
      <c r="K37" s="40"/>
      <c r="L37" s="41">
        <f>SUM(L31:L36)</f>
        <v>24.5</v>
      </c>
    </row>
    <row r="38" ht="15" spans="1:12">
      <c r="A38" s="3"/>
      <c r="B38" s="9"/>
      <c r="C38" s="10"/>
      <c r="D38" s="10"/>
      <c r="E38" s="11"/>
      <c r="F38" s="11"/>
      <c r="G38" s="11"/>
      <c r="H38" s="13"/>
      <c r="I38" s="10"/>
      <c r="J38" s="44"/>
      <c r="K38" s="11"/>
      <c r="L38" s="45"/>
    </row>
    <row r="39" ht="15" spans="1:12">
      <c r="A39" s="3"/>
      <c r="B39" s="9"/>
      <c r="C39" s="10"/>
      <c r="D39" s="10"/>
      <c r="E39" s="11"/>
      <c r="F39" s="11"/>
      <c r="G39" s="11"/>
      <c r="H39" s="13"/>
      <c r="I39" s="11"/>
      <c r="J39" s="44"/>
      <c r="K39" s="11"/>
      <c r="L39" s="45"/>
    </row>
    <row r="40" ht="15" spans="1:12">
      <c r="A40" s="3" t="s">
        <v>95</v>
      </c>
      <c r="B40" s="9" t="s">
        <v>52</v>
      </c>
      <c r="C40" s="10"/>
      <c r="D40" s="10"/>
      <c r="E40" s="301"/>
      <c r="F40" s="16"/>
      <c r="G40" s="10">
        <v>1</v>
      </c>
      <c r="H40" s="303" t="s">
        <v>221</v>
      </c>
      <c r="I40" s="14" t="s">
        <v>222</v>
      </c>
      <c r="J40" s="15">
        <v>1</v>
      </c>
      <c r="K40" s="11"/>
      <c r="L40" s="45">
        <v>2.5</v>
      </c>
    </row>
    <row r="41" ht="15" spans="1:12">
      <c r="A41" s="3"/>
      <c r="B41" s="9"/>
      <c r="C41" s="10"/>
      <c r="D41" s="10"/>
      <c r="E41" s="301"/>
      <c r="F41" s="16"/>
      <c r="G41" s="10">
        <v>2</v>
      </c>
      <c r="H41" s="303" t="s">
        <v>223</v>
      </c>
      <c r="I41" s="14" t="s">
        <v>52</v>
      </c>
      <c r="J41" s="15">
        <v>1</v>
      </c>
      <c r="K41" s="11"/>
      <c r="L41" s="45">
        <v>2</v>
      </c>
    </row>
    <row r="42" ht="15" spans="1:12">
      <c r="A42" s="3"/>
      <c r="B42" s="9"/>
      <c r="C42" s="10"/>
      <c r="D42" s="10"/>
      <c r="E42" s="301"/>
      <c r="F42" s="16"/>
      <c r="G42" s="10">
        <v>3</v>
      </c>
      <c r="H42" s="303" t="s">
        <v>224</v>
      </c>
      <c r="I42" s="14" t="s">
        <v>217</v>
      </c>
      <c r="J42" s="15">
        <v>1</v>
      </c>
      <c r="K42" s="11"/>
      <c r="L42" s="45">
        <v>0.5</v>
      </c>
    </row>
    <row r="43" ht="15" spans="1:12">
      <c r="A43" s="3"/>
      <c r="B43" s="9"/>
      <c r="C43" s="10"/>
      <c r="D43" s="10"/>
      <c r="E43" s="301"/>
      <c r="F43" s="16"/>
      <c r="G43" s="10">
        <v>4</v>
      </c>
      <c r="H43" s="303" t="s">
        <v>225</v>
      </c>
      <c r="I43" s="14" t="s">
        <v>226</v>
      </c>
      <c r="J43" s="15">
        <v>1</v>
      </c>
      <c r="K43" s="11"/>
      <c r="L43" s="45">
        <v>5</v>
      </c>
    </row>
    <row r="44" ht="15" spans="1:12">
      <c r="A44" s="3"/>
      <c r="B44" s="9"/>
      <c r="C44" s="10"/>
      <c r="D44" s="10"/>
      <c r="E44" s="38" t="s">
        <v>168</v>
      </c>
      <c r="F44" s="38"/>
      <c r="G44" s="38"/>
      <c r="H44" s="38"/>
      <c r="I44" s="38"/>
      <c r="J44" s="39"/>
      <c r="K44" s="40"/>
      <c r="L44" s="41">
        <f>SUM(L40:L43)</f>
        <v>10</v>
      </c>
    </row>
    <row r="45" ht="15" spans="1:12">
      <c r="A45" s="3"/>
      <c r="B45" s="9"/>
      <c r="C45" s="10"/>
      <c r="D45" s="10"/>
      <c r="E45" s="11" t="s">
        <v>169</v>
      </c>
      <c r="F45" s="11"/>
      <c r="G45" s="11"/>
      <c r="H45" s="13"/>
      <c r="I45" s="10"/>
      <c r="J45" s="44"/>
      <c r="K45" s="11"/>
      <c r="L45" s="45"/>
    </row>
    <row r="46" ht="15" spans="1:12">
      <c r="A46" s="3"/>
      <c r="B46" s="9"/>
      <c r="C46" s="10"/>
      <c r="D46" s="10"/>
      <c r="E46" s="11"/>
      <c r="F46" s="11"/>
      <c r="G46" s="11"/>
      <c r="H46" s="13"/>
      <c r="I46" s="11"/>
      <c r="J46" s="44"/>
      <c r="K46" s="11"/>
      <c r="L46" s="45"/>
    </row>
    <row r="47" ht="15" spans="1:12">
      <c r="A47" s="313" t="s">
        <v>96</v>
      </c>
      <c r="B47" s="9" t="s">
        <v>63</v>
      </c>
      <c r="C47" s="10"/>
      <c r="D47" s="10"/>
      <c r="E47" s="301"/>
      <c r="F47" s="16"/>
      <c r="G47" s="10">
        <v>1</v>
      </c>
      <c r="H47" s="303" t="s">
        <v>227</v>
      </c>
      <c r="I47" s="14" t="s">
        <v>228</v>
      </c>
      <c r="J47" s="15">
        <v>1</v>
      </c>
      <c r="K47" s="11"/>
      <c r="L47" s="45">
        <v>5</v>
      </c>
    </row>
    <row r="48" ht="45" spans="1:12">
      <c r="A48" s="313"/>
      <c r="B48" s="9"/>
      <c r="C48" s="10"/>
      <c r="D48" s="10"/>
      <c r="E48" s="301"/>
      <c r="F48" s="16"/>
      <c r="G48" s="10">
        <v>2</v>
      </c>
      <c r="H48" s="303" t="s">
        <v>229</v>
      </c>
      <c r="I48" s="14" t="s">
        <v>230</v>
      </c>
      <c r="J48" s="15">
        <v>1</v>
      </c>
      <c r="K48" s="11"/>
      <c r="L48" s="45">
        <v>5</v>
      </c>
    </row>
    <row r="49" ht="15" spans="1:12">
      <c r="A49" s="313"/>
      <c r="B49" s="9"/>
      <c r="C49" s="10"/>
      <c r="D49" s="10"/>
      <c r="E49" s="301"/>
      <c r="F49" s="16"/>
      <c r="G49" s="10">
        <v>3</v>
      </c>
      <c r="H49" s="303" t="s">
        <v>231</v>
      </c>
      <c r="I49" s="14" t="s">
        <v>232</v>
      </c>
      <c r="J49" s="15">
        <v>1</v>
      </c>
      <c r="K49" s="11"/>
      <c r="L49" s="45">
        <v>4</v>
      </c>
    </row>
    <row r="50" ht="15" spans="1:12">
      <c r="A50" s="313"/>
      <c r="B50" s="9"/>
      <c r="C50" s="10"/>
      <c r="D50" s="10"/>
      <c r="E50" s="301"/>
      <c r="F50" s="16"/>
      <c r="G50" s="10">
        <v>4</v>
      </c>
      <c r="H50" s="303" t="s">
        <v>233</v>
      </c>
      <c r="I50" s="14" t="s">
        <v>222</v>
      </c>
      <c r="J50" s="15"/>
      <c r="K50" s="11"/>
      <c r="L50" s="45">
        <v>2</v>
      </c>
    </row>
    <row r="51" ht="15" spans="1:12">
      <c r="A51" s="313"/>
      <c r="B51" s="9"/>
      <c r="C51" s="10"/>
      <c r="D51" s="10"/>
      <c r="E51" s="301"/>
      <c r="F51" s="16"/>
      <c r="G51" s="10">
        <v>5</v>
      </c>
      <c r="H51" s="303" t="s">
        <v>233</v>
      </c>
      <c r="I51" s="14" t="s">
        <v>234</v>
      </c>
      <c r="J51" s="15"/>
      <c r="K51" s="11"/>
      <c r="L51" s="45">
        <v>5</v>
      </c>
    </row>
    <row r="52" ht="15" spans="1:12">
      <c r="A52" s="313"/>
      <c r="B52" s="9"/>
      <c r="C52" s="10"/>
      <c r="D52" s="10"/>
      <c r="E52" s="301"/>
      <c r="F52" s="16"/>
      <c r="G52" s="10">
        <v>6</v>
      </c>
      <c r="H52" s="303" t="s">
        <v>233</v>
      </c>
      <c r="I52" s="14" t="s">
        <v>235</v>
      </c>
      <c r="J52" s="15"/>
      <c r="K52" s="11"/>
      <c r="L52" s="45"/>
    </row>
    <row r="53" ht="15" spans="1:12">
      <c r="A53" s="313"/>
      <c r="B53" s="9"/>
      <c r="C53" s="10"/>
      <c r="D53" s="10"/>
      <c r="E53" s="301"/>
      <c r="F53" s="16"/>
      <c r="G53" s="10">
        <v>7</v>
      </c>
      <c r="H53" s="303" t="s">
        <v>236</v>
      </c>
      <c r="I53" s="14" t="s">
        <v>237</v>
      </c>
      <c r="J53" s="15">
        <v>1</v>
      </c>
      <c r="K53" s="11"/>
      <c r="L53" s="45">
        <v>4</v>
      </c>
    </row>
    <row r="54" ht="15" spans="1:12">
      <c r="A54" s="313"/>
      <c r="B54" s="9"/>
      <c r="C54" s="10"/>
      <c r="D54" s="10"/>
      <c r="E54" s="301"/>
      <c r="F54" s="16"/>
      <c r="G54" s="10">
        <v>8</v>
      </c>
      <c r="H54" s="303" t="s">
        <v>238</v>
      </c>
      <c r="I54" s="14" t="s">
        <v>63</v>
      </c>
      <c r="J54" s="15"/>
      <c r="K54" s="11"/>
      <c r="L54" s="45">
        <v>3</v>
      </c>
    </row>
    <row r="55" ht="15" spans="1:12">
      <c r="A55" s="313"/>
      <c r="B55" s="9"/>
      <c r="C55" s="10"/>
      <c r="D55" s="10"/>
      <c r="E55" s="38" t="s">
        <v>168</v>
      </c>
      <c r="F55" s="38"/>
      <c r="G55" s="38"/>
      <c r="H55" s="38"/>
      <c r="I55" s="38"/>
      <c r="J55" s="39"/>
      <c r="K55" s="40"/>
      <c r="L55" s="41">
        <f>SUM(L47:L54)</f>
        <v>28</v>
      </c>
    </row>
    <row r="56" ht="15.6" spans="1:12">
      <c r="A56" s="313"/>
      <c r="B56" s="9"/>
      <c r="C56" s="10"/>
      <c r="D56" s="10"/>
      <c r="E56" s="11" t="s">
        <v>169</v>
      </c>
      <c r="F56" s="11"/>
      <c r="G56" s="11"/>
      <c r="H56" s="43"/>
      <c r="I56" s="10"/>
      <c r="J56" s="44"/>
      <c r="K56" s="11"/>
      <c r="L56" s="45"/>
    </row>
    <row r="57" ht="15" spans="1:12">
      <c r="A57" s="314"/>
      <c r="B57" s="9"/>
      <c r="C57" s="10"/>
      <c r="D57" s="10"/>
      <c r="E57" s="11"/>
      <c r="F57" s="11"/>
      <c r="G57" s="11"/>
      <c r="H57" s="13"/>
      <c r="I57" s="11"/>
      <c r="J57" s="44"/>
      <c r="K57" s="11"/>
      <c r="L57" s="45"/>
    </row>
    <row r="58" ht="15" spans="1:12">
      <c r="A58" s="315" t="s">
        <v>97</v>
      </c>
      <c r="B58" s="9" t="s">
        <v>63</v>
      </c>
      <c r="C58" s="10"/>
      <c r="D58" s="10"/>
      <c r="E58" s="301"/>
      <c r="F58" s="16"/>
      <c r="G58" s="10">
        <v>1</v>
      </c>
      <c r="H58" s="303" t="s">
        <v>239</v>
      </c>
      <c r="I58" s="14" t="s">
        <v>222</v>
      </c>
      <c r="J58" s="15">
        <v>1</v>
      </c>
      <c r="K58" s="11"/>
      <c r="L58" s="45">
        <v>0.5</v>
      </c>
    </row>
    <row r="59" ht="15" spans="1:12">
      <c r="A59" s="313"/>
      <c r="B59" s="9"/>
      <c r="C59" s="10"/>
      <c r="D59" s="10"/>
      <c r="E59" s="301"/>
      <c r="F59" s="16"/>
      <c r="G59" s="10">
        <v>2</v>
      </c>
      <c r="H59" s="303" t="s">
        <v>239</v>
      </c>
      <c r="I59" s="14" t="s">
        <v>232</v>
      </c>
      <c r="J59" s="15">
        <v>1</v>
      </c>
      <c r="K59" s="11"/>
      <c r="L59" s="45">
        <v>1</v>
      </c>
    </row>
    <row r="60" ht="15" spans="1:12">
      <c r="A60" s="313"/>
      <c r="B60" s="9"/>
      <c r="C60" s="10"/>
      <c r="D60" s="10"/>
      <c r="E60" s="38" t="s">
        <v>168</v>
      </c>
      <c r="F60" s="38"/>
      <c r="G60" s="38"/>
      <c r="H60" s="38"/>
      <c r="I60" s="38"/>
      <c r="J60" s="39"/>
      <c r="K60" s="40"/>
      <c r="L60" s="41">
        <f>SUM(L58:L59)</f>
        <v>1.5</v>
      </c>
    </row>
    <row r="61" ht="15.6" spans="1:12">
      <c r="A61" s="313"/>
      <c r="B61" s="9"/>
      <c r="C61" s="10"/>
      <c r="D61" s="10"/>
      <c r="E61" s="11" t="s">
        <v>169</v>
      </c>
      <c r="F61" s="11"/>
      <c r="G61" s="11"/>
      <c r="H61" s="43"/>
      <c r="I61" s="10"/>
      <c r="J61" s="44"/>
      <c r="K61" s="11"/>
      <c r="L61" s="45"/>
    </row>
    <row r="62" ht="15" spans="1:12">
      <c r="A62" s="314"/>
      <c r="B62" s="9"/>
      <c r="C62" s="10"/>
      <c r="D62" s="10"/>
      <c r="E62" s="11"/>
      <c r="F62" s="11"/>
      <c r="G62" s="11"/>
      <c r="H62" s="13"/>
      <c r="I62" s="11"/>
      <c r="J62" s="44"/>
      <c r="K62" s="11"/>
      <c r="L62" s="45"/>
    </row>
  </sheetData>
  <mergeCells count="76">
    <mergeCell ref="E5:H5"/>
    <mergeCell ref="E11:H11"/>
    <mergeCell ref="E22:H22"/>
    <mergeCell ref="E28:H28"/>
    <mergeCell ref="E37:H37"/>
    <mergeCell ref="E44:H44"/>
    <mergeCell ref="E55:H55"/>
    <mergeCell ref="E60:H60"/>
    <mergeCell ref="A2:A7"/>
    <mergeCell ref="A8:A13"/>
    <mergeCell ref="A14:A24"/>
    <mergeCell ref="A25:A30"/>
    <mergeCell ref="A31:A39"/>
    <mergeCell ref="A40:A46"/>
    <mergeCell ref="A47:A57"/>
    <mergeCell ref="A58:A62"/>
    <mergeCell ref="B2:B7"/>
    <mergeCell ref="B8:B13"/>
    <mergeCell ref="B14:B24"/>
    <mergeCell ref="B25:B30"/>
    <mergeCell ref="B31:B39"/>
    <mergeCell ref="B40:B46"/>
    <mergeCell ref="B47:B57"/>
    <mergeCell ref="B58:B62"/>
    <mergeCell ref="C2:C7"/>
    <mergeCell ref="C8:C13"/>
    <mergeCell ref="C14:C24"/>
    <mergeCell ref="C25:C30"/>
    <mergeCell ref="C31:C39"/>
    <mergeCell ref="C40:C46"/>
    <mergeCell ref="C47:C57"/>
    <mergeCell ref="C58:C62"/>
    <mergeCell ref="D2:D7"/>
    <mergeCell ref="D8:D13"/>
    <mergeCell ref="D14:D24"/>
    <mergeCell ref="D25:D30"/>
    <mergeCell ref="D31:D39"/>
    <mergeCell ref="D40:D46"/>
    <mergeCell ref="D47:D57"/>
    <mergeCell ref="D58:D62"/>
    <mergeCell ref="E2:E4"/>
    <mergeCell ref="E6:E7"/>
    <mergeCell ref="E8:E9"/>
    <mergeCell ref="E12:E13"/>
    <mergeCell ref="E14:E16"/>
    <mergeCell ref="E23:E24"/>
    <mergeCell ref="E25:E27"/>
    <mergeCell ref="E29:E30"/>
    <mergeCell ref="E31:E36"/>
    <mergeCell ref="E38:E39"/>
    <mergeCell ref="E40:E43"/>
    <mergeCell ref="E45:E46"/>
    <mergeCell ref="E47:E54"/>
    <mergeCell ref="E56:E57"/>
    <mergeCell ref="E58:E59"/>
    <mergeCell ref="E61:E62"/>
    <mergeCell ref="F2:F4"/>
    <mergeCell ref="F6:F7"/>
    <mergeCell ref="F8:F9"/>
    <mergeCell ref="F12:F13"/>
    <mergeCell ref="F14:F16"/>
    <mergeCell ref="F23:F24"/>
    <mergeCell ref="F25:F27"/>
    <mergeCell ref="F29:F30"/>
    <mergeCell ref="F31:F36"/>
    <mergeCell ref="F38:F39"/>
    <mergeCell ref="F40:F43"/>
    <mergeCell ref="F45:F46"/>
    <mergeCell ref="F47:F54"/>
    <mergeCell ref="F56:F57"/>
    <mergeCell ref="F58:F59"/>
    <mergeCell ref="F61:F62"/>
    <mergeCell ref="G17:G19"/>
    <mergeCell ref="G20:G21"/>
    <mergeCell ref="H17:H19"/>
    <mergeCell ref="H20:H2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5"/>
  <sheetViews>
    <sheetView workbookViewId="0">
      <pane ySplit="1" topLeftCell="A2" activePane="bottomLeft" state="frozen"/>
      <selection/>
      <selection pane="bottomLeft" activeCell="L7" sqref="L7"/>
    </sheetView>
  </sheetViews>
  <sheetFormatPr defaultColWidth="8.71296296296296" defaultRowHeight="13.2"/>
  <cols>
    <col min="1" max="1" width="22.4259259259259" style="268" customWidth="1"/>
    <col min="2" max="2" width="11.7222222222222" style="268" customWidth="1"/>
    <col min="3" max="7" width="9.14814814814815" style="268"/>
    <col min="8" max="8" width="59.7222222222222" style="268" customWidth="1"/>
    <col min="9" max="11" width="9.14814814814815" style="268"/>
    <col min="12" max="12" width="19.5740740740741" style="269" customWidth="1"/>
    <col min="13" max="16384" width="9.14814814814815" style="268"/>
  </cols>
  <sheetData>
    <row r="1" ht="69.6" spans="1:26">
      <c r="A1" s="270" t="s">
        <v>148</v>
      </c>
      <c r="B1" s="271" t="s">
        <v>6</v>
      </c>
      <c r="C1" s="270" t="s">
        <v>149</v>
      </c>
      <c r="D1" s="270" t="s">
        <v>150</v>
      </c>
      <c r="E1" s="271" t="s">
        <v>151</v>
      </c>
      <c r="F1" s="270" t="s">
        <v>152</v>
      </c>
      <c r="G1" s="270" t="s">
        <v>1</v>
      </c>
      <c r="H1" s="272" t="s">
        <v>153</v>
      </c>
      <c r="I1" s="270" t="s">
        <v>154</v>
      </c>
      <c r="J1" s="273" t="s">
        <v>155</v>
      </c>
      <c r="K1" s="270" t="s">
        <v>156</v>
      </c>
      <c r="L1" s="274" t="s">
        <v>157</v>
      </c>
      <c r="M1" s="275"/>
      <c r="N1" s="275"/>
      <c r="O1" s="275"/>
      <c r="P1" s="275"/>
      <c r="Q1" s="275"/>
      <c r="R1" s="275"/>
      <c r="S1" s="275"/>
      <c r="T1" s="275"/>
      <c r="U1" s="275"/>
      <c r="V1" s="275"/>
      <c r="W1" s="275"/>
      <c r="X1" s="275"/>
      <c r="Y1" s="275"/>
      <c r="Z1" s="275"/>
    </row>
    <row r="2" ht="15.6" spans="1:26">
      <c r="A2" s="270" t="s">
        <v>240</v>
      </c>
      <c r="B2" s="276" t="s">
        <v>59</v>
      </c>
      <c r="C2" s="277">
        <v>1</v>
      </c>
      <c r="D2" s="278"/>
      <c r="E2" s="279" t="s">
        <v>171</v>
      </c>
      <c r="F2" s="278" t="s">
        <v>194</v>
      </c>
      <c r="G2" s="278">
        <v>1</v>
      </c>
      <c r="H2" s="280" t="s">
        <v>241</v>
      </c>
      <c r="I2" s="14" t="s">
        <v>242</v>
      </c>
      <c r="J2" s="277">
        <v>1</v>
      </c>
      <c r="K2" s="279"/>
      <c r="L2" s="276">
        <v>2</v>
      </c>
    </row>
    <row r="3" ht="27" customHeight="1" spans="1:26">
      <c r="A3" s="270"/>
      <c r="B3" s="276"/>
      <c r="C3" s="277"/>
      <c r="D3" s="278"/>
      <c r="E3" s="38" t="s">
        <v>168</v>
      </c>
      <c r="F3" s="38"/>
      <c r="G3" s="38"/>
      <c r="H3" s="38"/>
      <c r="I3" s="38"/>
      <c r="J3" s="39"/>
      <c r="K3" s="40"/>
      <c r="L3" s="41">
        <f>SUM(L2:L2)</f>
        <v>2</v>
      </c>
    </row>
    <row r="4" ht="15.6" spans="1:26">
      <c r="A4" s="270"/>
      <c r="B4" s="276"/>
      <c r="C4" s="277"/>
      <c r="D4" s="278"/>
      <c r="E4" s="279" t="s">
        <v>169</v>
      </c>
      <c r="F4" s="279" t="s">
        <v>194</v>
      </c>
      <c r="G4" s="279">
        <v>1</v>
      </c>
      <c r="H4" s="281" t="s">
        <v>243</v>
      </c>
      <c r="I4" s="278" t="s">
        <v>242</v>
      </c>
      <c r="J4" s="282"/>
      <c r="K4" s="279"/>
      <c r="L4" s="283"/>
    </row>
    <row r="5" ht="15" spans="1:26">
      <c r="A5" s="284" t="s">
        <v>244</v>
      </c>
      <c r="B5" s="285" t="s">
        <v>63</v>
      </c>
      <c r="C5" s="286">
        <v>0.85</v>
      </c>
      <c r="D5" s="287"/>
      <c r="E5" s="288" t="s">
        <v>171</v>
      </c>
      <c r="F5" s="287" t="s">
        <v>53</v>
      </c>
      <c r="G5" s="278">
        <v>1</v>
      </c>
      <c r="H5" s="280" t="s">
        <v>245</v>
      </c>
      <c r="I5" s="14" t="s">
        <v>246</v>
      </c>
      <c r="J5" s="277">
        <v>1</v>
      </c>
      <c r="K5" s="279"/>
      <c r="L5" s="283">
        <v>1</v>
      </c>
    </row>
    <row r="6" ht="15" spans="1:26">
      <c r="A6" s="289"/>
      <c r="B6" s="290"/>
      <c r="C6" s="291"/>
      <c r="D6" s="292"/>
      <c r="E6" s="288"/>
      <c r="F6" s="287"/>
      <c r="G6" s="278"/>
      <c r="H6" s="280"/>
      <c r="I6" s="14" t="s">
        <v>63</v>
      </c>
      <c r="J6" s="277"/>
      <c r="K6" s="279"/>
      <c r="L6" s="283">
        <v>2</v>
      </c>
    </row>
    <row r="7" ht="15" spans="1:26">
      <c r="A7" s="293"/>
      <c r="B7" s="294"/>
      <c r="C7" s="295"/>
      <c r="D7" s="296"/>
      <c r="E7" s="288"/>
      <c r="F7" s="287"/>
      <c r="G7" s="278"/>
      <c r="H7" s="280"/>
      <c r="I7" s="14" t="s">
        <v>217</v>
      </c>
      <c r="J7" s="277"/>
      <c r="K7" s="279"/>
      <c r="L7" s="283">
        <v>1</v>
      </c>
    </row>
    <row r="8" ht="15" spans="1:26">
      <c r="A8" s="293"/>
      <c r="B8" s="294"/>
      <c r="C8" s="295"/>
      <c r="D8" s="296"/>
      <c r="E8" s="288"/>
      <c r="F8" s="287"/>
      <c r="G8" s="278">
        <v>2</v>
      </c>
      <c r="H8" s="280" t="s">
        <v>247</v>
      </c>
      <c r="I8" s="14" t="s">
        <v>246</v>
      </c>
      <c r="J8" s="277">
        <v>0.9</v>
      </c>
      <c r="K8" s="279"/>
      <c r="L8" s="283">
        <v>1</v>
      </c>
    </row>
    <row r="9" ht="15" spans="1:26">
      <c r="A9" s="293"/>
      <c r="B9" s="294"/>
      <c r="C9" s="295"/>
      <c r="D9" s="296"/>
      <c r="E9" s="288"/>
      <c r="F9" s="287"/>
      <c r="G9" s="278"/>
      <c r="H9" s="280"/>
      <c r="I9" s="14" t="s">
        <v>219</v>
      </c>
      <c r="J9" s="277"/>
      <c r="K9" s="279"/>
      <c r="L9" s="283">
        <v>2</v>
      </c>
    </row>
    <row r="10" ht="15" spans="1:26">
      <c r="A10" s="293"/>
      <c r="B10" s="294"/>
      <c r="C10" s="295"/>
      <c r="D10" s="296"/>
      <c r="E10" s="288"/>
      <c r="F10" s="287"/>
      <c r="G10" s="278"/>
      <c r="H10" s="280"/>
      <c r="I10" s="14" t="s">
        <v>217</v>
      </c>
      <c r="J10" s="277"/>
      <c r="K10" s="279"/>
      <c r="L10" s="283">
        <v>3.5</v>
      </c>
    </row>
    <row r="11" ht="15" spans="1:26">
      <c r="A11" s="293"/>
      <c r="B11" s="294"/>
      <c r="C11" s="295"/>
      <c r="D11" s="296"/>
      <c r="E11" s="38" t="s">
        <v>168</v>
      </c>
      <c r="F11" s="38"/>
      <c r="G11" s="38"/>
      <c r="H11" s="38"/>
      <c r="I11" s="38"/>
      <c r="J11" s="39"/>
      <c r="K11" s="40"/>
      <c r="L11" s="41">
        <f>SUM(L5:L10)</f>
        <v>10.5</v>
      </c>
    </row>
    <row r="12" ht="15" spans="1:26">
      <c r="A12" s="293"/>
      <c r="B12" s="294"/>
      <c r="C12" s="295"/>
      <c r="D12" s="296"/>
      <c r="E12" s="288" t="s">
        <v>169</v>
      </c>
      <c r="F12" s="287" t="s">
        <v>53</v>
      </c>
      <c r="G12" s="278">
        <v>1</v>
      </c>
      <c r="H12" s="297" t="s">
        <v>248</v>
      </c>
      <c r="I12" s="14" t="s">
        <v>215</v>
      </c>
      <c r="J12" s="298"/>
      <c r="K12" s="279"/>
      <c r="L12" s="283"/>
    </row>
    <row r="13" ht="15" spans="1:26">
      <c r="A13" s="293"/>
      <c r="B13" s="294"/>
      <c r="C13" s="295"/>
      <c r="D13" s="296"/>
      <c r="E13" s="288"/>
      <c r="F13" s="287"/>
      <c r="G13" s="278">
        <v>2</v>
      </c>
      <c r="H13" s="280" t="s">
        <v>249</v>
      </c>
      <c r="I13" s="14" t="s">
        <v>246</v>
      </c>
      <c r="J13" s="277"/>
      <c r="K13" s="279"/>
      <c r="L13" s="283"/>
    </row>
    <row r="14" ht="15" spans="1:26">
      <c r="A14" s="270" t="s">
        <v>250</v>
      </c>
      <c r="B14" s="276" t="s">
        <v>146</v>
      </c>
      <c r="C14" s="278"/>
      <c r="D14" s="278"/>
      <c r="E14" s="279" t="s">
        <v>171</v>
      </c>
      <c r="F14" s="278" t="s">
        <v>136</v>
      </c>
      <c r="G14" s="278">
        <v>1</v>
      </c>
      <c r="H14" s="280" t="s">
        <v>251</v>
      </c>
      <c r="I14" s="14" t="s">
        <v>252</v>
      </c>
      <c r="J14" s="277">
        <v>0.98</v>
      </c>
      <c r="K14" s="279"/>
      <c r="L14" s="283">
        <v>4.5</v>
      </c>
    </row>
    <row r="15" ht="15" spans="1:26">
      <c r="A15" s="270"/>
      <c r="B15" s="276"/>
      <c r="C15" s="278"/>
      <c r="D15" s="278"/>
      <c r="E15" s="279"/>
      <c r="F15" s="278"/>
      <c r="G15" s="278"/>
      <c r="H15" s="280"/>
      <c r="I15" s="14" t="s">
        <v>40</v>
      </c>
      <c r="J15" s="277"/>
      <c r="K15" s="279"/>
      <c r="L15" s="283">
        <v>1</v>
      </c>
    </row>
    <row r="16" ht="15" spans="1:26">
      <c r="A16" s="270"/>
      <c r="B16" s="276"/>
      <c r="C16" s="278"/>
      <c r="D16" s="278"/>
      <c r="E16" s="279"/>
      <c r="F16" s="278"/>
      <c r="G16" s="278"/>
      <c r="H16" s="280"/>
      <c r="I16" s="14" t="s">
        <v>253</v>
      </c>
      <c r="J16" s="277"/>
      <c r="K16" s="279"/>
      <c r="L16" s="283">
        <v>5</v>
      </c>
    </row>
    <row r="17" ht="15" spans="1:12">
      <c r="A17" s="270"/>
      <c r="B17" s="276"/>
      <c r="C17" s="278"/>
      <c r="D17" s="278"/>
      <c r="E17" s="279"/>
      <c r="F17" s="278"/>
      <c r="G17" s="278"/>
      <c r="H17" s="280"/>
      <c r="I17" s="14" t="s">
        <v>59</v>
      </c>
      <c r="J17" s="277"/>
      <c r="K17" s="279"/>
      <c r="L17" s="283">
        <v>0.5</v>
      </c>
    </row>
    <row r="18" ht="15" spans="1:12">
      <c r="A18" s="270"/>
      <c r="B18" s="276"/>
      <c r="C18" s="278"/>
      <c r="D18" s="278"/>
      <c r="E18" s="279"/>
      <c r="F18" s="278"/>
      <c r="G18" s="278"/>
      <c r="H18" s="280"/>
      <c r="I18" s="14" t="s">
        <v>246</v>
      </c>
      <c r="J18" s="277"/>
      <c r="K18" s="279"/>
      <c r="L18" s="283">
        <v>0.5</v>
      </c>
    </row>
    <row r="19" ht="15" spans="1:12">
      <c r="A19" s="270"/>
      <c r="B19" s="276"/>
      <c r="C19" s="278"/>
      <c r="D19" s="278"/>
      <c r="E19" s="279"/>
      <c r="F19" s="278"/>
      <c r="G19" s="278">
        <v>2</v>
      </c>
      <c r="H19" s="280" t="s">
        <v>254</v>
      </c>
      <c r="I19" s="279" t="s">
        <v>246</v>
      </c>
      <c r="J19" s="277">
        <v>1</v>
      </c>
      <c r="K19" s="279"/>
      <c r="L19" s="283">
        <v>0.5</v>
      </c>
    </row>
    <row r="20" ht="15" spans="1:12">
      <c r="A20" s="270"/>
      <c r="B20" s="276"/>
      <c r="C20" s="278"/>
      <c r="D20" s="278"/>
      <c r="E20" s="279"/>
      <c r="F20" s="278"/>
      <c r="G20" s="278"/>
      <c r="H20" s="280"/>
      <c r="I20" s="279" t="s">
        <v>59</v>
      </c>
      <c r="J20" s="277"/>
      <c r="K20" s="279"/>
      <c r="L20" s="283">
        <v>0.5</v>
      </c>
    </row>
    <row r="21" ht="15" spans="1:12">
      <c r="A21" s="270"/>
      <c r="B21" s="276"/>
      <c r="C21" s="278"/>
      <c r="D21" s="278"/>
      <c r="E21" s="279"/>
      <c r="F21" s="278"/>
      <c r="G21" s="278">
        <v>3</v>
      </c>
      <c r="H21" s="280" t="s">
        <v>255</v>
      </c>
      <c r="I21" s="279" t="s">
        <v>59</v>
      </c>
      <c r="J21" s="277">
        <v>1</v>
      </c>
      <c r="K21" s="279"/>
      <c r="L21" s="283">
        <v>2</v>
      </c>
    </row>
    <row r="22" ht="15" spans="1:12">
      <c r="A22" s="270"/>
      <c r="B22" s="276"/>
      <c r="C22" s="278"/>
      <c r="D22" s="278"/>
      <c r="E22" s="279"/>
      <c r="F22" s="278"/>
      <c r="G22" s="297"/>
      <c r="H22" s="280"/>
      <c r="I22" s="279" t="s">
        <v>246</v>
      </c>
      <c r="J22" s="277"/>
      <c r="K22" s="279"/>
      <c r="L22" s="283">
        <v>2</v>
      </c>
    </row>
    <row r="23" ht="15" spans="1:12">
      <c r="A23" s="270"/>
      <c r="B23" s="276"/>
      <c r="C23" s="278"/>
      <c r="D23" s="278"/>
      <c r="E23" s="38" t="s">
        <v>168</v>
      </c>
      <c r="F23" s="38"/>
      <c r="G23" s="38"/>
      <c r="H23" s="38"/>
      <c r="I23" s="38"/>
      <c r="J23" s="39"/>
      <c r="K23" s="40"/>
      <c r="L23" s="41">
        <f>SUM(L14:L22)</f>
        <v>16.5</v>
      </c>
    </row>
    <row r="24" ht="15" spans="1:12">
      <c r="A24" s="270"/>
      <c r="B24" s="276"/>
      <c r="C24" s="278"/>
      <c r="D24" s="278"/>
      <c r="E24" s="279" t="s">
        <v>169</v>
      </c>
      <c r="F24" s="279" t="s">
        <v>136</v>
      </c>
      <c r="G24" s="278">
        <v>1</v>
      </c>
      <c r="H24" s="297" t="s">
        <v>256</v>
      </c>
      <c r="I24" s="14" t="s">
        <v>59</v>
      </c>
      <c r="J24" s="282"/>
      <c r="K24" s="279"/>
      <c r="L24" s="283"/>
    </row>
    <row r="25" ht="15" spans="1:12">
      <c r="A25" s="270"/>
      <c r="B25" s="276"/>
      <c r="C25" s="278"/>
      <c r="D25" s="278"/>
      <c r="E25" s="279"/>
      <c r="F25" s="279"/>
      <c r="G25" s="278">
        <v>2</v>
      </c>
      <c r="H25" s="280" t="s">
        <v>257</v>
      </c>
      <c r="I25" s="14" t="s">
        <v>246</v>
      </c>
      <c r="J25" s="282"/>
      <c r="K25" s="279"/>
      <c r="L25" s="283"/>
    </row>
  </sheetData>
  <mergeCells count="38">
    <mergeCell ref="E3:H3"/>
    <mergeCell ref="E11:H11"/>
    <mergeCell ref="E23:H23"/>
    <mergeCell ref="A2:A4"/>
    <mergeCell ref="A5:A13"/>
    <mergeCell ref="A14:A25"/>
    <mergeCell ref="B2:B4"/>
    <mergeCell ref="B5:B13"/>
    <mergeCell ref="B14:B25"/>
    <mergeCell ref="C2:C4"/>
    <mergeCell ref="C5:C13"/>
    <mergeCell ref="C14:C25"/>
    <mergeCell ref="D2:D4"/>
    <mergeCell ref="D5:D13"/>
    <mergeCell ref="D14:D25"/>
    <mergeCell ref="E5:E10"/>
    <mergeCell ref="E12:E13"/>
    <mergeCell ref="E14:E22"/>
    <mergeCell ref="E24:E25"/>
    <mergeCell ref="F5:F10"/>
    <mergeCell ref="F12:F13"/>
    <mergeCell ref="F14:F22"/>
    <mergeCell ref="F24:F25"/>
    <mergeCell ref="G5:G7"/>
    <mergeCell ref="G8:G10"/>
    <mergeCell ref="G14:G18"/>
    <mergeCell ref="G19:G20"/>
    <mergeCell ref="G21:G22"/>
    <mergeCell ref="H5:H7"/>
    <mergeCell ref="H8:H10"/>
    <mergeCell ref="H14:H18"/>
    <mergeCell ref="H19:H20"/>
    <mergeCell ref="H21:H22"/>
    <mergeCell ref="J5:J7"/>
    <mergeCell ref="J8:J10"/>
    <mergeCell ref="J14:J18"/>
    <mergeCell ref="J19:J20"/>
    <mergeCell ref="J21:J22"/>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8" activePane="bottomLeft" state="frozen"/>
      <selection/>
      <selection pane="bottomLeft" activeCell="N17" sqref="N17"/>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ht="15" spans="1:26">
      <c r="A2" s="216" t="s">
        <v>258</v>
      </c>
      <c r="B2" s="217" t="s">
        <v>70</v>
      </c>
      <c r="C2" s="218" t="s">
        <v>189</v>
      </c>
      <c r="D2" s="219"/>
      <c r="E2" s="220" t="s">
        <v>171</v>
      </c>
      <c r="F2" s="219" t="s">
        <v>53</v>
      </c>
      <c r="G2" s="21">
        <v>1</v>
      </c>
      <c r="H2" s="221" t="s">
        <v>259</v>
      </c>
      <c r="I2" s="222" t="s">
        <v>80</v>
      </c>
      <c r="J2" s="124">
        <v>1</v>
      </c>
      <c r="K2" s="223"/>
      <c r="L2" s="224">
        <v>1.5</v>
      </c>
    </row>
    <row r="3" ht="15" spans="1:26">
      <c r="A3" s="225"/>
      <c r="B3" s="226"/>
      <c r="C3" s="227"/>
      <c r="D3" s="223"/>
      <c r="E3" s="228"/>
      <c r="F3" s="223"/>
      <c r="G3" s="10">
        <v>2</v>
      </c>
      <c r="H3" s="115"/>
      <c r="I3" s="222"/>
      <c r="J3" s="124"/>
      <c r="K3" s="223"/>
      <c r="L3" s="224"/>
    </row>
    <row r="4" ht="15" spans="1:26">
      <c r="A4" s="225"/>
      <c r="B4" s="226"/>
      <c r="C4" s="227"/>
      <c r="D4" s="223"/>
      <c r="E4" s="229"/>
      <c r="F4" s="230"/>
      <c r="G4" s="12">
        <v>3</v>
      </c>
      <c r="H4" s="231"/>
      <c r="I4" s="222"/>
      <c r="J4" s="124"/>
      <c r="K4" s="222"/>
      <c r="L4" s="224"/>
    </row>
    <row r="5" ht="15" spans="1:26">
      <c r="A5" s="225"/>
      <c r="B5" s="226"/>
      <c r="C5" s="227"/>
      <c r="D5" s="223"/>
      <c r="E5" s="232" t="s">
        <v>168</v>
      </c>
      <c r="F5" s="233"/>
      <c r="G5" s="233"/>
      <c r="H5" s="234"/>
      <c r="I5" s="235"/>
      <c r="J5" s="236"/>
      <c r="K5" s="237"/>
      <c r="L5" s="238">
        <f>SUM(L2:L4)</f>
        <v>1.5</v>
      </c>
    </row>
    <row r="6" ht="15.6" spans="1:26">
      <c r="A6" s="225"/>
      <c r="B6" s="226"/>
      <c r="C6" s="227"/>
      <c r="D6" s="223"/>
      <c r="E6" s="220" t="s">
        <v>169</v>
      </c>
      <c r="F6" s="239" t="s">
        <v>53</v>
      </c>
      <c r="G6" s="21">
        <v>1</v>
      </c>
      <c r="H6" s="240"/>
      <c r="I6" s="223"/>
      <c r="J6" s="241"/>
      <c r="K6" s="228"/>
      <c r="L6" s="224"/>
    </row>
    <row r="7" ht="15.6" spans="1:26">
      <c r="A7" s="225"/>
      <c r="B7" s="226"/>
      <c r="C7" s="227"/>
      <c r="D7" s="223"/>
      <c r="E7" s="228"/>
      <c r="F7" s="242"/>
      <c r="G7" s="10">
        <v>2</v>
      </c>
      <c r="H7" s="243"/>
      <c r="I7" s="228"/>
      <c r="J7" s="241"/>
      <c r="K7" s="228"/>
      <c r="L7" s="224"/>
    </row>
    <row r="8" ht="35" customHeight="1" spans="1:26">
      <c r="A8" s="216" t="s">
        <v>260</v>
      </c>
      <c r="B8" s="217" t="s">
        <v>70</v>
      </c>
      <c r="C8" s="218" t="s">
        <v>261</v>
      </c>
      <c r="D8" s="219"/>
      <c r="E8" s="220" t="s">
        <v>171</v>
      </c>
      <c r="F8" s="219" t="s">
        <v>53</v>
      </c>
      <c r="G8" s="10">
        <v>1</v>
      </c>
      <c r="H8" s="244" t="s">
        <v>262</v>
      </c>
      <c r="I8" s="245" t="s">
        <v>80</v>
      </c>
      <c r="J8" s="124">
        <v>1</v>
      </c>
      <c r="K8" s="223"/>
      <c r="L8" s="224">
        <v>3.5</v>
      </c>
    </row>
    <row r="9" ht="33" customHeight="1" spans="1:26">
      <c r="A9" s="216"/>
      <c r="B9" s="217"/>
      <c r="C9" s="218"/>
      <c r="D9" s="219"/>
      <c r="E9" s="220"/>
      <c r="F9" s="219"/>
      <c r="G9" s="10">
        <v>2</v>
      </c>
      <c r="H9" s="246"/>
      <c r="I9" s="245" t="s">
        <v>263</v>
      </c>
      <c r="J9" s="124">
        <v>1</v>
      </c>
      <c r="K9" s="223"/>
      <c r="L9" s="224">
        <v>0.5</v>
      </c>
    </row>
    <row r="10" ht="39" customHeight="1" spans="1:26">
      <c r="A10" s="216"/>
      <c r="B10" s="217"/>
      <c r="C10" s="218"/>
      <c r="D10" s="219"/>
      <c r="E10" s="220"/>
      <c r="F10" s="219"/>
      <c r="G10" s="10">
        <v>3</v>
      </c>
      <c r="H10" s="246"/>
      <c r="I10" s="245" t="s">
        <v>70</v>
      </c>
      <c r="J10" s="124">
        <v>1</v>
      </c>
      <c r="K10" s="223"/>
      <c r="L10" s="224">
        <v>1.5</v>
      </c>
    </row>
    <row r="11" ht="24" customHeight="1" spans="1:26">
      <c r="A11" s="216"/>
      <c r="B11" s="217"/>
      <c r="C11" s="218"/>
      <c r="D11" s="219"/>
      <c r="E11" s="220"/>
      <c r="F11" s="219"/>
      <c r="G11" s="10">
        <v>4</v>
      </c>
      <c r="H11" s="246"/>
      <c r="I11" s="245" t="s">
        <v>264</v>
      </c>
      <c r="J11" s="124">
        <v>1</v>
      </c>
      <c r="K11" s="223"/>
      <c r="L11" s="224">
        <v>2.5</v>
      </c>
    </row>
    <row r="12" ht="21" customHeight="1" spans="1:26">
      <c r="A12" s="216"/>
      <c r="B12" s="217"/>
      <c r="C12" s="218"/>
      <c r="D12" s="219"/>
      <c r="E12" s="220"/>
      <c r="F12" s="219"/>
      <c r="G12" s="10">
        <v>5</v>
      </c>
      <c r="H12" s="247"/>
      <c r="I12" s="245"/>
      <c r="J12" s="124"/>
      <c r="K12" s="223"/>
      <c r="L12" s="224"/>
    </row>
    <row r="13" ht="15" spans="1:26">
      <c r="A13" s="216"/>
      <c r="B13" s="217"/>
      <c r="C13" s="218"/>
      <c r="D13" s="219"/>
      <c r="E13" s="248" t="s">
        <v>168</v>
      </c>
      <c r="F13" s="248"/>
      <c r="G13" s="248"/>
      <c r="H13" s="248"/>
      <c r="I13" s="248"/>
      <c r="J13" s="236"/>
      <c r="K13" s="237"/>
      <c r="L13" s="238">
        <f>SUM(L8:L12)</f>
        <v>8</v>
      </c>
    </row>
    <row r="14" ht="15" spans="1:26">
      <c r="A14" s="216"/>
      <c r="B14" s="217"/>
      <c r="C14" s="218"/>
      <c r="D14" s="219"/>
      <c r="E14" s="228" t="s">
        <v>169</v>
      </c>
      <c r="F14" s="228" t="s">
        <v>53</v>
      </c>
      <c r="G14" s="10">
        <v>1</v>
      </c>
      <c r="H14" s="249"/>
      <c r="I14" s="245"/>
      <c r="J14" s="250"/>
      <c r="K14" s="228"/>
      <c r="L14" s="224"/>
    </row>
    <row r="15" ht="15" spans="1:26">
      <c r="A15" s="216"/>
      <c r="B15" s="217"/>
      <c r="C15" s="218"/>
      <c r="D15" s="219"/>
      <c r="E15" s="228"/>
      <c r="F15" s="228"/>
      <c r="G15" s="10">
        <v>2</v>
      </c>
      <c r="H15" s="249"/>
      <c r="I15" s="245"/>
      <c r="J15" s="250"/>
      <c r="K15" s="228"/>
      <c r="L15" s="224"/>
    </row>
    <row r="16" ht="49" customHeight="1" spans="1:26">
      <c r="A16" s="225" t="s">
        <v>265</v>
      </c>
      <c r="B16" s="226" t="s">
        <v>70</v>
      </c>
      <c r="C16" s="227" t="s">
        <v>266</v>
      </c>
      <c r="D16" s="223"/>
      <c r="E16" s="229" t="s">
        <v>171</v>
      </c>
      <c r="F16" s="230" t="s">
        <v>53</v>
      </c>
      <c r="G16" s="10">
        <v>1</v>
      </c>
      <c r="H16" s="251" t="s">
        <v>267</v>
      </c>
      <c r="I16" s="245" t="s">
        <v>70</v>
      </c>
      <c r="J16" s="124">
        <v>0.4</v>
      </c>
      <c r="K16" s="223"/>
      <c r="L16" s="224">
        <v>3.5</v>
      </c>
    </row>
    <row r="17" ht="39" customHeight="1" spans="1:12">
      <c r="A17" s="225"/>
      <c r="B17" s="226"/>
      <c r="C17" s="227"/>
      <c r="D17" s="223"/>
      <c r="E17" s="229"/>
      <c r="F17" s="230"/>
      <c r="G17" s="10">
        <v>2</v>
      </c>
      <c r="H17" s="252"/>
      <c r="I17" s="245" t="s">
        <v>264</v>
      </c>
      <c r="J17" s="124">
        <v>0.4</v>
      </c>
      <c r="K17" s="223"/>
      <c r="L17" s="224">
        <v>2.5</v>
      </c>
    </row>
    <row r="18" ht="33" customHeight="1" spans="1:12">
      <c r="A18" s="225"/>
      <c r="B18" s="226"/>
      <c r="C18" s="227"/>
      <c r="D18" s="223"/>
      <c r="E18" s="229"/>
      <c r="F18" s="230"/>
      <c r="G18" s="10">
        <v>3</v>
      </c>
      <c r="H18" s="253"/>
      <c r="I18" s="245" t="s">
        <v>263</v>
      </c>
      <c r="J18" s="124">
        <v>0.4</v>
      </c>
      <c r="K18" s="223"/>
      <c r="L18" s="224">
        <v>4.5</v>
      </c>
    </row>
    <row r="19" ht="15" spans="1:12">
      <c r="A19" s="225"/>
      <c r="B19" s="226"/>
      <c r="C19" s="227"/>
      <c r="D19" s="223"/>
      <c r="E19" s="248" t="s">
        <v>168</v>
      </c>
      <c r="F19" s="248"/>
      <c r="G19" s="248"/>
      <c r="H19" s="248"/>
      <c r="I19" s="248"/>
      <c r="J19" s="236"/>
      <c r="K19" s="237"/>
      <c r="L19" s="238">
        <f>SUM(L16:L18)</f>
        <v>10.5</v>
      </c>
    </row>
    <row r="20" ht="15" spans="1:12">
      <c r="A20" s="225"/>
      <c r="B20" s="226"/>
      <c r="C20" s="227"/>
      <c r="D20" s="223"/>
      <c r="E20" s="228" t="s">
        <v>169</v>
      </c>
      <c r="F20" s="228" t="s">
        <v>53</v>
      </c>
      <c r="G20" s="10">
        <v>1</v>
      </c>
      <c r="H20" s="249"/>
      <c r="I20" s="245"/>
      <c r="J20" s="250"/>
      <c r="K20" s="228"/>
      <c r="L20" s="224"/>
    </row>
    <row r="21" ht="15" spans="1:12">
      <c r="A21" s="225"/>
      <c r="B21" s="226"/>
      <c r="C21" s="227"/>
      <c r="D21" s="223"/>
      <c r="E21" s="228"/>
      <c r="F21" s="228"/>
      <c r="G21" s="10">
        <v>2</v>
      </c>
      <c r="H21" s="254"/>
      <c r="I21" s="245"/>
      <c r="J21" s="250"/>
      <c r="K21" s="228"/>
      <c r="L21" s="224"/>
    </row>
    <row r="22" ht="15" spans="1:12">
      <c r="A22" s="255" t="s">
        <v>268</v>
      </c>
      <c r="B22" s="256" t="s">
        <v>80</v>
      </c>
      <c r="C22" s="257" t="s">
        <v>189</v>
      </c>
      <c r="D22" s="258"/>
      <c r="E22" s="259" t="s">
        <v>171</v>
      </c>
      <c r="F22" s="258" t="s">
        <v>53</v>
      </c>
      <c r="G22" s="10">
        <v>1</v>
      </c>
      <c r="H22" s="260"/>
      <c r="I22" s="245"/>
      <c r="J22" s="124"/>
      <c r="K22" s="261"/>
      <c r="L22" s="107"/>
    </row>
    <row r="23" ht="15" spans="1:12">
      <c r="A23" s="255"/>
      <c r="B23" s="256"/>
      <c r="C23" s="257"/>
      <c r="D23" s="258"/>
      <c r="E23" s="259"/>
      <c r="F23" s="258"/>
      <c r="G23" s="10">
        <v>2</v>
      </c>
      <c r="H23" s="262"/>
      <c r="I23" s="245"/>
      <c r="J23" s="124"/>
      <c r="K23" s="261"/>
      <c r="L23" s="107"/>
    </row>
    <row r="24" ht="15" spans="1:12">
      <c r="A24" s="255"/>
      <c r="B24" s="256"/>
      <c r="C24" s="257"/>
      <c r="D24" s="258"/>
      <c r="E24" s="259"/>
      <c r="F24" s="258"/>
      <c r="G24" s="10">
        <v>3</v>
      </c>
      <c r="H24" s="263"/>
      <c r="I24" s="245"/>
      <c r="J24" s="104"/>
      <c r="K24" s="261"/>
      <c r="L24" s="107"/>
    </row>
    <row r="25" ht="15" spans="1:12">
      <c r="A25" s="255"/>
      <c r="B25" s="256"/>
      <c r="C25" s="257"/>
      <c r="D25" s="258"/>
      <c r="E25" s="264" t="s">
        <v>168</v>
      </c>
      <c r="F25" s="233"/>
      <c r="G25" s="233"/>
      <c r="H25" s="265"/>
      <c r="I25" s="39"/>
      <c r="J25" s="39"/>
      <c r="K25" s="266"/>
      <c r="L25" s="41">
        <f>SUM(L22:L24)</f>
        <v>0</v>
      </c>
    </row>
    <row r="26" ht="15" spans="1:12">
      <c r="A26" s="255"/>
      <c r="B26" s="256"/>
      <c r="C26" s="257"/>
      <c r="D26" s="258"/>
      <c r="E26" s="259" t="s">
        <v>169</v>
      </c>
      <c r="F26" s="259" t="s">
        <v>53</v>
      </c>
      <c r="G26" s="10">
        <v>1</v>
      </c>
      <c r="H26" s="246"/>
      <c r="I26" s="245"/>
      <c r="J26" s="104"/>
      <c r="K26" s="259"/>
      <c r="L26" s="107"/>
    </row>
    <row r="27" ht="15" spans="1:12">
      <c r="A27" s="255"/>
      <c r="B27" s="256"/>
      <c r="C27" s="257"/>
      <c r="D27" s="258"/>
      <c r="E27" s="259"/>
      <c r="F27" s="259"/>
      <c r="G27" s="10">
        <v>2</v>
      </c>
      <c r="H27" s="267"/>
      <c r="I27" s="245"/>
      <c r="J27" s="104"/>
      <c r="K27" s="259"/>
      <c r="L27" s="107"/>
    </row>
  </sheetData>
  <mergeCells count="40">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 ref="D2:D7"/>
    <mergeCell ref="D8:D15"/>
    <mergeCell ref="D16:D21"/>
    <mergeCell ref="D22:D27"/>
    <mergeCell ref="E2:E4"/>
    <mergeCell ref="E6:E7"/>
    <mergeCell ref="E8:E12"/>
    <mergeCell ref="E14:E15"/>
    <mergeCell ref="E16:E18"/>
    <mergeCell ref="E20:E21"/>
    <mergeCell ref="E22:E24"/>
    <mergeCell ref="E26:E27"/>
    <mergeCell ref="F2:F4"/>
    <mergeCell ref="F6:F7"/>
    <mergeCell ref="F8:F12"/>
    <mergeCell ref="F14:F15"/>
    <mergeCell ref="F16:F18"/>
    <mergeCell ref="F20:F21"/>
    <mergeCell ref="F22:F24"/>
    <mergeCell ref="F26:F27"/>
    <mergeCell ref="H2:H3"/>
    <mergeCell ref="H8:H11"/>
    <mergeCell ref="H16:H18"/>
    <mergeCell ref="H22:H2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
  <sheetViews>
    <sheetView zoomScale="115" zoomScaleNormal="115" workbookViewId="0">
      <pane ySplit="1" topLeftCell="A2" activePane="bottomLeft" state="frozen"/>
      <selection/>
      <selection pane="bottomLeft" activeCell="J10" sqref="J10"/>
    </sheetView>
  </sheetViews>
  <sheetFormatPr defaultColWidth="9.16666666666667" defaultRowHeight="13.2"/>
  <cols>
    <col min="1" max="1" width="22.4166666666667" style="179" customWidth="1"/>
    <col min="2" max="2" width="11.75" style="179" customWidth="1"/>
    <col min="3" max="7" width="9.16666666666667" style="179"/>
    <col min="8" max="8" width="54" style="179" customWidth="1"/>
    <col min="9" max="11" width="9.16666666666667" style="179"/>
    <col min="12" max="12" width="16.6666666666667" style="180" customWidth="1"/>
    <col min="13" max="16384" width="9.16666666666667" style="179"/>
  </cols>
  <sheetData>
    <row r="1" ht="69.6" spans="1:26">
      <c r="A1" s="181" t="s">
        <v>148</v>
      </c>
      <c r="B1" s="182" t="s">
        <v>6</v>
      </c>
      <c r="C1" s="181" t="s">
        <v>149</v>
      </c>
      <c r="D1" s="181" t="s">
        <v>150</v>
      </c>
      <c r="E1" s="182" t="s">
        <v>151</v>
      </c>
      <c r="F1" s="181" t="s">
        <v>152</v>
      </c>
      <c r="G1" s="181" t="s">
        <v>1</v>
      </c>
      <c r="H1" s="183" t="s">
        <v>153</v>
      </c>
      <c r="I1" s="181" t="s">
        <v>154</v>
      </c>
      <c r="J1" s="184" t="s">
        <v>155</v>
      </c>
      <c r="K1" s="181" t="s">
        <v>156</v>
      </c>
      <c r="L1" s="185" t="s">
        <v>157</v>
      </c>
      <c r="M1" s="186"/>
      <c r="N1" s="186"/>
      <c r="O1" s="186"/>
      <c r="P1" s="186"/>
      <c r="Q1" s="186"/>
      <c r="R1" s="186"/>
      <c r="S1" s="186"/>
      <c r="T1" s="186"/>
      <c r="U1" s="186"/>
      <c r="V1" s="186"/>
      <c r="W1" s="186"/>
      <c r="X1" s="186"/>
      <c r="Y1" s="186"/>
      <c r="Z1" s="186"/>
    </row>
    <row r="2" ht="30" customHeight="1" spans="1:26">
      <c r="A2" s="187" t="s">
        <v>89</v>
      </c>
      <c r="B2" s="188" t="s">
        <v>87</v>
      </c>
      <c r="C2" s="189"/>
      <c r="D2" s="190"/>
      <c r="E2" s="191" t="s">
        <v>171</v>
      </c>
      <c r="F2" s="190" t="s">
        <v>194</v>
      </c>
      <c r="G2" s="192">
        <v>1</v>
      </c>
      <c r="H2" s="193" t="s">
        <v>269</v>
      </c>
      <c r="I2" s="194" t="s">
        <v>87</v>
      </c>
      <c r="J2" s="195">
        <v>1</v>
      </c>
      <c r="K2" s="196"/>
      <c r="L2" s="197">
        <v>1</v>
      </c>
    </row>
    <row r="3" ht="30" customHeight="1" spans="1:26">
      <c r="A3" s="198"/>
      <c r="B3" s="199"/>
      <c r="C3" s="200"/>
      <c r="D3" s="201"/>
      <c r="E3" s="202"/>
      <c r="F3" s="190" t="s">
        <v>194</v>
      </c>
      <c r="G3" s="192">
        <v>2</v>
      </c>
      <c r="H3" s="193" t="s">
        <v>270</v>
      </c>
      <c r="I3" s="194" t="s">
        <v>87</v>
      </c>
      <c r="J3" s="195">
        <v>1</v>
      </c>
      <c r="K3" s="196"/>
      <c r="L3" s="197">
        <v>4</v>
      </c>
    </row>
    <row r="4" ht="30" customHeight="1" spans="1:26">
      <c r="A4" s="198"/>
      <c r="B4" s="199"/>
      <c r="C4" s="200"/>
      <c r="D4" s="201"/>
      <c r="E4" s="203"/>
      <c r="F4" s="190" t="s">
        <v>53</v>
      </c>
      <c r="G4" s="192">
        <v>3</v>
      </c>
      <c r="H4" s="193" t="s">
        <v>271</v>
      </c>
      <c r="I4" s="194" t="s">
        <v>272</v>
      </c>
      <c r="J4" s="195">
        <v>0.65</v>
      </c>
      <c r="K4" s="196"/>
      <c r="L4" s="197">
        <v>5</v>
      </c>
    </row>
    <row r="5" ht="27" customHeight="1" spans="1:26">
      <c r="A5" s="198"/>
      <c r="B5" s="199"/>
      <c r="C5" s="200"/>
      <c r="D5" s="201"/>
      <c r="E5" s="204" t="s">
        <v>168</v>
      </c>
      <c r="F5" s="204"/>
      <c r="G5" s="204"/>
      <c r="H5" s="204"/>
      <c r="I5" s="204"/>
      <c r="J5" s="205"/>
      <c r="K5" s="206"/>
      <c r="L5" s="207">
        <f>SUM(L2:L4)</f>
        <v>10</v>
      </c>
    </row>
    <row r="6" ht="25.5" customHeight="1" spans="1:26">
      <c r="A6" s="198"/>
      <c r="B6" s="199"/>
      <c r="C6" s="200"/>
      <c r="D6" s="201"/>
      <c r="E6" s="191" t="s">
        <v>169</v>
      </c>
      <c r="F6" s="196" t="s">
        <v>53</v>
      </c>
      <c r="G6" s="196">
        <v>1</v>
      </c>
      <c r="H6" s="193" t="s">
        <v>273</v>
      </c>
      <c r="I6" s="192" t="s">
        <v>87</v>
      </c>
      <c r="J6" s="208">
        <v>1</v>
      </c>
      <c r="K6" s="196"/>
      <c r="L6" s="209">
        <v>5</v>
      </c>
    </row>
    <row r="7" ht="25.5" customHeight="1" spans="1:26">
      <c r="A7" s="210"/>
      <c r="B7" s="211"/>
      <c r="C7" s="212"/>
      <c r="D7" s="213"/>
      <c r="E7" s="203"/>
      <c r="F7" s="196" t="s">
        <v>53</v>
      </c>
      <c r="G7" s="196">
        <v>2</v>
      </c>
      <c r="H7" s="193" t="s">
        <v>271</v>
      </c>
      <c r="I7" s="194" t="s">
        <v>272</v>
      </c>
      <c r="J7" s="208">
        <v>1</v>
      </c>
      <c r="K7" s="196"/>
      <c r="L7" s="209">
        <v>5</v>
      </c>
    </row>
    <row r="8" ht="26" customHeight="1" spans="1:26">
      <c r="A8" s="181" t="s">
        <v>274</v>
      </c>
      <c r="B8" s="214" t="s">
        <v>87</v>
      </c>
      <c r="C8" s="195">
        <v>0.95</v>
      </c>
      <c r="D8" s="192"/>
      <c r="E8" s="196" t="s">
        <v>171</v>
      </c>
      <c r="F8" s="192" t="s">
        <v>194</v>
      </c>
      <c r="G8" s="192">
        <v>1</v>
      </c>
      <c r="H8" s="215" t="s">
        <v>275</v>
      </c>
      <c r="I8" s="194" t="s">
        <v>276</v>
      </c>
      <c r="J8" s="208">
        <v>1</v>
      </c>
      <c r="K8" s="196"/>
      <c r="L8" s="209">
        <v>5</v>
      </c>
    </row>
    <row r="9" ht="19" customHeight="1" spans="1:26">
      <c r="A9" s="181"/>
      <c r="B9" s="214"/>
      <c r="C9" s="192"/>
      <c r="D9" s="192"/>
      <c r="E9" s="204" t="s">
        <v>168</v>
      </c>
      <c r="F9" s="204"/>
      <c r="G9" s="204"/>
      <c r="H9" s="204"/>
      <c r="I9" s="204"/>
      <c r="J9" s="205"/>
      <c r="K9" s="206"/>
      <c r="L9" s="207">
        <f>SUM(L8:L8)</f>
        <v>5</v>
      </c>
    </row>
    <row r="10" ht="22.5" customHeight="1" spans="1:26">
      <c r="A10" s="181"/>
      <c r="B10" s="214"/>
      <c r="C10" s="192"/>
      <c r="D10" s="192"/>
      <c r="E10" s="196" t="s">
        <v>169</v>
      </c>
      <c r="F10" s="192" t="s">
        <v>194</v>
      </c>
      <c r="G10" s="192">
        <v>1</v>
      </c>
      <c r="H10" s="215" t="s">
        <v>275</v>
      </c>
      <c r="I10" s="194" t="s">
        <v>276</v>
      </c>
      <c r="J10" s="208"/>
      <c r="K10" s="196"/>
      <c r="L10" s="209">
        <v>5</v>
      </c>
    </row>
  </sheetData>
  <mergeCells count="12">
    <mergeCell ref="E5:H5"/>
    <mergeCell ref="E9:H9"/>
    <mergeCell ref="A2:A7"/>
    <mergeCell ref="A8:A10"/>
    <mergeCell ref="B2:B7"/>
    <mergeCell ref="B8:B10"/>
    <mergeCell ref="C2:C7"/>
    <mergeCell ref="C8:C10"/>
    <mergeCell ref="D2:D7"/>
    <mergeCell ref="D8:D10"/>
    <mergeCell ref="E2:E4"/>
    <mergeCell ref="E6:E7"/>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L36"/>
  <sheetViews>
    <sheetView workbookViewId="0">
      <selection activeCell="E9" sqref="E9:E17"/>
    </sheetView>
  </sheetViews>
  <sheetFormatPr defaultColWidth="26.8518518518519" defaultRowHeight="13.2"/>
  <cols>
    <col min="1" max="1" width="26.712962962963" style="128" customWidth="1"/>
    <col min="2" max="3" width="8.57407407407407" style="128" customWidth="1"/>
    <col min="4" max="4" width="12.4259259259259" style="128" customWidth="1"/>
    <col min="5" max="5" width="9.28703703703704" style="128" customWidth="1"/>
    <col min="6" max="6" width="8.57407407407407" style="128" customWidth="1"/>
    <col min="7" max="7" width="4.85185185185185" style="128" customWidth="1"/>
    <col min="8" max="8" width="70.712962962963" style="128" customWidth="1"/>
    <col min="9" max="9" width="22.1388888888889" style="128" customWidth="1"/>
    <col min="10" max="10" width="6.71296296296296" style="128" customWidth="1"/>
    <col min="11" max="11" width="14.4259259259259" style="128" customWidth="1"/>
    <col min="12" max="12" width="14.4259259259259" style="129" customWidth="1"/>
    <col min="13" max="16384" width="26.8518518518519" style="128"/>
  </cols>
  <sheetData>
    <row r="1" ht="15.6" spans="1:12">
      <c r="A1" s="130" t="s">
        <v>148</v>
      </c>
      <c r="B1" s="131" t="s">
        <v>6</v>
      </c>
      <c r="C1" s="132" t="s">
        <v>149</v>
      </c>
      <c r="D1" s="132" t="s">
        <v>150</v>
      </c>
      <c r="E1" s="131" t="s">
        <v>151</v>
      </c>
      <c r="F1" s="132" t="s">
        <v>152</v>
      </c>
      <c r="G1" s="132" t="s">
        <v>1</v>
      </c>
      <c r="H1" s="133" t="s">
        <v>153</v>
      </c>
      <c r="I1" s="132" t="s">
        <v>154</v>
      </c>
      <c r="J1" s="134" t="s">
        <v>155</v>
      </c>
      <c r="K1" s="132" t="s">
        <v>156</v>
      </c>
      <c r="L1" s="135" t="s">
        <v>157</v>
      </c>
    </row>
    <row r="2" spans="1:12">
      <c r="A2" s="136" t="s">
        <v>107</v>
      </c>
      <c r="B2" s="137" t="s">
        <v>108</v>
      </c>
      <c r="C2" s="138" t="s">
        <v>24</v>
      </c>
      <c r="D2" s="138"/>
      <c r="E2" s="139" t="s">
        <v>171</v>
      </c>
      <c r="F2" s="138" t="s">
        <v>53</v>
      </c>
      <c r="G2" s="131">
        <v>1</v>
      </c>
      <c r="H2" s="140" t="s">
        <v>277</v>
      </c>
      <c r="I2" s="141" t="s">
        <v>108</v>
      </c>
      <c r="J2" s="134">
        <v>1</v>
      </c>
      <c r="K2" s="132"/>
      <c r="L2" s="135">
        <v>0.4</v>
      </c>
    </row>
    <row r="3" spans="1:12">
      <c r="A3" s="142"/>
      <c r="B3" s="143"/>
      <c r="C3" s="144"/>
      <c r="D3" s="144"/>
      <c r="E3" s="145"/>
      <c r="F3" s="144"/>
      <c r="G3" s="131">
        <v>2</v>
      </c>
      <c r="H3" s="146" t="s">
        <v>278</v>
      </c>
      <c r="I3" s="147" t="s">
        <v>108</v>
      </c>
      <c r="J3" s="134">
        <v>1</v>
      </c>
      <c r="K3" s="138"/>
      <c r="L3" s="148">
        <v>0.2</v>
      </c>
    </row>
    <row r="4" ht="24" spans="1:12">
      <c r="A4" s="142"/>
      <c r="B4" s="143"/>
      <c r="C4" s="144"/>
      <c r="D4" s="144"/>
      <c r="E4" s="145"/>
      <c r="F4" s="149"/>
      <c r="G4" s="150">
        <v>3</v>
      </c>
      <c r="H4" s="146" t="s">
        <v>279</v>
      </c>
      <c r="I4" s="147" t="s">
        <v>33</v>
      </c>
      <c r="J4" s="134">
        <v>0.8</v>
      </c>
      <c r="K4" s="138"/>
      <c r="L4" s="148">
        <v>1</v>
      </c>
    </row>
    <row r="5" spans="1:12">
      <c r="A5" s="142"/>
      <c r="B5" s="143"/>
      <c r="C5" s="144"/>
      <c r="D5" s="144"/>
      <c r="E5" s="145"/>
      <c r="F5" s="138" t="s">
        <v>177</v>
      </c>
      <c r="G5" s="150">
        <v>1</v>
      </c>
      <c r="H5" s="140" t="s">
        <v>280</v>
      </c>
      <c r="I5" s="141" t="s">
        <v>111</v>
      </c>
      <c r="J5" s="134">
        <v>1</v>
      </c>
      <c r="K5" s="132"/>
      <c r="L5" s="135">
        <v>2.5</v>
      </c>
    </row>
    <row r="6" spans="1:12">
      <c r="A6" s="142"/>
      <c r="B6" s="143"/>
      <c r="C6" s="144"/>
      <c r="D6" s="144"/>
      <c r="E6" s="151"/>
      <c r="F6" s="149"/>
      <c r="G6" s="150">
        <v>2</v>
      </c>
      <c r="H6" s="152"/>
      <c r="I6" s="141"/>
      <c r="J6" s="134"/>
      <c r="K6" s="132"/>
      <c r="L6" s="135"/>
    </row>
    <row r="7" spans="1:12">
      <c r="A7" s="142"/>
      <c r="B7" s="143"/>
      <c r="C7" s="144"/>
      <c r="D7" s="144"/>
      <c r="E7" s="153" t="s">
        <v>168</v>
      </c>
      <c r="F7" s="154"/>
      <c r="G7" s="154"/>
      <c r="H7" s="155"/>
      <c r="I7" s="156"/>
      <c r="J7" s="157"/>
      <c r="K7" s="158"/>
      <c r="L7" s="159">
        <v>4.1</v>
      </c>
    </row>
    <row r="8" spans="1:12">
      <c r="A8" s="160"/>
      <c r="B8" s="161"/>
      <c r="C8" s="149"/>
      <c r="D8" s="149"/>
      <c r="E8" s="131" t="s">
        <v>169</v>
      </c>
      <c r="F8" s="131" t="s">
        <v>53</v>
      </c>
      <c r="G8" s="131">
        <v>1</v>
      </c>
      <c r="H8" s="162"/>
      <c r="I8" s="141"/>
      <c r="J8" s="163"/>
      <c r="K8" s="131"/>
      <c r="L8" s="135"/>
    </row>
    <row r="9" ht="48" spans="1:12">
      <c r="A9" s="136" t="s">
        <v>281</v>
      </c>
      <c r="B9" s="137"/>
      <c r="C9" s="138">
        <v>35</v>
      </c>
      <c r="D9" s="138"/>
      <c r="E9" s="139" t="s">
        <v>171</v>
      </c>
      <c r="F9" s="138" t="s">
        <v>53</v>
      </c>
      <c r="G9" s="131">
        <v>1</v>
      </c>
      <c r="H9" s="140" t="s">
        <v>282</v>
      </c>
      <c r="I9" s="141" t="s">
        <v>283</v>
      </c>
      <c r="J9" s="134">
        <v>1</v>
      </c>
      <c r="K9" s="132"/>
      <c r="L9" s="135">
        <v>5</v>
      </c>
    </row>
    <row r="10" ht="48" spans="1:12">
      <c r="A10" s="142"/>
      <c r="B10" s="143"/>
      <c r="C10" s="144"/>
      <c r="D10" s="144"/>
      <c r="E10" s="145"/>
      <c r="F10" s="144"/>
      <c r="G10" s="131">
        <v>2</v>
      </c>
      <c r="H10" s="164" t="s">
        <v>284</v>
      </c>
      <c r="I10" s="141" t="s">
        <v>285</v>
      </c>
      <c r="J10" s="134">
        <v>1</v>
      </c>
      <c r="K10" s="138"/>
      <c r="L10" s="148">
        <v>4.5</v>
      </c>
    </row>
    <row r="11" ht="72" spans="1:12">
      <c r="A11" s="142"/>
      <c r="B11" s="143"/>
      <c r="C11" s="144"/>
      <c r="D11" s="144"/>
      <c r="E11" s="145"/>
      <c r="F11" s="144"/>
      <c r="G11" s="131">
        <v>3</v>
      </c>
      <c r="H11" s="140" t="s">
        <v>286</v>
      </c>
      <c r="I11" s="165" t="s">
        <v>287</v>
      </c>
      <c r="J11" s="134">
        <v>1</v>
      </c>
      <c r="K11" s="134"/>
      <c r="L11" s="135">
        <v>5</v>
      </c>
    </row>
    <row r="12" spans="1:12">
      <c r="A12" s="142"/>
      <c r="B12" s="143"/>
      <c r="C12" s="144"/>
      <c r="D12" s="144"/>
      <c r="E12" s="145"/>
      <c r="F12" s="144"/>
      <c r="G12" s="131">
        <v>4</v>
      </c>
      <c r="H12" s="162"/>
      <c r="I12" s="166"/>
      <c r="J12" s="134"/>
      <c r="K12" s="132"/>
      <c r="L12" s="135"/>
    </row>
    <row r="13" spans="1:12">
      <c r="A13" s="142"/>
      <c r="B13" s="143"/>
      <c r="C13" s="144"/>
      <c r="D13" s="144"/>
      <c r="E13" s="145"/>
      <c r="F13" s="144"/>
      <c r="G13" s="150">
        <v>5</v>
      </c>
      <c r="H13" s="167"/>
      <c r="I13" s="165"/>
      <c r="J13" s="134"/>
      <c r="K13" s="168"/>
      <c r="L13" s="135"/>
    </row>
    <row r="14" spans="1:12">
      <c r="A14" s="142"/>
      <c r="B14" s="143"/>
      <c r="C14" s="144"/>
      <c r="D14" s="144"/>
      <c r="E14" s="145"/>
      <c r="F14" s="144"/>
      <c r="G14" s="150">
        <v>6</v>
      </c>
      <c r="H14" s="169"/>
      <c r="I14" s="170"/>
      <c r="J14" s="134"/>
      <c r="K14" s="132"/>
      <c r="L14" s="135"/>
    </row>
    <row r="15" spans="1:12">
      <c r="A15" s="142"/>
      <c r="B15" s="143"/>
      <c r="C15" s="144"/>
      <c r="D15" s="144"/>
      <c r="E15" s="145"/>
      <c r="F15" s="149"/>
      <c r="G15" s="131">
        <v>7</v>
      </c>
      <c r="H15" s="171"/>
      <c r="I15" s="165"/>
      <c r="J15" s="134"/>
      <c r="K15" s="132"/>
      <c r="L15" s="135"/>
    </row>
    <row r="16" spans="1:12">
      <c r="A16" s="142"/>
      <c r="B16" s="143"/>
      <c r="C16" s="144"/>
      <c r="D16" s="144"/>
      <c r="E16" s="145"/>
      <c r="F16" s="139" t="s">
        <v>177</v>
      </c>
      <c r="G16" s="131">
        <v>1</v>
      </c>
      <c r="H16" s="133" t="s">
        <v>288</v>
      </c>
      <c r="I16" s="131" t="s">
        <v>111</v>
      </c>
      <c r="J16" s="172">
        <v>1</v>
      </c>
      <c r="K16" s="173"/>
      <c r="L16" s="174">
        <v>0.5</v>
      </c>
    </row>
    <row r="17" ht="36" spans="1:12">
      <c r="A17" s="142"/>
      <c r="B17" s="143"/>
      <c r="C17" s="144"/>
      <c r="D17" s="144"/>
      <c r="E17" s="151"/>
      <c r="F17" s="151"/>
      <c r="G17" s="131">
        <v>2</v>
      </c>
      <c r="H17" s="140" t="s">
        <v>289</v>
      </c>
      <c r="I17" s="165" t="s">
        <v>290</v>
      </c>
      <c r="J17" s="134">
        <v>1</v>
      </c>
      <c r="K17" s="134"/>
      <c r="L17" s="135">
        <v>5</v>
      </c>
    </row>
    <row r="18" spans="1:12">
      <c r="A18" s="142"/>
      <c r="B18" s="143"/>
      <c r="C18" s="144"/>
      <c r="D18" s="144"/>
      <c r="E18" s="153" t="s">
        <v>168</v>
      </c>
      <c r="F18" s="154"/>
      <c r="G18" s="154"/>
      <c r="H18" s="155"/>
      <c r="I18" s="175"/>
      <c r="J18" s="176"/>
      <c r="K18" s="177"/>
      <c r="L18" s="178">
        <v>20</v>
      </c>
    </row>
    <row r="19" spans="1:12">
      <c r="A19" s="160"/>
      <c r="B19" s="161"/>
      <c r="C19" s="149"/>
      <c r="D19" s="149"/>
      <c r="E19" s="131" t="s">
        <v>169</v>
      </c>
      <c r="F19" s="131" t="s">
        <v>53</v>
      </c>
      <c r="G19" s="131">
        <v>1</v>
      </c>
      <c r="H19" s="162"/>
      <c r="I19" s="141"/>
      <c r="J19" s="163"/>
      <c r="K19" s="131"/>
      <c r="L19" s="135"/>
    </row>
    <row r="20" spans="1:12">
      <c r="A20" s="136" t="s">
        <v>291</v>
      </c>
      <c r="B20" s="137" t="s">
        <v>108</v>
      </c>
      <c r="C20" s="138">
        <v>40</v>
      </c>
      <c r="D20" s="138"/>
      <c r="E20" s="139" t="s">
        <v>171</v>
      </c>
      <c r="F20" s="138" t="s">
        <v>53</v>
      </c>
      <c r="G20" s="131">
        <v>1</v>
      </c>
      <c r="H20" s="140" t="s">
        <v>292</v>
      </c>
      <c r="I20" s="141" t="s">
        <v>108</v>
      </c>
      <c r="J20" s="134">
        <v>1</v>
      </c>
      <c r="K20" s="132"/>
      <c r="L20" s="135">
        <v>0.4</v>
      </c>
    </row>
    <row r="21" spans="1:12">
      <c r="A21" s="142"/>
      <c r="B21" s="143"/>
      <c r="C21" s="144"/>
      <c r="D21" s="144"/>
      <c r="E21" s="145"/>
      <c r="F21" s="144"/>
      <c r="G21" s="131">
        <v>2</v>
      </c>
      <c r="H21" s="164" t="s">
        <v>293</v>
      </c>
      <c r="I21" s="141" t="s">
        <v>108</v>
      </c>
      <c r="J21" s="134">
        <v>1</v>
      </c>
      <c r="K21" s="132"/>
      <c r="L21" s="135">
        <v>1</v>
      </c>
    </row>
    <row r="22" spans="1:12">
      <c r="A22" s="142"/>
      <c r="B22" s="143"/>
      <c r="C22" s="144"/>
      <c r="D22" s="144"/>
      <c r="E22" s="145"/>
      <c r="F22" s="144"/>
      <c r="G22" s="131">
        <v>3</v>
      </c>
      <c r="H22" s="140" t="s">
        <v>294</v>
      </c>
      <c r="I22" s="141" t="s">
        <v>108</v>
      </c>
      <c r="J22" s="134">
        <v>1</v>
      </c>
      <c r="K22" s="134"/>
      <c r="L22" s="135">
        <v>3</v>
      </c>
    </row>
    <row r="23" ht="48" spans="1:12">
      <c r="A23" s="142"/>
      <c r="B23" s="143"/>
      <c r="C23" s="144"/>
      <c r="D23" s="144"/>
      <c r="E23" s="145"/>
      <c r="F23" s="144"/>
      <c r="G23" s="131">
        <v>4</v>
      </c>
      <c r="H23" s="140" t="s">
        <v>295</v>
      </c>
      <c r="I23" s="141" t="s">
        <v>33</v>
      </c>
      <c r="J23" s="134">
        <v>1</v>
      </c>
      <c r="K23" s="134"/>
      <c r="L23" s="135">
        <v>1</v>
      </c>
    </row>
    <row r="24" ht="36" spans="1:12">
      <c r="A24" s="142"/>
      <c r="B24" s="143"/>
      <c r="C24" s="144"/>
      <c r="D24" s="144"/>
      <c r="E24" s="145"/>
      <c r="F24" s="144"/>
      <c r="G24" s="131">
        <v>5</v>
      </c>
      <c r="H24" s="140" t="s">
        <v>296</v>
      </c>
      <c r="I24" s="141" t="s">
        <v>33</v>
      </c>
      <c r="J24" s="134">
        <v>1</v>
      </c>
      <c r="K24" s="132"/>
      <c r="L24" s="135">
        <v>0.6</v>
      </c>
    </row>
    <row r="25" ht="36" spans="1:12">
      <c r="A25" s="142"/>
      <c r="B25" s="143"/>
      <c r="C25" s="144"/>
      <c r="D25" s="144"/>
      <c r="E25" s="145"/>
      <c r="F25" s="144"/>
      <c r="G25" s="131">
        <v>6</v>
      </c>
      <c r="H25" s="140" t="s">
        <v>297</v>
      </c>
      <c r="I25" s="141" t="s">
        <v>33</v>
      </c>
      <c r="J25" s="134">
        <v>1</v>
      </c>
      <c r="K25" s="132"/>
      <c r="L25" s="135">
        <v>2.4</v>
      </c>
    </row>
    <row r="26" spans="1:12">
      <c r="A26" s="142"/>
      <c r="B26" s="143"/>
      <c r="C26" s="144"/>
      <c r="D26" s="144"/>
      <c r="E26" s="151"/>
      <c r="F26" s="149"/>
      <c r="G26" s="131">
        <v>7</v>
      </c>
      <c r="H26" s="162"/>
      <c r="I26" s="141"/>
      <c r="J26" s="134"/>
      <c r="K26" s="132"/>
      <c r="L26" s="135"/>
    </row>
    <row r="27" spans="1:12">
      <c r="A27" s="142"/>
      <c r="B27" s="143"/>
      <c r="C27" s="144"/>
      <c r="D27" s="144"/>
      <c r="E27" s="153" t="s">
        <v>168</v>
      </c>
      <c r="F27" s="154"/>
      <c r="G27" s="154"/>
      <c r="H27" s="155"/>
      <c r="I27" s="175"/>
      <c r="J27" s="176"/>
      <c r="K27" s="177"/>
      <c r="L27" s="178">
        <v>8.4</v>
      </c>
    </row>
    <row r="28" spans="1:12">
      <c r="A28" s="160"/>
      <c r="B28" s="161"/>
      <c r="C28" s="149"/>
      <c r="D28" s="149"/>
      <c r="E28" s="131" t="s">
        <v>169</v>
      </c>
      <c r="F28" s="131" t="s">
        <v>53</v>
      </c>
      <c r="G28" s="131">
        <v>1</v>
      </c>
      <c r="H28" s="162"/>
      <c r="I28" s="141"/>
      <c r="J28" s="163"/>
      <c r="K28" s="131"/>
      <c r="L28" s="135"/>
    </row>
    <row r="29" ht="24" spans="1:12">
      <c r="A29" s="136" t="s">
        <v>158</v>
      </c>
      <c r="B29" s="137" t="s">
        <v>23</v>
      </c>
      <c r="C29" s="138" t="s">
        <v>24</v>
      </c>
      <c r="D29" s="138"/>
      <c r="E29" s="139" t="s">
        <v>171</v>
      </c>
      <c r="F29" s="138" t="s">
        <v>53</v>
      </c>
      <c r="G29" s="131">
        <v>1</v>
      </c>
      <c r="H29" s="140" t="s">
        <v>298</v>
      </c>
      <c r="I29" s="141" t="s">
        <v>105</v>
      </c>
      <c r="J29" s="134">
        <v>1</v>
      </c>
      <c r="K29" s="132"/>
      <c r="L29" s="135">
        <v>3.5</v>
      </c>
    </row>
    <row r="30" spans="1:12">
      <c r="A30" s="142"/>
      <c r="B30" s="143"/>
      <c r="C30" s="144"/>
      <c r="D30" s="144"/>
      <c r="E30" s="145"/>
      <c r="F30" s="144"/>
      <c r="G30" s="131">
        <v>2</v>
      </c>
      <c r="H30" s="164" t="s">
        <v>299</v>
      </c>
      <c r="I30" s="141" t="s">
        <v>105</v>
      </c>
      <c r="J30" s="134">
        <v>0.3</v>
      </c>
      <c r="K30" s="132"/>
      <c r="L30" s="135">
        <v>1.5</v>
      </c>
    </row>
    <row r="31" ht="36" spans="1:12">
      <c r="A31" s="142"/>
      <c r="B31" s="143"/>
      <c r="C31" s="144"/>
      <c r="D31" s="144"/>
      <c r="E31" s="145"/>
      <c r="F31" s="149"/>
      <c r="G31" s="131">
        <v>3</v>
      </c>
      <c r="H31" s="140" t="s">
        <v>300</v>
      </c>
      <c r="I31" s="141" t="s">
        <v>301</v>
      </c>
      <c r="J31" s="134">
        <v>1</v>
      </c>
      <c r="K31" s="134"/>
      <c r="L31" s="135">
        <v>4.5</v>
      </c>
    </row>
    <row r="32" spans="1:12">
      <c r="A32" s="142"/>
      <c r="B32" s="143"/>
      <c r="C32" s="144"/>
      <c r="D32" s="144"/>
      <c r="E32" s="145"/>
      <c r="F32" s="138"/>
      <c r="G32" s="131">
        <v>4</v>
      </c>
      <c r="H32" s="140" t="s">
        <v>302</v>
      </c>
      <c r="I32" s="141" t="s">
        <v>301</v>
      </c>
      <c r="J32" s="134">
        <v>0.3</v>
      </c>
      <c r="K32" s="134"/>
      <c r="L32" s="135">
        <v>0.5</v>
      </c>
    </row>
    <row r="33" spans="1:12">
      <c r="A33" s="142"/>
      <c r="B33" s="143"/>
      <c r="C33" s="144"/>
      <c r="D33" s="144"/>
      <c r="E33" s="145"/>
      <c r="F33" s="139" t="s">
        <v>177</v>
      </c>
      <c r="G33" s="131">
        <v>5</v>
      </c>
      <c r="H33" s="140" t="s">
        <v>303</v>
      </c>
      <c r="I33" s="141" t="s">
        <v>111</v>
      </c>
      <c r="J33" s="134">
        <v>1</v>
      </c>
      <c r="K33" s="134"/>
      <c r="L33" s="135">
        <v>2</v>
      </c>
    </row>
    <row r="34" spans="1:12">
      <c r="A34" s="142"/>
      <c r="B34" s="143"/>
      <c r="C34" s="144"/>
      <c r="D34" s="144"/>
      <c r="E34" s="151"/>
      <c r="F34" s="151"/>
      <c r="G34" s="131">
        <v>6</v>
      </c>
      <c r="H34" s="162"/>
      <c r="I34" s="141"/>
      <c r="J34" s="134"/>
      <c r="K34" s="132"/>
      <c r="L34" s="135"/>
    </row>
    <row r="35" spans="1:12">
      <c r="A35" s="142"/>
      <c r="B35" s="143"/>
      <c r="C35" s="144"/>
      <c r="D35" s="144"/>
      <c r="E35" s="153" t="s">
        <v>168</v>
      </c>
      <c r="F35" s="154"/>
      <c r="G35" s="154"/>
      <c r="H35" s="155"/>
      <c r="I35" s="175"/>
      <c r="J35" s="176"/>
      <c r="K35" s="177"/>
      <c r="L35" s="178">
        <v>12</v>
      </c>
    </row>
    <row r="36" spans="1:12">
      <c r="A36" s="160"/>
      <c r="B36" s="161"/>
      <c r="C36" s="149"/>
      <c r="D36" s="149"/>
      <c r="E36" s="131" t="s">
        <v>169</v>
      </c>
      <c r="F36" s="131" t="s">
        <v>53</v>
      </c>
      <c r="G36" s="131">
        <v>1</v>
      </c>
      <c r="H36" s="162"/>
      <c r="I36" s="141"/>
      <c r="J36" s="163"/>
      <c r="K36" s="131"/>
      <c r="L36" s="135"/>
    </row>
  </sheetData>
  <mergeCells count="31">
    <mergeCell ref="E7:H7"/>
    <mergeCell ref="E18:H18"/>
    <mergeCell ref="E27:H27"/>
    <mergeCell ref="E35:H35"/>
    <mergeCell ref="A2:A8"/>
    <mergeCell ref="A9:A19"/>
    <mergeCell ref="A20:A28"/>
    <mergeCell ref="A29:A36"/>
    <mergeCell ref="B2:B8"/>
    <mergeCell ref="B9:B19"/>
    <mergeCell ref="B20:B28"/>
    <mergeCell ref="B29:B36"/>
    <mergeCell ref="C2:C8"/>
    <mergeCell ref="C9:C19"/>
    <mergeCell ref="C20:C28"/>
    <mergeCell ref="C29:C36"/>
    <mergeCell ref="D2:D8"/>
    <mergeCell ref="D9:D19"/>
    <mergeCell ref="D20:D28"/>
    <mergeCell ref="D29:D36"/>
    <mergeCell ref="E2:E6"/>
    <mergeCell ref="E9:E17"/>
    <mergeCell ref="E20:E26"/>
    <mergeCell ref="E29:E34"/>
    <mergeCell ref="F2:F4"/>
    <mergeCell ref="F5:F6"/>
    <mergeCell ref="F9:F15"/>
    <mergeCell ref="F16:F17"/>
    <mergeCell ref="F20:F26"/>
    <mergeCell ref="F29:F31"/>
    <mergeCell ref="F33:F34"/>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8"/>
  <sheetViews>
    <sheetView workbookViewId="0">
      <pane ySplit="1" topLeftCell="A2" activePane="bottomLeft" state="frozen"/>
      <selection/>
      <selection pane="bottomLeft" activeCell="H3" sqref="H3"/>
    </sheetView>
  </sheetViews>
  <sheetFormatPr defaultColWidth="9.13888888888889" defaultRowHeight="13.8"/>
  <cols>
    <col min="1" max="1" width="22.4259259259259" style="47" customWidth="1"/>
    <col min="2" max="2" width="11.712962962963" style="47" customWidth="1"/>
    <col min="3" max="7" width="9.13888888888889" style="47"/>
    <col min="8" max="8" width="59.712962962963" style="47" customWidth="1"/>
    <col min="9" max="9" width="17.537037037037" style="47" customWidth="1"/>
    <col min="10" max="11" width="9.13888888888889" style="47"/>
    <col min="12" max="12" width="19.5740740740741" style="48" customWidth="1"/>
    <col min="13" max="26" width="9.13888888888889" style="47"/>
    <col min="27" max="16384" width="9.13888888888889" style="49"/>
  </cols>
  <sheetData>
    <row r="1" ht="52.2" spans="1:26">
      <c r="A1" s="50" t="s">
        <v>148</v>
      </c>
      <c r="B1" s="51" t="s">
        <v>6</v>
      </c>
      <c r="C1" s="50" t="s">
        <v>149</v>
      </c>
      <c r="D1" s="50" t="s">
        <v>150</v>
      </c>
      <c r="E1" s="51" t="s">
        <v>151</v>
      </c>
      <c r="F1" s="50" t="s">
        <v>152</v>
      </c>
      <c r="G1" s="50" t="s">
        <v>1</v>
      </c>
      <c r="H1" s="52" t="s">
        <v>153</v>
      </c>
      <c r="I1" s="50" t="s">
        <v>154</v>
      </c>
      <c r="J1" s="53" t="s">
        <v>155</v>
      </c>
      <c r="K1" s="50" t="s">
        <v>156</v>
      </c>
      <c r="L1" s="54" t="s">
        <v>157</v>
      </c>
      <c r="M1" s="55"/>
      <c r="N1" s="55"/>
      <c r="O1" s="55"/>
      <c r="P1" s="55"/>
      <c r="Q1" s="55"/>
      <c r="R1" s="55"/>
      <c r="S1" s="55"/>
      <c r="T1" s="55"/>
      <c r="U1" s="55"/>
      <c r="V1" s="55"/>
      <c r="W1" s="55"/>
      <c r="X1" s="55"/>
      <c r="Y1" s="55"/>
      <c r="Z1" s="55"/>
    </row>
    <row r="2" ht="90" spans="1:26">
      <c r="A2" s="50" t="s">
        <v>304</v>
      </c>
      <c r="B2" s="56" t="s">
        <v>118</v>
      </c>
      <c r="C2" s="57">
        <v>0.92</v>
      </c>
      <c r="D2" s="58"/>
      <c r="E2" s="59" t="s">
        <v>171</v>
      </c>
      <c r="F2" s="60" t="s">
        <v>53</v>
      </c>
      <c r="G2" s="58">
        <v>1</v>
      </c>
      <c r="H2" s="61" t="s">
        <v>305</v>
      </c>
      <c r="I2" s="14" t="s">
        <v>306</v>
      </c>
      <c r="J2" s="57">
        <v>1</v>
      </c>
      <c r="K2" s="59"/>
      <c r="L2" s="62">
        <v>5</v>
      </c>
    </row>
    <row r="3" ht="135" spans="1:26">
      <c r="A3" s="50"/>
      <c r="B3" s="56"/>
      <c r="C3" s="58"/>
      <c r="D3" s="58"/>
      <c r="E3" s="59"/>
      <c r="F3" s="63"/>
      <c r="G3" s="64">
        <v>2</v>
      </c>
      <c r="H3" s="65" t="s">
        <v>307</v>
      </c>
      <c r="I3" s="64" t="s">
        <v>308</v>
      </c>
      <c r="J3" s="66">
        <v>1</v>
      </c>
      <c r="K3" s="67"/>
      <c r="L3" s="62">
        <v>5</v>
      </c>
    </row>
    <row r="4" ht="105" spans="1:26">
      <c r="A4" s="50"/>
      <c r="B4" s="56"/>
      <c r="C4" s="58"/>
      <c r="D4" s="58"/>
      <c r="E4" s="59"/>
      <c r="F4" s="63"/>
      <c r="G4" s="64">
        <v>3</v>
      </c>
      <c r="H4" s="68" t="s">
        <v>309</v>
      </c>
      <c r="I4" s="64" t="s">
        <v>310</v>
      </c>
      <c r="J4" s="66">
        <v>1</v>
      </c>
      <c r="K4" s="67"/>
      <c r="L4" s="62">
        <v>4</v>
      </c>
    </row>
    <row r="5" ht="15" spans="1:26">
      <c r="A5" s="50"/>
      <c r="B5" s="56"/>
      <c r="C5" s="58"/>
      <c r="D5" s="58"/>
      <c r="E5" s="59"/>
      <c r="F5" s="63"/>
      <c r="G5" s="69">
        <v>4</v>
      </c>
      <c r="H5" s="70"/>
      <c r="I5" s="71"/>
      <c r="J5" s="72"/>
      <c r="K5" s="73"/>
      <c r="L5" s="74"/>
    </row>
    <row r="6" ht="20.25" customHeight="1" spans="1:26">
      <c r="A6" s="50"/>
      <c r="B6" s="56"/>
      <c r="C6" s="58"/>
      <c r="D6" s="58"/>
      <c r="E6" s="59"/>
      <c r="F6" s="75"/>
      <c r="G6" s="76">
        <v>5</v>
      </c>
      <c r="H6" s="77"/>
      <c r="I6" s="76"/>
      <c r="J6" s="78"/>
      <c r="K6" s="79"/>
      <c r="L6" s="80"/>
    </row>
    <row r="7" ht="15" spans="1:26">
      <c r="A7" s="50"/>
      <c r="B7" s="56"/>
      <c r="C7" s="58"/>
      <c r="D7" s="58"/>
      <c r="E7" s="59"/>
      <c r="F7" s="75"/>
      <c r="G7" s="76">
        <v>6</v>
      </c>
      <c r="H7" s="81"/>
      <c r="I7" s="76"/>
      <c r="J7" s="78"/>
      <c r="K7" s="79"/>
      <c r="L7" s="80"/>
    </row>
    <row r="8" ht="15" spans="1:26">
      <c r="A8" s="50"/>
      <c r="B8" s="56"/>
      <c r="C8" s="58"/>
      <c r="D8" s="58"/>
      <c r="E8" s="59"/>
      <c r="F8" s="75"/>
      <c r="G8" s="76">
        <v>7</v>
      </c>
      <c r="H8" s="77"/>
      <c r="I8" s="82"/>
      <c r="J8" s="78"/>
      <c r="K8" s="79"/>
      <c r="L8" s="80"/>
    </row>
    <row r="9" ht="15" spans="1:26">
      <c r="A9" s="50"/>
      <c r="B9" s="56"/>
      <c r="C9" s="58"/>
      <c r="D9" s="58"/>
      <c r="E9" s="59"/>
      <c r="F9" s="75"/>
      <c r="G9" s="76">
        <v>8</v>
      </c>
      <c r="H9" s="83"/>
      <c r="I9" s="83"/>
      <c r="J9" s="83"/>
      <c r="K9" s="83"/>
      <c r="L9" s="84"/>
    </row>
    <row r="10" ht="15" spans="1:26">
      <c r="A10" s="50"/>
      <c r="B10" s="56"/>
      <c r="C10" s="58"/>
      <c r="D10" s="58"/>
      <c r="E10" s="59"/>
      <c r="F10" s="75"/>
      <c r="G10" s="76">
        <v>9</v>
      </c>
      <c r="H10" s="85"/>
      <c r="I10" s="86"/>
      <c r="J10" s="87"/>
      <c r="K10" s="83"/>
      <c r="L10" s="88"/>
    </row>
    <row r="11" ht="15" spans="1:26">
      <c r="A11" s="50"/>
      <c r="B11" s="56"/>
      <c r="C11" s="58"/>
      <c r="D11" s="58"/>
      <c r="E11" s="59"/>
      <c r="F11" s="75"/>
      <c r="G11" s="76">
        <v>10</v>
      </c>
      <c r="H11" s="89"/>
      <c r="I11" s="90"/>
      <c r="J11" s="91"/>
      <c r="K11" s="92"/>
      <c r="L11" s="93"/>
    </row>
    <row r="12" ht="135" spans="1:26">
      <c r="A12" s="50"/>
      <c r="B12" s="56"/>
      <c r="C12" s="58"/>
      <c r="D12" s="58"/>
      <c r="E12" s="59"/>
      <c r="F12" s="63"/>
      <c r="G12" s="94">
        <v>11</v>
      </c>
      <c r="H12" s="77" t="s">
        <v>311</v>
      </c>
      <c r="I12" s="76" t="s">
        <v>118</v>
      </c>
      <c r="J12" s="78">
        <v>1</v>
      </c>
      <c r="K12" s="79"/>
      <c r="L12" s="80">
        <v>5</v>
      </c>
      <c r="N12" s="95" t="s">
        <v>312</v>
      </c>
    </row>
    <row r="13" ht="90" spans="1:26">
      <c r="A13" s="50"/>
      <c r="B13" s="56"/>
      <c r="C13" s="58"/>
      <c r="D13" s="58"/>
      <c r="E13" s="59"/>
      <c r="F13" s="96"/>
      <c r="G13" s="97">
        <v>12</v>
      </c>
      <c r="H13" s="98" t="s">
        <v>313</v>
      </c>
      <c r="I13" s="76" t="s">
        <v>122</v>
      </c>
      <c r="J13" s="78">
        <v>1</v>
      </c>
      <c r="K13" s="79"/>
      <c r="L13" s="80">
        <v>3</v>
      </c>
    </row>
    <row r="14" ht="15" spans="1:26">
      <c r="A14" s="50"/>
      <c r="B14" s="56"/>
      <c r="C14" s="58"/>
      <c r="D14" s="58"/>
      <c r="E14" s="38" t="s">
        <v>168</v>
      </c>
      <c r="F14" s="38"/>
      <c r="G14" s="38"/>
      <c r="H14" s="99"/>
      <c r="I14" s="99"/>
      <c r="J14" s="100"/>
      <c r="K14" s="101"/>
      <c r="L14" s="102">
        <f>SUM(L2:L13)</f>
        <v>22</v>
      </c>
    </row>
    <row r="15" ht="15.6" spans="1:26">
      <c r="A15" s="50"/>
      <c r="B15" s="56"/>
      <c r="C15" s="58"/>
      <c r="D15" s="58"/>
      <c r="E15" s="59" t="s">
        <v>169</v>
      </c>
      <c r="F15" s="59" t="s">
        <v>53</v>
      </c>
      <c r="G15" s="59">
        <v>1</v>
      </c>
      <c r="H15" s="103"/>
      <c r="I15" s="58"/>
      <c r="J15" s="104"/>
      <c r="K15" s="59"/>
      <c r="L15" s="62"/>
    </row>
    <row r="16" ht="15" spans="1:26">
      <c r="A16" s="50"/>
      <c r="B16" s="56"/>
      <c r="C16" s="58"/>
      <c r="D16" s="58"/>
      <c r="E16" s="59"/>
      <c r="F16" s="59"/>
      <c r="G16" s="59">
        <v>2</v>
      </c>
      <c r="H16" s="105"/>
      <c r="I16" s="59"/>
      <c r="J16" s="104"/>
      <c r="K16" s="59"/>
      <c r="L16" s="62"/>
    </row>
    <row r="17" ht="45" spans="1:12">
      <c r="A17" s="50" t="s">
        <v>314</v>
      </c>
      <c r="B17" s="56" t="s">
        <v>122</v>
      </c>
      <c r="C17" s="57">
        <v>0.96</v>
      </c>
      <c r="D17" s="58"/>
      <c r="E17" s="59" t="s">
        <v>171</v>
      </c>
      <c r="F17" s="58" t="s">
        <v>53</v>
      </c>
      <c r="G17" s="58">
        <v>1</v>
      </c>
      <c r="H17" s="105" t="s">
        <v>315</v>
      </c>
      <c r="I17" s="14" t="s">
        <v>316</v>
      </c>
      <c r="J17" s="57"/>
      <c r="K17" s="58"/>
      <c r="L17" s="62">
        <v>4</v>
      </c>
    </row>
    <row r="18" ht="15" spans="1:12">
      <c r="A18" s="50"/>
      <c r="B18" s="56"/>
      <c r="C18" s="58"/>
      <c r="D18" s="58"/>
      <c r="E18" s="59"/>
      <c r="F18" s="58"/>
      <c r="G18" s="58">
        <v>2</v>
      </c>
      <c r="H18" s="105"/>
      <c r="I18" s="14"/>
      <c r="J18" s="57"/>
      <c r="K18" s="58"/>
      <c r="L18" s="62"/>
    </row>
    <row r="19" ht="15" spans="1:12">
      <c r="A19" s="50"/>
      <c r="B19" s="56"/>
      <c r="C19" s="58"/>
      <c r="D19" s="58"/>
      <c r="E19" s="59"/>
      <c r="F19" s="58"/>
      <c r="G19" s="58">
        <v>3</v>
      </c>
      <c r="H19" s="105"/>
      <c r="I19" s="14"/>
      <c r="J19" s="57"/>
      <c r="K19" s="58"/>
      <c r="L19" s="62"/>
    </row>
    <row r="20" ht="15" spans="1:12">
      <c r="A20" s="50"/>
      <c r="B20" s="56"/>
      <c r="C20" s="58"/>
      <c r="D20" s="58"/>
      <c r="E20" s="59"/>
      <c r="F20" s="58"/>
      <c r="G20" s="58">
        <v>4</v>
      </c>
      <c r="H20" s="105"/>
      <c r="I20" s="14"/>
      <c r="J20" s="57"/>
      <c r="K20" s="58"/>
      <c r="L20" s="62"/>
    </row>
    <row r="21" ht="15" spans="1:12">
      <c r="A21" s="50"/>
      <c r="B21" s="56"/>
      <c r="C21" s="58"/>
      <c r="D21" s="58"/>
      <c r="E21" s="59"/>
      <c r="F21" s="58"/>
      <c r="G21" s="58">
        <v>5</v>
      </c>
      <c r="H21" s="105"/>
      <c r="I21" s="14"/>
      <c r="J21" s="57"/>
      <c r="K21" s="58"/>
      <c r="L21" s="62"/>
    </row>
    <row r="22" ht="15" spans="1:12">
      <c r="A22" s="50"/>
      <c r="B22" s="56"/>
      <c r="C22" s="58"/>
      <c r="D22" s="58"/>
      <c r="E22" s="59"/>
      <c r="F22" s="58"/>
      <c r="G22" s="58">
        <v>6</v>
      </c>
      <c r="H22" s="106"/>
      <c r="I22" s="58"/>
      <c r="J22" s="57"/>
      <c r="K22" s="58"/>
      <c r="L22" s="62"/>
    </row>
    <row r="23" ht="15" spans="1:12">
      <c r="A23" s="50"/>
      <c r="B23" s="56"/>
      <c r="C23" s="58"/>
      <c r="D23" s="58"/>
      <c r="E23" s="59"/>
      <c r="F23" s="58"/>
      <c r="G23" s="59">
        <v>7</v>
      </c>
      <c r="H23" s="105"/>
      <c r="I23" s="58"/>
      <c r="J23" s="57"/>
      <c r="K23" s="58"/>
      <c r="L23" s="62"/>
    </row>
    <row r="24" ht="15" spans="1:12">
      <c r="A24" s="50"/>
      <c r="B24" s="56"/>
      <c r="C24" s="58"/>
      <c r="D24" s="58"/>
      <c r="E24" s="59"/>
      <c r="F24" s="58"/>
      <c r="G24" s="58">
        <v>8</v>
      </c>
      <c r="H24" s="105"/>
      <c r="I24" s="58"/>
      <c r="J24" s="57"/>
      <c r="K24" s="58"/>
      <c r="L24" s="62"/>
    </row>
    <row r="25" ht="15" spans="1:12">
      <c r="A25" s="50"/>
      <c r="B25" s="56"/>
      <c r="C25" s="58"/>
      <c r="D25" s="58"/>
      <c r="E25" s="59"/>
      <c r="F25" s="58"/>
      <c r="G25" s="58">
        <v>9</v>
      </c>
      <c r="H25" s="105"/>
      <c r="I25" s="58"/>
      <c r="J25" s="57"/>
      <c r="K25" s="58"/>
      <c r="L25" s="62"/>
    </row>
    <row r="26" ht="15" spans="1:12">
      <c r="A26" s="50"/>
      <c r="B26" s="56"/>
      <c r="C26" s="58"/>
      <c r="D26" s="58"/>
      <c r="E26" s="38" t="s">
        <v>168</v>
      </c>
      <c r="F26" s="38"/>
      <c r="G26" s="38"/>
      <c r="H26" s="38"/>
      <c r="I26" s="38"/>
      <c r="J26" s="39"/>
      <c r="K26" s="40"/>
      <c r="L26" s="41">
        <f>SUM(L17:L25)</f>
        <v>4</v>
      </c>
    </row>
    <row r="27" ht="15.6" spans="1:12">
      <c r="A27" s="50"/>
      <c r="B27" s="56"/>
      <c r="C27" s="58"/>
      <c r="D27" s="58"/>
      <c r="E27" s="59" t="s">
        <v>169</v>
      </c>
      <c r="F27" s="59" t="s">
        <v>53</v>
      </c>
      <c r="G27" s="59">
        <v>1</v>
      </c>
      <c r="H27" s="103"/>
      <c r="I27" s="58"/>
      <c r="J27" s="104"/>
      <c r="K27" s="59"/>
      <c r="L27" s="107"/>
    </row>
    <row r="28" ht="15.6" spans="1:12">
      <c r="A28" s="50"/>
      <c r="B28" s="56"/>
      <c r="C28" s="58"/>
      <c r="D28" s="58"/>
      <c r="E28" s="59"/>
      <c r="F28" s="59"/>
      <c r="G28" s="59">
        <v>2</v>
      </c>
      <c r="H28" s="108"/>
      <c r="I28" s="109"/>
      <c r="J28" s="110"/>
      <c r="K28" s="109"/>
      <c r="L28" s="111"/>
    </row>
    <row r="29" ht="30" spans="1:12">
      <c r="A29" s="50" t="s">
        <v>317</v>
      </c>
      <c r="B29" s="56" t="s">
        <v>122</v>
      </c>
      <c r="C29" s="58" t="s">
        <v>318</v>
      </c>
      <c r="D29" s="58"/>
      <c r="E29" s="59" t="s">
        <v>171</v>
      </c>
      <c r="F29" s="60" t="s">
        <v>53</v>
      </c>
      <c r="G29" s="112">
        <v>1</v>
      </c>
      <c r="H29" s="105" t="s">
        <v>319</v>
      </c>
      <c r="I29" s="14" t="s">
        <v>320</v>
      </c>
      <c r="J29" s="57">
        <v>0.8</v>
      </c>
      <c r="K29" s="58"/>
      <c r="L29" s="62">
        <v>3</v>
      </c>
    </row>
    <row r="30" ht="60" spans="1:12">
      <c r="A30" s="50"/>
      <c r="B30" s="56"/>
      <c r="C30" s="58"/>
      <c r="D30" s="58"/>
      <c r="E30" s="59"/>
      <c r="F30" s="113"/>
      <c r="G30" s="112">
        <v>2</v>
      </c>
      <c r="H30" s="105" t="s">
        <v>321</v>
      </c>
      <c r="I30" s="14" t="s">
        <v>122</v>
      </c>
      <c r="J30" s="57">
        <v>1</v>
      </c>
      <c r="K30" s="58"/>
      <c r="L30" s="62">
        <v>2</v>
      </c>
    </row>
    <row r="31" ht="15" spans="1:12">
      <c r="A31" s="50"/>
      <c r="B31" s="56"/>
      <c r="C31" s="58"/>
      <c r="D31" s="58"/>
      <c r="E31" s="59"/>
      <c r="F31" s="113"/>
      <c r="G31" s="58">
        <v>3</v>
      </c>
      <c r="H31" s="105"/>
      <c r="I31" s="14"/>
      <c r="J31" s="57"/>
      <c r="K31" s="58"/>
      <c r="L31" s="62"/>
    </row>
    <row r="32" ht="15.6" spans="1:12">
      <c r="A32" s="50"/>
      <c r="B32" s="56"/>
      <c r="C32" s="58"/>
      <c r="D32" s="58"/>
      <c r="E32" s="59"/>
      <c r="F32" s="113"/>
      <c r="G32" s="58">
        <v>4</v>
      </c>
      <c r="H32" s="105"/>
      <c r="I32" s="14"/>
      <c r="J32" s="57"/>
      <c r="K32" s="58"/>
      <c r="L32" s="56"/>
    </row>
    <row r="33" ht="15.6" spans="1:12">
      <c r="A33" s="50"/>
      <c r="B33" s="56"/>
      <c r="C33" s="58"/>
      <c r="D33" s="58"/>
      <c r="E33" s="59"/>
      <c r="F33" s="113"/>
      <c r="G33" s="58">
        <v>5</v>
      </c>
      <c r="H33" s="105"/>
      <c r="I33" s="65"/>
      <c r="J33" s="57"/>
      <c r="K33" s="58"/>
      <c r="L33" s="56"/>
    </row>
    <row r="34" ht="15.6" spans="1:12">
      <c r="A34" s="50"/>
      <c r="B34" s="56"/>
      <c r="C34" s="58"/>
      <c r="D34" s="58"/>
      <c r="E34" s="59"/>
      <c r="F34" s="114"/>
      <c r="G34" s="58">
        <v>6</v>
      </c>
      <c r="H34" s="106"/>
      <c r="I34" s="58"/>
      <c r="J34" s="57"/>
      <c r="K34" s="58"/>
      <c r="L34" s="56"/>
    </row>
    <row r="35" ht="15.6" spans="1:12">
      <c r="A35" s="50"/>
      <c r="B35" s="56"/>
      <c r="C35" s="58"/>
      <c r="D35" s="58"/>
      <c r="E35" s="59"/>
      <c r="F35" s="60" t="s">
        <v>322</v>
      </c>
      <c r="G35" s="59">
        <v>1</v>
      </c>
      <c r="H35" s="105"/>
      <c r="I35" s="14"/>
      <c r="J35" s="57"/>
      <c r="K35" s="58"/>
      <c r="L35" s="56"/>
    </row>
    <row r="36" ht="15.6" spans="1:12">
      <c r="A36" s="50"/>
      <c r="B36" s="56"/>
      <c r="C36" s="58"/>
      <c r="D36" s="58"/>
      <c r="E36" s="59"/>
      <c r="F36" s="113"/>
      <c r="G36" s="58">
        <v>2</v>
      </c>
      <c r="H36" s="105"/>
      <c r="I36" s="58"/>
      <c r="J36" s="57"/>
      <c r="K36" s="58"/>
      <c r="L36" s="56"/>
    </row>
    <row r="37" ht="15.6" spans="1:12">
      <c r="A37" s="50"/>
      <c r="B37" s="56"/>
      <c r="C37" s="58"/>
      <c r="D37" s="58"/>
      <c r="E37" s="59"/>
      <c r="F37" s="114"/>
      <c r="G37" s="58">
        <v>3</v>
      </c>
      <c r="H37" s="105"/>
      <c r="I37" s="58"/>
      <c r="J37" s="57"/>
      <c r="K37" s="58"/>
      <c r="L37" s="56"/>
    </row>
    <row r="38" ht="15" spans="1:12">
      <c r="A38" s="50"/>
      <c r="B38" s="56"/>
      <c r="C38" s="58"/>
      <c r="D38" s="58"/>
      <c r="E38" s="38" t="s">
        <v>168</v>
      </c>
      <c r="F38" s="38"/>
      <c r="G38" s="38"/>
      <c r="H38" s="38"/>
      <c r="I38" s="38"/>
      <c r="J38" s="39"/>
      <c r="K38" s="40"/>
      <c r="L38" s="41">
        <f>SUM(L29:L37)</f>
        <v>5</v>
      </c>
    </row>
    <row r="39" ht="15.6" spans="1:12">
      <c r="A39" s="50"/>
      <c r="B39" s="56"/>
      <c r="C39" s="58"/>
      <c r="D39" s="58"/>
      <c r="E39" s="59" t="s">
        <v>169</v>
      </c>
      <c r="F39" s="59" t="s">
        <v>53</v>
      </c>
      <c r="G39" s="59">
        <v>1</v>
      </c>
      <c r="H39" s="103"/>
      <c r="I39" s="58"/>
      <c r="J39" s="104"/>
      <c r="K39" s="59"/>
      <c r="L39" s="62"/>
    </row>
    <row r="40" ht="15.6" spans="1:12">
      <c r="A40" s="50"/>
      <c r="B40" s="56"/>
      <c r="C40" s="58"/>
      <c r="D40" s="58"/>
      <c r="E40" s="59"/>
      <c r="F40" s="59"/>
      <c r="G40" s="59">
        <v>2</v>
      </c>
      <c r="H40" s="108"/>
      <c r="I40" s="109"/>
      <c r="J40" s="110"/>
      <c r="K40" s="109"/>
      <c r="L40" s="74"/>
    </row>
    <row r="41" ht="30" spans="1:12">
      <c r="A41" s="50" t="s">
        <v>323</v>
      </c>
      <c r="B41" s="56" t="s">
        <v>122</v>
      </c>
      <c r="C41" s="58" t="s">
        <v>318</v>
      </c>
      <c r="D41" s="58"/>
      <c r="E41" s="59" t="s">
        <v>171</v>
      </c>
      <c r="F41" s="60" t="s">
        <v>53</v>
      </c>
      <c r="G41" s="112">
        <v>1</v>
      </c>
      <c r="H41" s="105" t="s">
        <v>324</v>
      </c>
      <c r="I41" s="14" t="s">
        <v>320</v>
      </c>
      <c r="J41" s="57">
        <v>1</v>
      </c>
      <c r="K41" s="10"/>
      <c r="L41" s="62">
        <v>2</v>
      </c>
    </row>
    <row r="42" ht="15" spans="1:12">
      <c r="A42" s="50"/>
      <c r="B42" s="56"/>
      <c r="C42" s="58"/>
      <c r="D42" s="58"/>
      <c r="E42" s="59"/>
      <c r="F42" s="113"/>
      <c r="G42" s="112">
        <v>2</v>
      </c>
      <c r="H42" s="83"/>
      <c r="I42" s="83"/>
      <c r="J42" s="83"/>
      <c r="K42" s="83"/>
      <c r="L42" s="84"/>
    </row>
    <row r="43" ht="15" spans="1:12">
      <c r="A43" s="50"/>
      <c r="B43" s="56"/>
      <c r="C43" s="58"/>
      <c r="D43" s="58"/>
      <c r="E43" s="59"/>
      <c r="F43" s="113"/>
      <c r="G43" s="112">
        <v>3</v>
      </c>
      <c r="H43" s="83"/>
      <c r="I43" s="83"/>
      <c r="J43" s="83"/>
      <c r="K43" s="83"/>
      <c r="L43" s="84"/>
    </row>
    <row r="44" ht="15" spans="1:12">
      <c r="A44" s="50"/>
      <c r="B44" s="56"/>
      <c r="C44" s="58"/>
      <c r="D44" s="58"/>
      <c r="E44" s="59"/>
      <c r="F44" s="113"/>
      <c r="G44" s="58">
        <v>4</v>
      </c>
      <c r="H44" s="115"/>
      <c r="I44" s="116"/>
      <c r="J44" s="117"/>
      <c r="K44" s="96"/>
      <c r="L44" s="88"/>
    </row>
    <row r="45" ht="15" spans="1:12">
      <c r="A45" s="50"/>
      <c r="B45" s="56"/>
      <c r="C45" s="58"/>
      <c r="D45" s="58"/>
      <c r="E45" s="59"/>
      <c r="F45" s="113"/>
      <c r="G45" s="58">
        <v>5</v>
      </c>
      <c r="H45" s="105"/>
      <c r="I45" s="14"/>
      <c r="J45" s="57"/>
      <c r="K45" s="58"/>
      <c r="L45" s="62"/>
    </row>
    <row r="46" ht="15" spans="1:12">
      <c r="A46" s="50"/>
      <c r="B46" s="56"/>
      <c r="C46" s="58"/>
      <c r="D46" s="58"/>
      <c r="E46" s="59"/>
      <c r="F46" s="114"/>
      <c r="G46" s="58">
        <v>6</v>
      </c>
      <c r="H46" s="106"/>
      <c r="I46" s="58"/>
      <c r="J46" s="57"/>
      <c r="K46" s="58"/>
      <c r="L46" s="62"/>
    </row>
    <row r="47" ht="15" spans="1:12">
      <c r="A47" s="50"/>
      <c r="B47" s="56"/>
      <c r="C47" s="58"/>
      <c r="D47" s="58"/>
      <c r="E47" s="59"/>
      <c r="F47" s="60" t="s">
        <v>194</v>
      </c>
      <c r="G47" s="59">
        <v>1</v>
      </c>
      <c r="H47" s="105"/>
      <c r="I47" s="14"/>
      <c r="J47" s="57"/>
      <c r="K47" s="58"/>
      <c r="L47" s="62"/>
    </row>
    <row r="48" ht="15.6" spans="1:12">
      <c r="A48" s="50"/>
      <c r="B48" s="56"/>
      <c r="C48" s="58"/>
      <c r="D48" s="58"/>
      <c r="E48" s="59"/>
      <c r="F48" s="113"/>
      <c r="G48" s="58">
        <v>2</v>
      </c>
      <c r="H48" s="105"/>
      <c r="I48" s="58"/>
      <c r="J48" s="57"/>
      <c r="K48" s="58"/>
      <c r="L48" s="56"/>
    </row>
    <row r="49" ht="15.6" spans="1:12">
      <c r="A49" s="50"/>
      <c r="B49" s="56"/>
      <c r="C49" s="58"/>
      <c r="D49" s="58"/>
      <c r="E49" s="59"/>
      <c r="F49" s="114"/>
      <c r="G49" s="58">
        <v>3</v>
      </c>
      <c r="H49" s="105"/>
      <c r="I49" s="58"/>
      <c r="J49" s="57"/>
      <c r="K49" s="58"/>
      <c r="L49" s="56"/>
    </row>
    <row r="50" ht="15" spans="1:12">
      <c r="A50" s="50"/>
      <c r="B50" s="56"/>
      <c r="C50" s="58"/>
      <c r="D50" s="58"/>
      <c r="E50" s="38" t="s">
        <v>168</v>
      </c>
      <c r="F50" s="38"/>
      <c r="G50" s="38"/>
      <c r="H50" s="38"/>
      <c r="I50" s="38"/>
      <c r="J50" s="39"/>
      <c r="K50" s="40"/>
      <c r="L50" s="41">
        <f>SUM(L41:L49)</f>
        <v>2</v>
      </c>
    </row>
    <row r="51" ht="15.6" spans="1:12">
      <c r="A51" s="50"/>
      <c r="B51" s="56"/>
      <c r="C51" s="58"/>
      <c r="D51" s="58"/>
      <c r="E51" s="59" t="s">
        <v>169</v>
      </c>
      <c r="F51" s="59" t="s">
        <v>53</v>
      </c>
      <c r="G51" s="59">
        <v>1</v>
      </c>
      <c r="H51" s="103"/>
      <c r="I51" s="58"/>
      <c r="J51" s="104"/>
      <c r="K51" s="59"/>
      <c r="L51" s="107"/>
    </row>
    <row r="52" ht="15.6" spans="1:12">
      <c r="A52" s="50"/>
      <c r="B52" s="56"/>
      <c r="C52" s="58"/>
      <c r="D52" s="58"/>
      <c r="E52" s="59"/>
      <c r="F52" s="59"/>
      <c r="G52" s="59">
        <v>2</v>
      </c>
      <c r="H52" s="103"/>
      <c r="I52" s="59"/>
      <c r="J52" s="104"/>
      <c r="K52" s="59"/>
      <c r="L52" s="62"/>
    </row>
    <row r="53" ht="15" spans="1:12">
      <c r="A53" s="50" t="s">
        <v>325</v>
      </c>
      <c r="B53" s="56" t="s">
        <v>122</v>
      </c>
      <c r="C53" s="57">
        <v>0.96</v>
      </c>
      <c r="D53" s="58"/>
      <c r="E53" s="59" t="s">
        <v>171</v>
      </c>
      <c r="F53" s="60" t="s">
        <v>53</v>
      </c>
      <c r="G53" s="58">
        <v>1</v>
      </c>
      <c r="H53" s="105"/>
      <c r="I53" s="14"/>
      <c r="J53" s="57"/>
      <c r="K53" s="58"/>
      <c r="L53" s="62"/>
    </row>
    <row r="54" ht="15" spans="1:12">
      <c r="A54" s="50"/>
      <c r="B54" s="56"/>
      <c r="C54" s="58"/>
      <c r="D54" s="58"/>
      <c r="E54" s="59"/>
      <c r="F54" s="63"/>
      <c r="G54" s="58">
        <v>2</v>
      </c>
      <c r="H54" s="105"/>
      <c r="I54" s="14"/>
      <c r="J54" s="57"/>
      <c r="K54" s="58"/>
      <c r="L54" s="62"/>
    </row>
    <row r="55" ht="15" spans="1:12">
      <c r="A55" s="50"/>
      <c r="B55" s="56"/>
      <c r="C55" s="58"/>
      <c r="D55" s="58"/>
      <c r="E55" s="59"/>
      <c r="F55" s="63"/>
      <c r="G55" s="58">
        <v>3</v>
      </c>
      <c r="H55" s="118"/>
      <c r="I55" s="14"/>
      <c r="J55" s="57"/>
      <c r="K55" s="58"/>
      <c r="L55" s="62"/>
    </row>
    <row r="56" ht="15" spans="1:12">
      <c r="A56" s="50"/>
      <c r="B56" s="56"/>
      <c r="C56" s="58"/>
      <c r="D56" s="58"/>
      <c r="E56" s="59"/>
      <c r="F56" s="63"/>
      <c r="G56" s="58">
        <v>4</v>
      </c>
      <c r="H56" s="105"/>
      <c r="I56" s="14"/>
      <c r="J56" s="57"/>
      <c r="K56" s="58"/>
      <c r="L56" s="62"/>
    </row>
    <row r="57" ht="15" spans="1:12">
      <c r="A57" s="50"/>
      <c r="B57" s="56"/>
      <c r="C57" s="58"/>
      <c r="D57" s="58"/>
      <c r="E57" s="59"/>
      <c r="F57" s="63"/>
      <c r="G57" s="58">
        <v>5</v>
      </c>
      <c r="H57" s="105"/>
      <c r="I57" s="14"/>
      <c r="J57" s="57"/>
      <c r="K57" s="58"/>
      <c r="L57" s="62"/>
    </row>
    <row r="58" ht="15" spans="1:12">
      <c r="A58" s="50"/>
      <c r="B58" s="56"/>
      <c r="C58" s="58"/>
      <c r="D58" s="58"/>
      <c r="E58" s="59"/>
      <c r="F58" s="96"/>
      <c r="G58" s="58">
        <v>6</v>
      </c>
      <c r="H58" s="119"/>
      <c r="I58" s="14"/>
      <c r="J58" s="120"/>
      <c r="K58" s="58"/>
      <c r="L58" s="62"/>
    </row>
    <row r="59" ht="15" spans="1:12">
      <c r="A59" s="50"/>
      <c r="B59" s="56"/>
      <c r="C59" s="58"/>
      <c r="D59" s="58"/>
      <c r="E59" s="59"/>
      <c r="F59" s="60" t="s">
        <v>326</v>
      </c>
      <c r="G59" s="121">
        <v>1</v>
      </c>
      <c r="H59" s="122"/>
      <c r="I59" s="123"/>
      <c r="J59" s="124"/>
      <c r="K59" s="125"/>
      <c r="L59" s="62"/>
    </row>
    <row r="60" ht="15" spans="1:12">
      <c r="A60" s="50"/>
      <c r="B60" s="56"/>
      <c r="C60" s="58"/>
      <c r="D60" s="58"/>
      <c r="E60" s="59"/>
      <c r="F60" s="63"/>
      <c r="G60" s="112">
        <v>2</v>
      </c>
      <c r="H60" s="122"/>
      <c r="I60" s="126"/>
      <c r="J60" s="124"/>
      <c r="K60" s="125"/>
      <c r="L60" s="62"/>
    </row>
    <row r="61" ht="15" spans="1:12">
      <c r="A61" s="50"/>
      <c r="B61" s="56"/>
      <c r="C61" s="58"/>
      <c r="D61" s="58"/>
      <c r="E61" s="59"/>
      <c r="F61" s="96"/>
      <c r="G61" s="58">
        <v>3</v>
      </c>
      <c r="H61" s="115"/>
      <c r="I61" s="58"/>
      <c r="J61" s="117"/>
      <c r="K61" s="58"/>
      <c r="L61" s="62"/>
    </row>
    <row r="62" ht="15" spans="1:12">
      <c r="A62" s="50"/>
      <c r="B62" s="56"/>
      <c r="C62" s="58"/>
      <c r="D62" s="58"/>
      <c r="E62" s="38" t="s">
        <v>168</v>
      </c>
      <c r="F62" s="38"/>
      <c r="G62" s="38"/>
      <c r="H62" s="38"/>
      <c r="I62" s="38"/>
      <c r="J62" s="39"/>
      <c r="K62" s="40"/>
      <c r="L62" s="41">
        <f>SUM(L53:L61)</f>
        <v>0</v>
      </c>
    </row>
    <row r="63" ht="15.6" spans="1:12">
      <c r="A63" s="50"/>
      <c r="B63" s="56"/>
      <c r="C63" s="58"/>
      <c r="D63" s="58"/>
      <c r="E63" s="59" t="s">
        <v>169</v>
      </c>
      <c r="F63" s="59" t="s">
        <v>53</v>
      </c>
      <c r="G63" s="59">
        <v>1</v>
      </c>
      <c r="H63" s="103"/>
      <c r="I63" s="58"/>
      <c r="J63" s="104"/>
      <c r="K63" s="59"/>
      <c r="L63" s="107"/>
    </row>
    <row r="64" ht="15.6" spans="1:12">
      <c r="A64" s="50"/>
      <c r="B64" s="56"/>
      <c r="C64" s="58"/>
      <c r="D64" s="58"/>
      <c r="E64" s="59"/>
      <c r="F64" s="59"/>
      <c r="G64" s="59">
        <v>2</v>
      </c>
      <c r="H64" s="103"/>
      <c r="I64" s="59"/>
      <c r="J64" s="104"/>
      <c r="K64" s="59"/>
      <c r="L64" s="107"/>
    </row>
    <row r="65" ht="15" spans="1:12">
      <c r="A65" s="50" t="s">
        <v>327</v>
      </c>
      <c r="B65" s="56" t="s">
        <v>122</v>
      </c>
      <c r="C65" s="58" t="s">
        <v>318</v>
      </c>
      <c r="D65" s="58"/>
      <c r="E65" s="59" t="s">
        <v>171</v>
      </c>
      <c r="F65" s="58" t="s">
        <v>53</v>
      </c>
      <c r="G65" s="58">
        <v>1</v>
      </c>
      <c r="H65" s="105"/>
      <c r="I65" s="14"/>
      <c r="J65" s="57"/>
      <c r="K65" s="58"/>
      <c r="L65" s="62"/>
    </row>
    <row r="66" ht="15" spans="1:12">
      <c r="A66" s="50"/>
      <c r="B66" s="56"/>
      <c r="C66" s="58"/>
      <c r="D66" s="58"/>
      <c r="E66" s="59"/>
      <c r="F66" s="58"/>
      <c r="G66" s="58">
        <v>2</v>
      </c>
      <c r="H66" s="106"/>
      <c r="I66" s="14"/>
      <c r="J66" s="57"/>
      <c r="K66" s="58"/>
      <c r="L66" s="62"/>
    </row>
    <row r="67" ht="15" spans="1:12">
      <c r="A67" s="50"/>
      <c r="B67" s="56"/>
      <c r="C67" s="58"/>
      <c r="D67" s="58"/>
      <c r="E67" s="59"/>
      <c r="F67" s="58"/>
      <c r="G67" s="58">
        <v>3</v>
      </c>
      <c r="H67" s="105"/>
      <c r="I67" s="14"/>
      <c r="J67" s="57"/>
      <c r="K67" s="58"/>
      <c r="L67" s="62"/>
    </row>
    <row r="68" ht="15" spans="1:12">
      <c r="A68" s="50"/>
      <c r="B68" s="56"/>
      <c r="C68" s="58"/>
      <c r="D68" s="58"/>
      <c r="E68" s="59"/>
      <c r="F68" s="58"/>
      <c r="G68" s="58">
        <v>4</v>
      </c>
      <c r="H68" s="105"/>
      <c r="I68" s="14"/>
      <c r="J68" s="57"/>
      <c r="K68" s="58"/>
      <c r="L68" s="62"/>
    </row>
    <row r="69" ht="15" spans="1:12">
      <c r="A69" s="50"/>
      <c r="B69" s="56"/>
      <c r="C69" s="58"/>
      <c r="D69" s="58"/>
      <c r="E69" s="59"/>
      <c r="F69" s="58"/>
      <c r="G69" s="58">
        <v>5</v>
      </c>
      <c r="H69" s="105"/>
      <c r="I69" s="14"/>
      <c r="J69" s="57"/>
      <c r="K69" s="58"/>
      <c r="L69" s="62"/>
    </row>
    <row r="70" ht="15" spans="1:12">
      <c r="A70" s="50"/>
      <c r="B70" s="56"/>
      <c r="C70" s="58"/>
      <c r="D70" s="58"/>
      <c r="E70" s="59"/>
      <c r="F70" s="58"/>
      <c r="G70" s="58">
        <v>6</v>
      </c>
      <c r="H70" s="106"/>
      <c r="I70" s="58"/>
      <c r="J70" s="57"/>
      <c r="K70" s="58"/>
      <c r="L70" s="62"/>
    </row>
    <row r="71" ht="15" spans="1:12">
      <c r="A71" s="50"/>
      <c r="B71" s="56"/>
      <c r="C71" s="58"/>
      <c r="D71" s="58"/>
      <c r="E71" s="59"/>
      <c r="F71" s="58"/>
      <c r="G71" s="59">
        <v>7</v>
      </c>
      <c r="H71" s="105"/>
      <c r="I71" s="58"/>
      <c r="J71" s="57"/>
      <c r="K71" s="58"/>
      <c r="L71" s="62"/>
    </row>
    <row r="72" ht="15" spans="1:12">
      <c r="A72" s="50"/>
      <c r="B72" s="56"/>
      <c r="C72" s="58"/>
      <c r="D72" s="58"/>
      <c r="E72" s="59"/>
      <c r="F72" s="58"/>
      <c r="G72" s="58">
        <v>8</v>
      </c>
      <c r="H72" s="105"/>
      <c r="I72" s="58"/>
      <c r="J72" s="57"/>
      <c r="K72" s="58"/>
      <c r="L72" s="62"/>
    </row>
    <row r="73" ht="15" spans="1:12">
      <c r="A73" s="50"/>
      <c r="B73" s="56"/>
      <c r="C73" s="58"/>
      <c r="D73" s="58"/>
      <c r="E73" s="59"/>
      <c r="F73" s="58"/>
      <c r="G73" s="58">
        <v>9</v>
      </c>
      <c r="H73" s="105"/>
      <c r="I73" s="58"/>
      <c r="J73" s="57"/>
      <c r="K73" s="58"/>
      <c r="L73" s="62"/>
    </row>
    <row r="74" ht="15" spans="1:12">
      <c r="A74" s="50"/>
      <c r="B74" s="56"/>
      <c r="C74" s="58"/>
      <c r="D74" s="58"/>
      <c r="E74" s="38" t="s">
        <v>168</v>
      </c>
      <c r="F74" s="38"/>
      <c r="G74" s="38"/>
      <c r="H74" s="38"/>
      <c r="I74" s="38"/>
      <c r="J74" s="39"/>
      <c r="K74" s="40"/>
      <c r="L74" s="41">
        <f>SUM(L65:L73)</f>
        <v>0</v>
      </c>
    </row>
    <row r="75" ht="15.6" spans="1:12">
      <c r="A75" s="50"/>
      <c r="B75" s="56"/>
      <c r="C75" s="58"/>
      <c r="D75" s="58"/>
      <c r="E75" s="59" t="s">
        <v>169</v>
      </c>
      <c r="F75" s="59" t="s">
        <v>53</v>
      </c>
      <c r="G75" s="59">
        <v>1</v>
      </c>
      <c r="H75" s="103"/>
      <c r="I75" s="58"/>
      <c r="J75" s="104"/>
      <c r="K75" s="59"/>
      <c r="L75" s="62"/>
    </row>
    <row r="76" ht="15.6" spans="1:12">
      <c r="A76" s="50"/>
      <c r="B76" s="56"/>
      <c r="C76" s="58"/>
      <c r="D76" s="58"/>
      <c r="E76" s="59"/>
      <c r="F76" s="59"/>
      <c r="G76" s="59">
        <v>2</v>
      </c>
      <c r="H76" s="103"/>
      <c r="I76" s="59"/>
      <c r="J76" s="104"/>
      <c r="K76" s="59"/>
      <c r="L76" s="62"/>
    </row>
    <row r="77" ht="15" spans="1:12">
      <c r="A77" s="50" t="s">
        <v>328</v>
      </c>
      <c r="B77" s="56" t="s">
        <v>308</v>
      </c>
      <c r="C77" s="58" t="s">
        <v>318</v>
      </c>
      <c r="D77" s="58"/>
      <c r="E77" s="59" t="s">
        <v>171</v>
      </c>
      <c r="F77" s="58" t="s">
        <v>53</v>
      </c>
      <c r="G77" s="58">
        <v>1</v>
      </c>
      <c r="H77" s="127"/>
      <c r="I77" s="14"/>
      <c r="J77" s="57"/>
      <c r="K77" s="58"/>
      <c r="L77" s="62"/>
    </row>
    <row r="78" ht="15" spans="1:12">
      <c r="A78" s="50"/>
      <c r="B78" s="56"/>
      <c r="C78" s="58"/>
      <c r="D78" s="58"/>
      <c r="E78" s="59"/>
      <c r="F78" s="58"/>
      <c r="G78" s="58">
        <v>2</v>
      </c>
      <c r="H78" s="106"/>
      <c r="I78" s="14"/>
      <c r="J78" s="57"/>
      <c r="K78" s="58"/>
      <c r="L78" s="62"/>
    </row>
    <row r="79" ht="15" spans="1:12">
      <c r="A79" s="50"/>
      <c r="B79" s="56"/>
      <c r="C79" s="58"/>
      <c r="D79" s="58"/>
      <c r="E79" s="59"/>
      <c r="F79" s="58"/>
      <c r="G79" s="58">
        <v>3</v>
      </c>
      <c r="H79" s="105"/>
      <c r="I79" s="14"/>
      <c r="J79" s="57"/>
      <c r="K79" s="58"/>
      <c r="L79" s="62"/>
    </row>
    <row r="80" ht="15" spans="1:12">
      <c r="A80" s="50"/>
      <c r="B80" s="56"/>
      <c r="C80" s="58"/>
      <c r="D80" s="58"/>
      <c r="E80" s="59"/>
      <c r="F80" s="58"/>
      <c r="G80" s="58">
        <v>4</v>
      </c>
      <c r="H80" s="105"/>
      <c r="I80" s="14"/>
      <c r="J80" s="57"/>
      <c r="K80" s="58"/>
      <c r="L80" s="62"/>
    </row>
    <row r="81" ht="15" spans="1:12">
      <c r="A81" s="50"/>
      <c r="B81" s="56"/>
      <c r="C81" s="58"/>
      <c r="D81" s="58"/>
      <c r="E81" s="59"/>
      <c r="F81" s="58"/>
      <c r="G81" s="58">
        <v>5</v>
      </c>
      <c r="H81" s="105"/>
      <c r="I81" s="14"/>
      <c r="J81" s="57"/>
      <c r="K81" s="58"/>
      <c r="L81" s="62"/>
    </row>
    <row r="82" ht="15" spans="1:12">
      <c r="A82" s="50"/>
      <c r="B82" s="56"/>
      <c r="C82" s="58"/>
      <c r="D82" s="58"/>
      <c r="E82" s="59"/>
      <c r="F82" s="58"/>
      <c r="G82" s="58">
        <v>6</v>
      </c>
      <c r="H82" s="106"/>
      <c r="I82" s="58"/>
      <c r="J82" s="57"/>
      <c r="K82" s="58"/>
      <c r="L82" s="62"/>
    </row>
    <row r="83" ht="15" spans="1:12">
      <c r="A83" s="50"/>
      <c r="B83" s="56"/>
      <c r="C83" s="58"/>
      <c r="D83" s="58"/>
      <c r="E83" s="59"/>
      <c r="F83" s="58"/>
      <c r="G83" s="59">
        <v>7</v>
      </c>
      <c r="H83" s="105"/>
      <c r="I83" s="58"/>
      <c r="J83" s="57"/>
      <c r="K83" s="58"/>
      <c r="L83" s="62"/>
    </row>
    <row r="84" ht="15" spans="1:12">
      <c r="A84" s="50"/>
      <c r="B84" s="56"/>
      <c r="C84" s="58"/>
      <c r="D84" s="58"/>
      <c r="E84" s="59"/>
      <c r="F84" s="58"/>
      <c r="G84" s="58">
        <v>8</v>
      </c>
      <c r="H84" s="105"/>
      <c r="I84" s="58"/>
      <c r="J84" s="57"/>
      <c r="K84" s="58"/>
      <c r="L84" s="62"/>
    </row>
    <row r="85" ht="15" spans="1:12">
      <c r="A85" s="50"/>
      <c r="B85" s="56"/>
      <c r="C85" s="58"/>
      <c r="D85" s="58"/>
      <c r="E85" s="59"/>
      <c r="F85" s="58"/>
      <c r="G85" s="58">
        <v>9</v>
      </c>
      <c r="H85" s="105"/>
      <c r="I85" s="58"/>
      <c r="J85" s="57"/>
      <c r="K85" s="58"/>
      <c r="L85" s="62"/>
    </row>
    <row r="86" ht="15" spans="1:12">
      <c r="A86" s="50"/>
      <c r="B86" s="56"/>
      <c r="C86" s="58"/>
      <c r="D86" s="58"/>
      <c r="E86" s="38" t="s">
        <v>168</v>
      </c>
      <c r="F86" s="38"/>
      <c r="G86" s="38"/>
      <c r="H86" s="38"/>
      <c r="I86" s="38"/>
      <c r="J86" s="39"/>
      <c r="K86" s="40"/>
      <c r="L86" s="41">
        <f>SUM(L77:L85)</f>
        <v>0</v>
      </c>
    </row>
    <row r="87" ht="15.6" spans="1:12">
      <c r="A87" s="50"/>
      <c r="B87" s="56"/>
      <c r="C87" s="58"/>
      <c r="D87" s="58"/>
      <c r="E87" s="59" t="s">
        <v>169</v>
      </c>
      <c r="F87" s="59" t="s">
        <v>53</v>
      </c>
      <c r="G87" s="59">
        <v>1</v>
      </c>
      <c r="H87" s="103"/>
      <c r="I87" s="58"/>
      <c r="J87" s="104"/>
      <c r="K87" s="59"/>
      <c r="L87" s="107"/>
    </row>
    <row r="88" ht="15.6" spans="1:12">
      <c r="A88" s="50"/>
      <c r="B88" s="56"/>
      <c r="C88" s="58"/>
      <c r="D88" s="58"/>
      <c r="E88" s="59"/>
      <c r="F88" s="59"/>
      <c r="G88" s="59">
        <v>2</v>
      </c>
      <c r="H88" s="103"/>
      <c r="I88" s="59"/>
      <c r="J88" s="104"/>
      <c r="K88" s="59"/>
      <c r="L88" s="107"/>
    </row>
  </sheetData>
  <autoFilter xmlns:etc="http://www.wps.cn/officeDocument/2017/etCustomData" ref="I1:I56" etc:filterBottomFollowUsedRange="0">
    <extLst/>
  </autoFilter>
  <mergeCells count="66">
    <mergeCell ref="E14:H14"/>
    <mergeCell ref="E26:H26"/>
    <mergeCell ref="E38:H38"/>
    <mergeCell ref="E50:H50"/>
    <mergeCell ref="E62:H62"/>
    <mergeCell ref="E74:H74"/>
    <mergeCell ref="E86:H86"/>
    <mergeCell ref="A2:A16"/>
    <mergeCell ref="A17:A28"/>
    <mergeCell ref="A29:A40"/>
    <mergeCell ref="A41:A52"/>
    <mergeCell ref="A53:A64"/>
    <mergeCell ref="A65:A76"/>
    <mergeCell ref="A77:A88"/>
    <mergeCell ref="B2:B16"/>
    <mergeCell ref="B17:B28"/>
    <mergeCell ref="B29:B40"/>
    <mergeCell ref="B41:B52"/>
    <mergeCell ref="B53:B64"/>
    <mergeCell ref="B65:B76"/>
    <mergeCell ref="B77:B88"/>
    <mergeCell ref="C2:C16"/>
    <mergeCell ref="C17:C28"/>
    <mergeCell ref="C29:C40"/>
    <mergeCell ref="C41:C52"/>
    <mergeCell ref="C53:C64"/>
    <mergeCell ref="C65:C76"/>
    <mergeCell ref="C77:C88"/>
    <mergeCell ref="D2:D16"/>
    <mergeCell ref="D17:D28"/>
    <mergeCell ref="D29:D40"/>
    <mergeCell ref="D41:D52"/>
    <mergeCell ref="D53:D64"/>
    <mergeCell ref="D65:D76"/>
    <mergeCell ref="D77:D88"/>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2"/>
  <sheetViews>
    <sheetView workbookViewId="0">
      <pane ySplit="1" topLeftCell="A25" activePane="bottomLeft" state="frozen"/>
      <selection/>
      <selection pane="bottomLeft" activeCell="H4" sqref="H4:H6"/>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148</v>
      </c>
      <c r="B1" s="4" t="s">
        <v>6</v>
      </c>
      <c r="C1" s="3" t="s">
        <v>149</v>
      </c>
      <c r="D1" s="3" t="s">
        <v>150</v>
      </c>
      <c r="E1" s="4" t="s">
        <v>151</v>
      </c>
      <c r="F1" s="3" t="s">
        <v>152</v>
      </c>
      <c r="G1" s="3" t="s">
        <v>1</v>
      </c>
      <c r="H1" s="5" t="s">
        <v>153</v>
      </c>
      <c r="I1" s="3" t="s">
        <v>154</v>
      </c>
      <c r="J1" s="6" t="s">
        <v>155</v>
      </c>
      <c r="K1" s="3" t="s">
        <v>156</v>
      </c>
      <c r="L1" s="7" t="s">
        <v>157</v>
      </c>
      <c r="M1" s="8"/>
      <c r="N1" s="8"/>
      <c r="O1" s="8"/>
      <c r="P1" s="8"/>
      <c r="Q1" s="8"/>
      <c r="R1" s="8"/>
      <c r="S1" s="8"/>
      <c r="T1" s="8"/>
      <c r="U1" s="8"/>
      <c r="V1" s="8"/>
      <c r="W1" s="8"/>
      <c r="X1" s="8"/>
      <c r="Y1" s="8"/>
      <c r="Z1" s="8"/>
    </row>
    <row r="2" ht="15.6" spans="1:26">
      <c r="A2" s="3" t="s">
        <v>329</v>
      </c>
      <c r="B2" s="9" t="s">
        <v>59</v>
      </c>
      <c r="C2" s="461" t="s">
        <v>318</v>
      </c>
      <c r="D2" s="10"/>
      <c r="E2" s="11" t="s">
        <v>171</v>
      </c>
      <c r="F2" s="12" t="s">
        <v>53</v>
      </c>
      <c r="G2" s="10">
        <v>1</v>
      </c>
      <c r="H2" s="13" t="s">
        <v>330</v>
      </c>
      <c r="I2" s="14" t="s">
        <v>331</v>
      </c>
      <c r="J2" s="15">
        <v>1</v>
      </c>
      <c r="K2" s="10"/>
      <c r="L2" s="9"/>
    </row>
    <row r="3" ht="15.6" spans="1:26">
      <c r="A3" s="3"/>
      <c r="B3" s="9"/>
      <c r="C3" s="10"/>
      <c r="D3" s="10"/>
      <c r="E3" s="11"/>
      <c r="F3" s="16"/>
      <c r="G3" s="10">
        <v>2</v>
      </c>
      <c r="H3" s="17" t="s">
        <v>332</v>
      </c>
      <c r="I3" s="14" t="s">
        <v>333</v>
      </c>
      <c r="J3" s="15">
        <v>1</v>
      </c>
      <c r="K3" s="10" t="s">
        <v>334</v>
      </c>
      <c r="L3" s="9"/>
    </row>
    <row r="4" ht="24" customHeight="1" spans="1:26">
      <c r="A4" s="3"/>
      <c r="B4" s="9"/>
      <c r="C4" s="10"/>
      <c r="D4" s="10"/>
      <c r="E4" s="11"/>
      <c r="F4" s="16"/>
      <c r="G4" s="10">
        <v>3</v>
      </c>
      <c r="H4" s="13" t="s">
        <v>335</v>
      </c>
      <c r="I4" s="14" t="s">
        <v>336</v>
      </c>
      <c r="J4" s="18">
        <v>0.98</v>
      </c>
      <c r="K4" s="12" t="s">
        <v>337</v>
      </c>
      <c r="L4" s="9"/>
    </row>
    <row r="5" ht="22" customHeight="1" spans="1:26">
      <c r="A5" s="3"/>
      <c r="B5" s="9"/>
      <c r="C5" s="10"/>
      <c r="D5" s="10"/>
      <c r="E5" s="11"/>
      <c r="F5" s="16"/>
      <c r="G5" s="10"/>
      <c r="H5" s="13"/>
      <c r="I5" s="14" t="s">
        <v>338</v>
      </c>
      <c r="J5" s="19"/>
      <c r="K5" s="16"/>
      <c r="L5" s="9"/>
    </row>
    <row r="6" ht="22" customHeight="1" spans="1:26">
      <c r="A6" s="3"/>
      <c r="B6" s="9"/>
      <c r="C6" s="10"/>
      <c r="D6" s="10"/>
      <c r="E6" s="11"/>
      <c r="F6" s="16"/>
      <c r="G6" s="10"/>
      <c r="H6" s="13"/>
      <c r="I6" s="14" t="s">
        <v>333</v>
      </c>
      <c r="J6" s="20"/>
      <c r="K6" s="21"/>
      <c r="L6" s="9"/>
    </row>
    <row r="7" ht="22" customHeight="1" spans="1:26">
      <c r="A7" s="3"/>
      <c r="B7" s="9"/>
      <c r="C7" s="10"/>
      <c r="D7" s="10"/>
      <c r="E7" s="11"/>
      <c r="F7" s="16"/>
      <c r="G7" s="22">
        <v>4</v>
      </c>
      <c r="H7" s="23" t="s">
        <v>339</v>
      </c>
      <c r="I7" s="22" t="s">
        <v>338</v>
      </c>
      <c r="J7" s="24">
        <v>1</v>
      </c>
      <c r="K7" s="10"/>
      <c r="L7" s="9"/>
    </row>
    <row r="8" ht="22" customHeight="1" spans="1:26">
      <c r="A8" s="3"/>
      <c r="B8" s="9"/>
      <c r="C8" s="10"/>
      <c r="D8" s="10"/>
      <c r="E8" s="11"/>
      <c r="F8" s="16"/>
      <c r="G8" s="10">
        <v>5</v>
      </c>
      <c r="H8" s="10" t="s">
        <v>340</v>
      </c>
      <c r="I8" s="14" t="s">
        <v>338</v>
      </c>
      <c r="J8" s="18">
        <v>1</v>
      </c>
      <c r="K8" s="12"/>
      <c r="L8" s="9"/>
    </row>
    <row r="9" ht="15.6" spans="1:26">
      <c r="A9" s="3"/>
      <c r="B9" s="9"/>
      <c r="C9" s="10"/>
      <c r="D9" s="10"/>
      <c r="E9" s="11"/>
      <c r="F9" s="16"/>
      <c r="G9" s="10"/>
      <c r="H9" s="13"/>
      <c r="I9" s="14" t="s">
        <v>336</v>
      </c>
      <c r="J9" s="20"/>
      <c r="K9" s="21"/>
      <c r="L9" s="9"/>
    </row>
    <row r="10" ht="21" customHeight="1" spans="1:26">
      <c r="A10" s="3"/>
      <c r="B10" s="9"/>
      <c r="C10" s="10"/>
      <c r="D10" s="10"/>
      <c r="E10" s="11"/>
      <c r="F10" s="16"/>
      <c r="G10" s="22">
        <v>6</v>
      </c>
      <c r="H10" s="25" t="s">
        <v>341</v>
      </c>
      <c r="I10" s="22" t="s">
        <v>331</v>
      </c>
      <c r="J10" s="24">
        <v>1</v>
      </c>
      <c r="K10" s="10"/>
      <c r="L10" s="9"/>
    </row>
    <row r="11" ht="30" spans="1:26">
      <c r="A11" s="3"/>
      <c r="B11" s="9"/>
      <c r="C11" s="10"/>
      <c r="D11" s="10"/>
      <c r="E11" s="11"/>
      <c r="F11" s="16"/>
      <c r="G11" s="26">
        <v>7</v>
      </c>
      <c r="H11" s="23" t="s">
        <v>342</v>
      </c>
      <c r="I11" s="22" t="s">
        <v>336</v>
      </c>
      <c r="J11" s="24">
        <v>1</v>
      </c>
      <c r="K11" s="10" t="s">
        <v>343</v>
      </c>
      <c r="L11" s="9"/>
    </row>
    <row r="12" ht="33" customHeight="1" spans="1:26">
      <c r="A12" s="3"/>
      <c r="B12" s="9"/>
      <c r="C12" s="10"/>
      <c r="D12" s="10"/>
      <c r="E12" s="11"/>
      <c r="F12" s="16"/>
      <c r="G12" s="22">
        <v>8</v>
      </c>
      <c r="H12" s="23" t="s">
        <v>344</v>
      </c>
      <c r="I12" s="22" t="s">
        <v>333</v>
      </c>
      <c r="J12" s="24">
        <v>1</v>
      </c>
      <c r="K12" s="10" t="s">
        <v>334</v>
      </c>
      <c r="L12" s="9"/>
    </row>
    <row r="13" ht="25" customHeight="1" spans="1:26">
      <c r="A13" s="3"/>
      <c r="B13" s="9"/>
      <c r="C13" s="10"/>
      <c r="D13" s="10"/>
      <c r="E13" s="11"/>
      <c r="F13" s="16"/>
      <c r="G13" s="10">
        <v>9</v>
      </c>
      <c r="H13" s="13" t="s">
        <v>345</v>
      </c>
      <c r="I13" s="10" t="s">
        <v>336</v>
      </c>
      <c r="J13" s="18">
        <v>0.8</v>
      </c>
      <c r="K13" s="12" t="s">
        <v>346</v>
      </c>
      <c r="L13" s="9"/>
    </row>
    <row r="14" ht="23" customHeight="1" spans="1:26">
      <c r="A14" s="3"/>
      <c r="B14" s="9"/>
      <c r="C14" s="10"/>
      <c r="D14" s="10"/>
      <c r="E14" s="11"/>
      <c r="F14" s="16"/>
      <c r="G14" s="10"/>
      <c r="H14" s="13"/>
      <c r="I14" s="10" t="s">
        <v>347</v>
      </c>
      <c r="J14" s="20"/>
      <c r="K14" s="21"/>
      <c r="L14" s="9"/>
    </row>
    <row r="15" ht="23" customHeight="1" spans="1:26">
      <c r="A15" s="3"/>
      <c r="B15" s="9"/>
      <c r="C15" s="10"/>
      <c r="D15" s="10"/>
      <c r="E15" s="11"/>
      <c r="F15" s="16"/>
      <c r="G15" s="10">
        <v>10</v>
      </c>
      <c r="H15" s="13" t="s">
        <v>348</v>
      </c>
      <c r="I15" s="10" t="s">
        <v>331</v>
      </c>
      <c r="J15" s="19">
        <v>0.9</v>
      </c>
      <c r="K15" s="16" t="s">
        <v>349</v>
      </c>
      <c r="L15" s="9"/>
    </row>
    <row r="16" ht="23" customHeight="1" spans="1:26">
      <c r="A16" s="3"/>
      <c r="B16" s="9"/>
      <c r="C16" s="10"/>
      <c r="D16" s="10"/>
      <c r="E16" s="11"/>
      <c r="F16" s="16"/>
      <c r="G16" s="10"/>
      <c r="H16" s="13"/>
      <c r="I16" s="10" t="s">
        <v>350</v>
      </c>
      <c r="J16" s="19"/>
      <c r="K16" s="16"/>
      <c r="L16" s="9"/>
    </row>
    <row r="17" ht="23" customHeight="1" spans="1:12">
      <c r="A17" s="3"/>
      <c r="B17" s="9"/>
      <c r="C17" s="10"/>
      <c r="D17" s="10"/>
      <c r="E17" s="11"/>
      <c r="F17" s="16"/>
      <c r="G17" s="10"/>
      <c r="H17" s="13"/>
      <c r="I17" s="10" t="s">
        <v>252</v>
      </c>
      <c r="J17" s="20"/>
      <c r="K17" s="21"/>
      <c r="L17" s="9"/>
    </row>
    <row r="18" ht="23" customHeight="1" spans="1:12">
      <c r="A18" s="3"/>
      <c r="B18" s="9"/>
      <c r="C18" s="10"/>
      <c r="D18" s="10"/>
      <c r="E18" s="11"/>
      <c r="F18" s="16"/>
      <c r="G18" s="10">
        <v>11</v>
      </c>
      <c r="H18" s="13" t="s">
        <v>351</v>
      </c>
      <c r="I18" s="10" t="s">
        <v>350</v>
      </c>
      <c r="J18" s="19">
        <v>0.8</v>
      </c>
      <c r="K18" s="21" t="s">
        <v>352</v>
      </c>
      <c r="L18" s="9">
        <v>2</v>
      </c>
    </row>
    <row r="19" ht="23" customHeight="1" spans="1:12">
      <c r="A19" s="3"/>
      <c r="B19" s="9"/>
      <c r="C19" s="10"/>
      <c r="D19" s="10"/>
      <c r="E19" s="11"/>
      <c r="F19" s="16"/>
      <c r="G19" s="10"/>
      <c r="H19" s="13"/>
      <c r="I19" s="10" t="s">
        <v>331</v>
      </c>
      <c r="J19" s="20"/>
      <c r="K19" s="21" t="s">
        <v>352</v>
      </c>
      <c r="L19" s="9">
        <v>1</v>
      </c>
    </row>
    <row r="20" ht="23" customHeight="1" spans="1:12">
      <c r="A20" s="3"/>
      <c r="B20" s="9"/>
      <c r="C20" s="10"/>
      <c r="D20" s="10"/>
      <c r="E20" s="11"/>
      <c r="F20" s="16"/>
      <c r="G20" s="27">
        <v>12</v>
      </c>
      <c r="H20" s="28" t="s">
        <v>353</v>
      </c>
      <c r="I20" s="27" t="s">
        <v>331</v>
      </c>
      <c r="J20" s="29">
        <v>0.75</v>
      </c>
      <c r="K20" s="30" t="s">
        <v>354</v>
      </c>
      <c r="L20" s="9">
        <v>3</v>
      </c>
    </row>
    <row r="21" ht="23" customHeight="1" spans="1:12">
      <c r="A21" s="3"/>
      <c r="B21" s="9"/>
      <c r="C21" s="10"/>
      <c r="D21" s="10"/>
      <c r="E21" s="11"/>
      <c r="F21" s="16"/>
      <c r="G21" s="27"/>
      <c r="H21" s="31"/>
      <c r="I21" s="27" t="s">
        <v>338</v>
      </c>
      <c r="J21" s="29"/>
      <c r="K21" s="30"/>
      <c r="L21" s="9">
        <v>5</v>
      </c>
    </row>
    <row r="22" ht="23" customHeight="1" spans="1:12">
      <c r="A22" s="3"/>
      <c r="B22" s="9"/>
      <c r="C22" s="10"/>
      <c r="D22" s="10"/>
      <c r="E22" s="11"/>
      <c r="F22" s="16"/>
      <c r="G22" s="27"/>
      <c r="H22" s="31"/>
      <c r="I22" s="27" t="s">
        <v>333</v>
      </c>
      <c r="J22" s="29"/>
      <c r="K22" s="30"/>
      <c r="L22" s="9">
        <v>5</v>
      </c>
    </row>
    <row r="23" ht="23" customHeight="1" spans="1:12">
      <c r="A23" s="3"/>
      <c r="B23" s="9"/>
      <c r="C23" s="10"/>
      <c r="D23" s="10"/>
      <c r="E23" s="11"/>
      <c r="F23" s="16"/>
      <c r="G23" s="27"/>
      <c r="H23" s="31"/>
      <c r="I23" s="27" t="s">
        <v>336</v>
      </c>
      <c r="J23" s="29"/>
      <c r="K23" s="30"/>
      <c r="L23" s="9">
        <v>5</v>
      </c>
    </row>
    <row r="24" ht="23" customHeight="1" spans="1:12">
      <c r="A24" s="3"/>
      <c r="B24" s="9"/>
      <c r="C24" s="10"/>
      <c r="D24" s="10"/>
      <c r="E24" s="11"/>
      <c r="F24" s="16"/>
      <c r="G24" s="27"/>
      <c r="H24" s="31"/>
      <c r="I24" s="27" t="s">
        <v>350</v>
      </c>
      <c r="J24" s="29"/>
      <c r="K24" s="30"/>
      <c r="L24" s="9">
        <v>1</v>
      </c>
    </row>
    <row r="25" ht="23" customHeight="1" spans="1:12">
      <c r="A25" s="3"/>
      <c r="B25" s="9"/>
      <c r="C25" s="10"/>
      <c r="D25" s="10"/>
      <c r="E25" s="11"/>
      <c r="F25" s="21"/>
      <c r="G25" s="27"/>
      <c r="H25" s="31"/>
      <c r="I25" s="10" t="s">
        <v>59</v>
      </c>
      <c r="J25" s="29"/>
      <c r="K25" s="32"/>
      <c r="L25" s="9">
        <v>0.5</v>
      </c>
    </row>
    <row r="26" ht="23" customHeight="1" spans="1:12">
      <c r="A26" s="3"/>
      <c r="B26" s="9"/>
      <c r="C26" s="10"/>
      <c r="D26" s="10"/>
      <c r="E26" s="11"/>
      <c r="F26" s="10" t="s">
        <v>355</v>
      </c>
      <c r="G26" s="10">
        <v>1</v>
      </c>
      <c r="H26" s="13" t="s">
        <v>356</v>
      </c>
      <c r="I26" s="10" t="s">
        <v>357</v>
      </c>
      <c r="J26" s="15">
        <v>1</v>
      </c>
      <c r="K26" s="10"/>
      <c r="L26" s="9">
        <v>5</v>
      </c>
    </row>
    <row r="27" ht="23" customHeight="1" spans="1:12">
      <c r="A27" s="3"/>
      <c r="B27" s="9"/>
      <c r="C27" s="10"/>
      <c r="D27" s="10"/>
      <c r="E27" s="11"/>
      <c r="F27" s="10"/>
      <c r="G27" s="10">
        <v>2</v>
      </c>
      <c r="H27" s="13" t="s">
        <v>358</v>
      </c>
      <c r="I27" s="10" t="s">
        <v>359</v>
      </c>
      <c r="J27" s="15">
        <v>1</v>
      </c>
      <c r="K27" s="10"/>
      <c r="L27" s="9">
        <v>5</v>
      </c>
    </row>
    <row r="28" ht="23" customHeight="1" spans="1:12">
      <c r="A28" s="3"/>
      <c r="B28" s="9"/>
      <c r="C28" s="10"/>
      <c r="D28" s="10"/>
      <c r="E28" s="11"/>
      <c r="F28" s="10"/>
      <c r="G28" s="10">
        <v>3</v>
      </c>
      <c r="H28" s="13" t="s">
        <v>358</v>
      </c>
      <c r="I28" s="10" t="s">
        <v>360</v>
      </c>
      <c r="J28" s="15">
        <v>1</v>
      </c>
      <c r="K28" s="10"/>
      <c r="L28" s="9">
        <v>5</v>
      </c>
    </row>
    <row r="29" ht="23" customHeight="1" spans="1:12">
      <c r="A29" s="3"/>
      <c r="B29" s="9"/>
      <c r="C29" s="10"/>
      <c r="D29" s="10"/>
      <c r="E29" s="11"/>
      <c r="F29" s="10" t="s">
        <v>361</v>
      </c>
      <c r="G29" s="10">
        <v>1</v>
      </c>
      <c r="H29" s="13" t="s">
        <v>362</v>
      </c>
      <c r="I29" s="10" t="s">
        <v>59</v>
      </c>
      <c r="J29" s="15">
        <v>0.1</v>
      </c>
      <c r="K29" s="10" t="s">
        <v>363</v>
      </c>
      <c r="L29" s="9"/>
    </row>
    <row r="30" ht="24" customHeight="1" spans="1:12">
      <c r="A30" s="3"/>
      <c r="B30" s="9"/>
      <c r="C30" s="10"/>
      <c r="D30" s="10"/>
      <c r="E30" s="11"/>
      <c r="F30" s="10"/>
      <c r="G30" s="10">
        <v>2</v>
      </c>
      <c r="H30" s="13" t="s">
        <v>364</v>
      </c>
      <c r="I30" s="10" t="s">
        <v>59</v>
      </c>
      <c r="J30" s="15">
        <v>0.15</v>
      </c>
      <c r="K30" s="10" t="s">
        <v>365</v>
      </c>
      <c r="L30" s="9"/>
    </row>
    <row r="31" ht="45" spans="1:12">
      <c r="A31" s="3"/>
      <c r="B31" s="9"/>
      <c r="C31" s="10"/>
      <c r="D31" s="10"/>
      <c r="E31" s="11"/>
      <c r="F31" s="10"/>
      <c r="G31" s="10">
        <v>3</v>
      </c>
      <c r="H31" s="13" t="s">
        <v>366</v>
      </c>
      <c r="I31" s="12" t="s">
        <v>59</v>
      </c>
      <c r="J31" s="18">
        <v>0.7</v>
      </c>
      <c r="K31" s="12" t="s">
        <v>367</v>
      </c>
      <c r="L31" s="9">
        <v>0.5</v>
      </c>
    </row>
    <row r="32" spans="1:12">
      <c r="A32" s="3"/>
      <c r="B32" s="9"/>
      <c r="C32" s="10"/>
      <c r="D32" s="10"/>
      <c r="E32" s="11"/>
      <c r="F32" s="10"/>
      <c r="G32" s="33">
        <v>4</v>
      </c>
      <c r="H32" s="34" t="s">
        <v>368</v>
      </c>
      <c r="I32" s="12" t="s">
        <v>59</v>
      </c>
      <c r="J32" s="18">
        <v>0.7</v>
      </c>
      <c r="K32" s="12" t="s">
        <v>369</v>
      </c>
      <c r="L32" s="35">
        <v>1</v>
      </c>
    </row>
    <row r="33" spans="1:12">
      <c r="A33" s="3"/>
      <c r="B33" s="9"/>
      <c r="C33" s="10"/>
      <c r="D33" s="10"/>
      <c r="E33" s="11"/>
      <c r="F33" s="10"/>
      <c r="G33" s="33"/>
      <c r="H33" s="34"/>
      <c r="I33" s="21"/>
      <c r="J33" s="20"/>
      <c r="K33" s="21"/>
      <c r="L33" s="36"/>
    </row>
    <row r="34" ht="60" spans="1:12">
      <c r="A34" s="3"/>
      <c r="B34" s="9"/>
      <c r="C34" s="10"/>
      <c r="D34" s="10"/>
      <c r="E34" s="11"/>
      <c r="F34" s="10"/>
      <c r="G34" s="33">
        <v>5</v>
      </c>
      <c r="H34" s="34" t="s">
        <v>370</v>
      </c>
      <c r="I34" s="16" t="s">
        <v>59</v>
      </c>
      <c r="J34" s="19">
        <v>0.3</v>
      </c>
      <c r="K34" s="16" t="s">
        <v>371</v>
      </c>
      <c r="L34" s="37">
        <v>1</v>
      </c>
    </row>
    <row r="35" ht="15.6" spans="1:12">
      <c r="A35" s="3"/>
      <c r="B35" s="9"/>
      <c r="C35" s="10"/>
      <c r="D35" s="10"/>
      <c r="E35" s="11"/>
      <c r="F35" s="10"/>
      <c r="G35" s="33">
        <v>6</v>
      </c>
      <c r="H35" s="34" t="s">
        <v>372</v>
      </c>
      <c r="I35" s="16" t="s">
        <v>331</v>
      </c>
      <c r="J35" s="19">
        <v>0.5</v>
      </c>
      <c r="K35" s="16" t="s">
        <v>373</v>
      </c>
      <c r="L35" s="37">
        <v>1</v>
      </c>
    </row>
    <row r="36" ht="15.6" spans="1:12">
      <c r="A36" s="3"/>
      <c r="B36" s="9"/>
      <c r="C36" s="10"/>
      <c r="D36" s="10"/>
      <c r="E36" s="11"/>
      <c r="F36" s="10"/>
      <c r="G36" s="10"/>
      <c r="H36" s="13"/>
      <c r="I36" s="12"/>
      <c r="J36" s="18"/>
      <c r="K36" s="12"/>
      <c r="L36" s="35"/>
    </row>
    <row r="37" ht="15" spans="1:12">
      <c r="A37" s="3"/>
      <c r="B37" s="9"/>
      <c r="C37" s="10"/>
      <c r="D37" s="10"/>
      <c r="E37" s="38" t="s">
        <v>168</v>
      </c>
      <c r="F37" s="38"/>
      <c r="G37" s="38"/>
      <c r="H37" s="38"/>
      <c r="I37" s="38"/>
      <c r="J37" s="39"/>
      <c r="K37" s="40"/>
      <c r="L37" s="41">
        <f>SUM(L2:L36)</f>
        <v>41</v>
      </c>
    </row>
    <row r="38" ht="109.2" spans="1:12">
      <c r="A38" s="3"/>
      <c r="B38" s="9"/>
      <c r="C38" s="10"/>
      <c r="D38" s="10"/>
      <c r="E38" s="11" t="s">
        <v>169</v>
      </c>
      <c r="F38" s="42" t="s">
        <v>53</v>
      </c>
      <c r="G38" s="11">
        <v>1</v>
      </c>
      <c r="H38" s="43" t="s">
        <v>374</v>
      </c>
      <c r="I38" s="10" t="s">
        <v>331</v>
      </c>
      <c r="J38" s="44">
        <v>0.8</v>
      </c>
      <c r="K38" s="10" t="s">
        <v>375</v>
      </c>
      <c r="L38" s="45"/>
    </row>
    <row r="39" ht="15.6" spans="1:12">
      <c r="A39" s="3"/>
      <c r="B39" s="9"/>
      <c r="C39" s="10"/>
      <c r="D39" s="10"/>
      <c r="E39" s="11"/>
      <c r="F39" s="46" t="s">
        <v>361</v>
      </c>
      <c r="G39" s="11">
        <v>1</v>
      </c>
      <c r="H39" s="43" t="s">
        <v>376</v>
      </c>
      <c r="I39" s="10" t="s">
        <v>59</v>
      </c>
      <c r="J39" s="44"/>
      <c r="K39" s="11"/>
      <c r="L39" s="45"/>
    </row>
    <row r="40" ht="15.6" spans="1:12">
      <c r="A40" s="3"/>
      <c r="B40" s="9"/>
      <c r="C40" s="10"/>
      <c r="D40" s="10"/>
      <c r="E40" s="11"/>
      <c r="F40" s="46"/>
      <c r="G40" s="11">
        <v>2</v>
      </c>
      <c r="H40" s="43" t="s">
        <v>377</v>
      </c>
      <c r="I40" s="10" t="s">
        <v>59</v>
      </c>
      <c r="J40" s="44"/>
      <c r="K40" s="11"/>
      <c r="L40" s="45"/>
    </row>
    <row r="41" ht="21" customHeight="1" spans="1:12">
      <c r="A41" s="3"/>
      <c r="B41" s="9"/>
      <c r="C41" s="10"/>
      <c r="D41" s="10"/>
      <c r="E41" s="11"/>
      <c r="F41" s="46"/>
      <c r="G41" s="11">
        <v>3</v>
      </c>
      <c r="H41" s="43" t="s">
        <v>378</v>
      </c>
      <c r="I41" s="10" t="s">
        <v>59</v>
      </c>
      <c r="J41" s="44"/>
      <c r="K41" s="11"/>
      <c r="L41" s="45"/>
    </row>
    <row r="42" ht="31.2" spans="1:12">
      <c r="A42" s="3"/>
      <c r="B42" s="9"/>
      <c r="C42" s="10"/>
      <c r="D42" s="10"/>
      <c r="E42" s="11"/>
      <c r="F42" s="46"/>
      <c r="G42" s="11">
        <v>4</v>
      </c>
      <c r="H42" s="43" t="s">
        <v>379</v>
      </c>
      <c r="I42" s="10" t="s">
        <v>59</v>
      </c>
      <c r="J42" s="44"/>
      <c r="K42" s="11"/>
      <c r="L42" s="45"/>
    </row>
  </sheetData>
  <autoFilter xmlns:etc="http://www.wps.cn/officeDocument/2017/etCustomData" ref="A1:Z42" etc:filterBottomFollowUsedRange="0">
    <extLst/>
  </autoFilter>
  <mergeCells count="40">
    <mergeCell ref="E37:H37"/>
    <mergeCell ref="A2:A42"/>
    <mergeCell ref="B2:B42"/>
    <mergeCell ref="C2:C42"/>
    <mergeCell ref="D2:D42"/>
    <mergeCell ref="E2:E36"/>
    <mergeCell ref="E38:E42"/>
    <mergeCell ref="F2:F25"/>
    <mergeCell ref="F26:F28"/>
    <mergeCell ref="F29:F36"/>
    <mergeCell ref="F39:F42"/>
    <mergeCell ref="G4:G6"/>
    <mergeCell ref="G8:G9"/>
    <mergeCell ref="G13:G14"/>
    <mergeCell ref="G15:G17"/>
    <mergeCell ref="G18:G19"/>
    <mergeCell ref="G20:G25"/>
    <mergeCell ref="G32:G33"/>
    <mergeCell ref="H4:H6"/>
    <mergeCell ref="H8:H9"/>
    <mergeCell ref="H13:H14"/>
    <mergeCell ref="H15:H17"/>
    <mergeCell ref="H18:H19"/>
    <mergeCell ref="H20:H25"/>
    <mergeCell ref="H32:H33"/>
    <mergeCell ref="I32:I33"/>
    <mergeCell ref="J4:J6"/>
    <mergeCell ref="J8:J9"/>
    <mergeCell ref="J13:J14"/>
    <mergeCell ref="J15:J17"/>
    <mergeCell ref="J18:J19"/>
    <mergeCell ref="J20:J25"/>
    <mergeCell ref="J32:J33"/>
    <mergeCell ref="K4:K6"/>
    <mergeCell ref="K8:K9"/>
    <mergeCell ref="K13:K14"/>
    <mergeCell ref="K15:K17"/>
    <mergeCell ref="K20:K25"/>
    <mergeCell ref="K32:K33"/>
    <mergeCell ref="L32:L3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2026-05-22T13:18:23Z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2052-12.1.0.26375</vt:lpwstr>
  </property>
  <property fmtid="{D5CDD505-2E9C-101B-9397-08002B2CF9AE}" pid="4" name="CalculationRule">
    <vt:i4>0</vt:i4>
  </property>
</Properties>
</file>