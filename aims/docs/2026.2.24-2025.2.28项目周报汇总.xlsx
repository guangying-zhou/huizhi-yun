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sheetId="194" r:id="rId2"/>
    <sheet name="交付-房产组" sheetId="195" r:id="rId3"/>
    <sheet name="交付-物业组" sheetId="196" r:id="rId4"/>
    <sheet name="交付-AI大数据组" sheetId="197" r:id="rId5"/>
    <sheet name="交付-JD组" sheetId="198" r:id="rId6"/>
    <sheet name="产品研发部" sheetId="199" r:id="rId7"/>
    <sheet name="汇房智选部" sheetId="200" r:id="rId8"/>
    <sheet name="软件项目部" sheetId="201" r:id="rId9"/>
  </sheets>
  <externalReferences>
    <externalReference r:id="rId10"/>
    <externalReference r:id="rId11"/>
    <externalReference r:id="rId12"/>
    <externalReference r:id="rId13"/>
    <externalReference r:id="rId14"/>
    <externalReference r:id="rId15"/>
  </externalReferences>
  <definedNames>
    <definedName name="_xlnm._FilterDatabase" localSheetId="1" hidden="1">'交付-不动产组'!$A$1:$L$43</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 name="_xlnm._FilterDatabase" localSheetId="7" hidden="1">#REF!</definedName>
    <definedName name="_xlnm._FilterDatabase" localSheetId="8"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<sst xmlns="http://schemas.openxmlformats.org/spreadsheetml/2006/main" count="850" uniqueCount="352">
  <si>
    <t>项目周报汇总（2026.2.24-2025.2.28）</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</si>
  <si>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</si>
  <si>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</si>
  <si>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</si>
  <si>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</si>
  <si>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</si>
  <si>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</si>
  <si>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</si>
  <si>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</si>
  <si>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</si>
  <si>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</si>
  <si>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</si>
  <si>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</si>
  <si>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</si>
  <si>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</si>
  <si>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</si>
  <si>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</si>
  <si>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</si>
  <si>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</si>
  <si>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</si>
  <si>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</si>
  <si>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</si>
  <si>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</si>
  <si>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</si>
  <si>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</si>
  <si>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</si>
  <si>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</si>
  <si>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</si>
  <si>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</si>
  <si>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</si>
  <si>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</si>
  <si>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</si>
  <si>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济南市不动产登记云柜台（线上移动)系统</t>
  </si>
  <si>
    <t>陈一明</t>
  </si>
  <si>
    <t>将完工无需立项</t>
  </si>
  <si>
    <t>开发</t>
  </si>
  <si>
    <t>济南市不动产预受理系统</t>
  </si>
  <si>
    <t>房产组
（刘存山）</t>
  </si>
  <si>
    <t>济南市房产交易管理平台拓展</t>
  </si>
  <si>
    <t>张大伟</t>
  </si>
  <si>
    <t>未签订</t>
  </si>
  <si>
    <t>济南房产交易与租赁服务平台</t>
  </si>
  <si>
    <t>李宪鹏</t>
  </si>
  <si>
    <t>严重延迟</t>
  </si>
  <si>
    <t>90%？</t>
  </si>
  <si>
    <t>已签合同</t>
  </si>
  <si>
    <t>进度延迟严重</t>
  </si>
  <si>
    <t>21250606J</t>
  </si>
  <si>
    <t>山东省机关事务局职工房改管理系统适配改造项目</t>
  </si>
  <si>
    <t>付艳芳</t>
  </si>
  <si>
    <t>宿松房产一体化平台</t>
  </si>
  <si>
    <t>刘存山</t>
  </si>
  <si>
    <t>未立项</t>
  </si>
  <si>
    <t>售前</t>
  </si>
  <si>
    <t>物业组
（袁畅）</t>
  </si>
  <si>
    <t>日照市三平台融合、智慧物业、住宅专项维修资金系统信创改造项目</t>
  </si>
  <si>
    <t>王成</t>
  </si>
  <si>
    <t>滨州智慧物业</t>
  </si>
  <si>
    <t>王壮</t>
  </si>
  <si>
    <t>实施</t>
  </si>
  <si>
    <t>有合同</t>
  </si>
  <si>
    <t>泉农通二期销售售前支持</t>
  </si>
  <si>
    <t>刘传祥</t>
  </si>
  <si>
    <t>销售立项</t>
  </si>
  <si>
    <t>AI大数据组
（李朔刚）</t>
  </si>
  <si>
    <t>济南市不动产登记全量数据汇交及比对系统</t>
  </si>
  <si>
    <t>李朔刚</t>
  </si>
  <si>
    <t>济南市不动产登记电子监督系统功能拓展</t>
  </si>
  <si>
    <t>不动产登记人工智能数字人(一期)项目</t>
  </si>
  <si>
    <t>延迟</t>
  </si>
  <si>
    <t>无合同</t>
  </si>
  <si>
    <t>21250313J</t>
  </si>
  <si>
    <t>电子监督系统标准化产品改造</t>
  </si>
  <si>
    <t>佟丽</t>
  </si>
  <si>
    <t>JD组
（王庆嵋）</t>
  </si>
  <si>
    <t>210123ZHJJ02</t>
  </si>
  <si>
    <t>基层经费监管系统升级研发（二期）</t>
  </si>
  <si>
    <t>王庆嵋</t>
  </si>
  <si>
    <t>JD维护</t>
  </si>
  <si>
    <t>技术支持部
（王壮）</t>
  </si>
  <si>
    <t>运维项目</t>
  </si>
  <si>
    <t>不动产登记应用软件维护</t>
  </si>
  <si>
    <t>付蕾</t>
  </si>
  <si>
    <t>济南市房产交易部门运维</t>
  </si>
  <si>
    <t>房产项目运维</t>
  </si>
  <si>
    <t>智慧物业运维（维修资金）项目运维</t>
  </si>
  <si>
    <t>上周人力小计：</t>
  </si>
  <si>
    <t>本周人力小计：</t>
  </si>
  <si>
    <t>人力饱和度</t>
  </si>
  <si>
    <t>产品研发部
（曹倩）</t>
  </si>
  <si>
    <t>研发项目</t>
  </si>
  <si>
    <t>21250925HF</t>
  </si>
  <si>
    <t>汇房智慧住房租赁综合管理与服务平台</t>
  </si>
  <si>
    <t>曹倩</t>
  </si>
  <si>
    <t>立项</t>
  </si>
  <si>
    <t>21250807J</t>
  </si>
  <si>
    <t>基础平台</t>
  </si>
  <si>
    <t>李昱江</t>
  </si>
  <si>
    <t>立项中</t>
  </si>
  <si>
    <t>/</t>
  </si>
  <si>
    <t>内部管理系统</t>
  </si>
  <si>
    <t>汇房智选部
（任建伟）</t>
  </si>
  <si>
    <t>22250903HF</t>
  </si>
  <si>
    <t>济南市联合资产交易公示平台</t>
  </si>
  <si>
    <t>王帅</t>
  </si>
  <si>
    <t>汇房云经纪人</t>
  </si>
  <si>
    <t>任建伟</t>
  </si>
  <si>
    <t>发布</t>
  </si>
  <si>
    <t>22250829HF</t>
  </si>
  <si>
    <t>车位使用权公证备案平台</t>
  </si>
  <si>
    <t>22251028HFJ</t>
  </si>
  <si>
    <t>卓识网安业务平台系统</t>
  </si>
  <si>
    <t>需求</t>
  </si>
  <si>
    <t>21250516HF</t>
  </si>
  <si>
    <t>汇房考试培训系统</t>
  </si>
  <si>
    <t>21250801J</t>
  </si>
  <si>
    <t>公司内部系统维护升级项目</t>
  </si>
  <si>
    <t>房源超市SaaS产品化改造(新房超市SaaS)</t>
  </si>
  <si>
    <t>卓识网安业务平台系统-知识库</t>
  </si>
  <si>
    <t>房屋租赁管理系统(汇房云租)</t>
  </si>
  <si>
    <t>待立项</t>
  </si>
  <si>
    <t>挂起</t>
  </si>
  <si>
    <t>阳信房产超市运维&amp;乐居乳山</t>
  </si>
  <si>
    <t>安震、王帅</t>
  </si>
  <si>
    <t>软件项目部
(王成)</t>
  </si>
  <si>
    <t>日照银行智慧社区维护与升级</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</si>
  <si>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</si>
  <si>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</si>
  <si>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</si>
  <si>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</si>
  <si>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</si>
  <si>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</si>
  <si>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</si>
  <si>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</si>
  <si>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</si>
  <si>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</si>
  <si>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 xml:space="preserve">济南市不动产登记系统功能拓展
项目编号：22220901
</t>
  </si>
  <si>
    <t>--</t>
  </si>
  <si>
    <t>本周工作</t>
  </si>
  <si>
    <t>不动产登记系统：编写土地量化登记系统建设需求分析文档，方案一已完成并提交给不动产登记中心，目前正在根据董哲数据意见编写第二版方案。</t>
  </si>
  <si>
    <t>不动产登记系统：排查解决交易网签推送至不动产登记系统接口，频繁出现相同业务号重复出现多条有效的情况。</t>
  </si>
  <si>
    <t>不动产登记系统：解决面积字段数值较大时，页面或irepot模板显示科学计数法问题。</t>
  </si>
  <si>
    <t>不动产登记系统：与不动产融合发展事业部商定房屋生成预购商品房时，若该房屋存在在建工程抵押业务，且在建工程抵押业务已提交同意注销抵押承诺书的，自动生成一笔抵押注销业务，编写需求分析。</t>
  </si>
  <si>
    <t>不动产登记系统发布新版本前后测试，并对发现的问题进行整改，编写系统发布日志。</t>
  </si>
  <si>
    <t>不动产登记中心参加“司法处置不动产登记业务测试问题协调会”，会议讨论了司法处置业务试点过程中出现的一些问题，并研究解决方案。</t>
  </si>
  <si>
    <t>网上抵押系统：抵押人授权查询管理菜单 查询，新增，业务视图跳转展示。调用自测，页面调试。代码提交。</t>
  </si>
  <si>
    <t>张志鹏</t>
  </si>
  <si>
    <t>项目交接：智能审核项目，律师查询，预受理项目交接。下载代码，同原项目人员了解项目情况，代码结构，学习了解代码情况。</t>
  </si>
  <si>
    <t>对接浪潮自助机技术方提供开具权属证明相关功能接口，讨论相关需求，编写接口文档。</t>
  </si>
  <si>
    <t>李中正</t>
  </si>
  <si>
    <t>数据汇交交接工作，处理文档和代码。</t>
  </si>
  <si>
    <t>网上抵押系统：系统日常维护工作。
农房系统：更换平台项目解决漏洞，数据维护处理。</t>
  </si>
  <si>
    <t>不动产日常统计工作：5条</t>
  </si>
  <si>
    <t>李国强</t>
  </si>
  <si>
    <t>不动产相关项目交接文档编写、项目交接 。</t>
  </si>
  <si>
    <t>编写不动产移动端交接文档，数据汇交交接文档，预受理系统交接文档,智能审核系统交接文档.</t>
  </si>
  <si>
    <t>窦延群</t>
  </si>
  <si>
    <t>合计</t>
  </si>
  <si>
    <t>下周计划</t>
  </si>
  <si>
    <t xml:space="preserve">济南市不动产登记中心不动产登记信息平台信创升级改造项目
项目编号：22250226
</t>
  </si>
  <si>
    <t>信创-登记系统</t>
  </si>
  <si>
    <t>信创统信系统，适配displaylink，同厂商和通信客服沟通适配系统的版本，未获取到合适的解决方案。</t>
  </si>
  <si>
    <t>统信系统UOS高拍仪适配工作。</t>
  </si>
  <si>
    <t>btware 统信版本添加开机启动</t>
  </si>
  <si>
    <t>信创-自助系统</t>
  </si>
  <si>
    <t>处理龙奥大厦一楼大厅自助受理机适配信创问题。</t>
  </si>
  <si>
    <t>信创-电子监督系统、数据汇聚分平台</t>
  </si>
  <si>
    <t>1. 数据迁移程序的信创改造，兼容DB2和瀚高数据库的数据导出、迁移、入库Clickhouse。
2. 信创电子监督系统功能测试。
3. 数据加工sql文件配置改造。
4. 结果表加工语句优化。</t>
  </si>
  <si>
    <t>其他</t>
  </si>
  <si>
    <t>登记系统移动端：工作交接，优化前端页面样式工作。</t>
  </si>
  <si>
    <t>董文超</t>
  </si>
  <si>
    <t>济南市不动产登记云柜台（线上移动)系统
项目编号：22220202</t>
  </si>
  <si>
    <t>运维</t>
  </si>
  <si>
    <t>济南市不动产预受理系统
项目编号：22220701</t>
  </si>
  <si>
    <t>堡垒机配置dbeaver解决瀚高数据库连接工具无法显示预受理数据库问题；
  调整业务表字段，解决多权利人超长报错问题；</t>
  </si>
  <si>
    <t>房管软件运维</t>
  </si>
  <si>
    <t>工单   46  件</t>
  </si>
  <si>
    <t>李猛</t>
  </si>
  <si>
    <t>陪产假</t>
  </si>
  <si>
    <t>杨森</t>
  </si>
  <si>
    <t>房管系统运维</t>
  </si>
  <si>
    <t xml:space="preserve"> 市房改：填写市房改房两个系统的信创系统明细表</t>
  </si>
  <si>
    <t>杨真真</t>
  </si>
  <si>
    <t>祝席成</t>
  </si>
  <si>
    <t>不动产软件运维</t>
  </si>
  <si>
    <t>工单 296  件
增量数据汇交日检</t>
  </si>
  <si>
    <t>不动产系统运维</t>
  </si>
  <si>
    <t>住建：不动产信创网上服务大厅网络问题处理；
 将交易库和网签库用db2look导出并导入91.47上面，做审计用。
不动产：自规局自助机访问自助受理系统信创地址，网络问题处理；
 将93.174的智能审核数据库在线备份，还原到93.182上做测试库用；
 不动产信创政务外堡垒机账号添加DBeaver应用；
 电子监督信创机器85和88新增5个端口申请对172.20.91.213开放；
 电子监督信创跟登记系统生产库服务网络开通申请；
 关于139rerip库迁移到信创瀚高库工作。</t>
  </si>
  <si>
    <t>济南市房产交易管理平台拓展项目编号:22221201</t>
  </si>
  <si>
    <t>配合大数据局核时数据汇聚整改以及程序修改</t>
  </si>
  <si>
    <t>查找定时任务推送不动产合同问题</t>
  </si>
  <si>
    <t>交易系统日常维护</t>
  </si>
  <si>
    <t>配合信息科整理证明数据</t>
  </si>
  <si>
    <t>省直房改运维</t>
  </si>
  <si>
    <t>济南房产交易运维</t>
  </si>
  <si>
    <t>日常运维</t>
  </si>
  <si>
    <t>市房改运维</t>
  </si>
  <si>
    <t>宋雯雯</t>
  </si>
  <si>
    <t>房管监测平台维护:
统计25、26年住建网签套数、面积、均价及同比数据
统计25、26年住建及交易大厅交易量、工作日日均，占比及同比等数据</t>
  </si>
  <si>
    <t>监察委、成立业委会导数据：济南市市中区22号三箭银苑、槐荫区兴福街道中建桃李苑数据导出</t>
  </si>
  <si>
    <t>二手房交易系统运维</t>
  </si>
  <si>
    <t>张杨</t>
  </si>
  <si>
    <t>修改网签变更及解除备案单样式；
修改受理科登录后显示区县bug；
联调扫描鲁通码功能；</t>
  </si>
  <si>
    <t>新平台存量房网签备案逻辑增加对合同表老权证号的赋值逻辑
新平台配合前端完成存量房系统登录无法选择行政区的问题处理
新平台挂牌查询功能接口对接嘉友前端</t>
  </si>
  <si>
    <t>产权证号与原产权证号数据迁移补充
上线文档及其他文档配合补充
二维码读取器配合测试</t>
  </si>
  <si>
    <t>房产一体化项目：沾化、博兴、乳山、滨州、惠民、无棣维护</t>
  </si>
  <si>
    <t>王德智</t>
  </si>
  <si>
    <t>万德跃</t>
  </si>
  <si>
    <t>房产一体化：安徽地区、五莲、诸城维护</t>
  </si>
  <si>
    <t>开发项目开发测试</t>
  </si>
  <si>
    <t>景旭</t>
  </si>
  <si>
    <t>限制管理开发测试</t>
  </si>
  <si>
    <t>商品房网签备案联调测试</t>
  </si>
  <si>
    <t>时守杰</t>
  </si>
  <si>
    <t>网签备案合同管理接口对接</t>
  </si>
  <si>
    <t>王光辉</t>
  </si>
  <si>
    <t>物业项目运维(微信资金)</t>
  </si>
  <si>
    <t>日照物业维护</t>
  </si>
  <si>
    <t>1 维修资金系统维护：东营地区区、滨州地区维护；
2 智慧物业滨州地区维护；</t>
  </si>
  <si>
    <t>牛丽君</t>
  </si>
  <si>
    <t>维修资金系统维护：日照、滨州、东营、莱芜、潍坊滨海等地区维护</t>
  </si>
  <si>
    <t>赵衍峰</t>
  </si>
  <si>
    <t>日照维系资金驻场维护</t>
  </si>
  <si>
    <t>马睿</t>
  </si>
  <si>
    <t>滨州房产一体化驻场维护</t>
  </si>
  <si>
    <t>吴胜傲</t>
  </si>
  <si>
    <t xml:space="preserve">物业一体化信息管理平台
项目编号：21240402
</t>
  </si>
  <si>
    <t>袁畅</t>
  </si>
  <si>
    <t>无</t>
  </si>
  <si>
    <t>日照市三平台融合、智慧物业、住宅专项维修资金系统信创改造项目
项目编号：22240822</t>
  </si>
  <si>
    <t>日照维修资金渗透性测试问题反馈，处理漏洞修复问题</t>
  </si>
  <si>
    <t>许建飞</t>
  </si>
  <si>
    <t>日照维修资金运维</t>
  </si>
  <si>
    <t>滨州智慧物业
项目编号：23251211</t>
  </si>
  <si>
    <t>生产环境测试及问题修改</t>
  </si>
  <si>
    <t>李淑英</t>
  </si>
  <si>
    <t>数据看板设计及优化</t>
  </si>
  <si>
    <t>王延磊</t>
  </si>
  <si>
    <t>滨州维修资金公积金中心推送接口与博彦联调测试</t>
  </si>
  <si>
    <t>孙达</t>
  </si>
  <si>
    <t>公共事项表决等业务联调优化</t>
  </si>
  <si>
    <t>郇正基</t>
  </si>
  <si>
    <t>小程序问题处理</t>
  </si>
  <si>
    <t>卢波</t>
  </si>
  <si>
    <t>生产环境测试及问题修改完成，做好上线准备</t>
  </si>
  <si>
    <t>小程序联调测试完成、发版</t>
  </si>
  <si>
    <t>泉农通二期销售售前支持
项目编号：
121018</t>
  </si>
  <si>
    <t>网信办数字乡村平台推进计划、工作总结编制及现场沟通</t>
  </si>
  <si>
    <t>农业局“泉农通”业务协同平台功能扩展项目详细建设方案优化，大数据局汇报沟通</t>
  </si>
  <si>
    <t>网信办数字乡村平台招标文件准备，系统架构搭建，数据指标梳理</t>
  </si>
  <si>
    <t>农业局“泉农通”业务协同平台功能扩展项目详细建设方案结合大数据局要求进行优化，相关处室沟通</t>
  </si>
  <si>
    <t>济南市不动产登记全量数据汇交及比对系统
项目编号：222201001</t>
  </si>
  <si>
    <t>数据增量汇交：处理省厅以及刘科反馈的汇交土地确实数据矢量坐标数据问题。</t>
  </si>
  <si>
    <t>2月份数据汇交、数据分析、指数测算</t>
  </si>
  <si>
    <t>济南市不动产登记电子监督系统功能拓展
项目编号：22220905</t>
  </si>
  <si>
    <t>编写文档：配合登记中心编写《公共数据“跑起来”示范场景建设方案编制大纲》</t>
  </si>
  <si>
    <t>优化营商环境：内部预警去掉产权转让时限预警及预警通报问题查找。</t>
  </si>
  <si>
    <t>王建</t>
  </si>
  <si>
    <t>不动产登记人工智能数字人(一期)项目
项目编号：21250326</t>
  </si>
  <si>
    <t>知识库构建、智能检索：按照功能需求点（除AI相关）开发，本周主要完成功能点：文件的上传、查看文件内容、全文检索、目录检索、检索结果展示。</t>
  </si>
  <si>
    <t>闫元泉</t>
  </si>
  <si>
    <t>MCP开发：智能审核-字段解析接口发布为mcp接口，并在dify里面调用。</t>
  </si>
  <si>
    <t>毕彦信</t>
  </si>
  <si>
    <t>电子监督系统标准化产品改造
项目编号：21250313J</t>
  </si>
  <si>
    <t>维修大队系统建设方案编写与汇报</t>
  </si>
  <si>
    <t>住房贷款辅助管理系统投标文件编写与投标</t>
  </si>
  <si>
    <t>基层经费监管系统升级研发（二期）
项目编号：
210123ZHJJ02</t>
  </si>
  <si>
    <t>系统运维管理</t>
  </si>
  <si>
    <t>王晓阳</t>
  </si>
  <si>
    <t>住房租赁管理服务平台（监管端）
项目编号：21250925HF</t>
  </si>
  <si>
    <t>魏山明</t>
  </si>
  <si>
    <t>近期重新估计开发计划</t>
  </si>
  <si>
    <t>部门职责和近期工作部门会议</t>
  </si>
  <si>
    <t>重新梳理租赁的思维导图</t>
  </si>
  <si>
    <t>基础平台
（未立项）</t>
  </si>
  <si>
    <t>平台技术底座调研</t>
  </si>
  <si>
    <t>石伟佳</t>
  </si>
  <si>
    <t>技术委员会会议、部门会议、AI资料整理</t>
  </si>
  <si>
    <t>部门会议、技术底座调研报告阅读、讨论</t>
  </si>
  <si>
    <t>内部管理系统
（立项阶段）</t>
  </si>
  <si>
    <t>分析项目管理需求文档</t>
  </si>
  <si>
    <t>研究了一下开源项目管理系统的实现代码，尝试使用AI工具</t>
  </si>
  <si>
    <t>分析项目管理需求文档并参与部门会议</t>
  </si>
  <si>
    <t>张燕</t>
  </si>
  <si>
    <t>ai工具开通</t>
  </si>
  <si>
    <t>因谷歌注册触发强风控需手机验证，且配套工具的共享 Apple ID 被锁无法完成设备端配置，暂未开通</t>
  </si>
  <si>
    <t>部门会议，Ai工具开通
研究</t>
  </si>
  <si>
    <t xml:space="preserve">1、参与部门会议
2、了解项目管理需求 
</t>
  </si>
  <si>
    <t>郭培培</t>
  </si>
  <si>
    <t>尝试Ai工具开通</t>
  </si>
  <si>
    <t>缺少Tailscale密钥暂未开通</t>
  </si>
  <si>
    <t xml:space="preserve">济南市联合资产交易公示平台
项目编号：22250903HF
</t>
  </si>
  <si>
    <t>1.完成设计联合资产PC端房产详情的在线咨询样式；
2.按照需求完成设计联合资产pc端的地图找房页。按照抵押房产/查封房产/历史遗留房产分类进行城区/区域/小区样式设计；
3.按照需求完成调整联合资产pc端的地图找房页。显示小区时展示抵押房产/查封房产/历史遗留房产标签样式；
4. 会议听取联合资产房源委托/发布后台到前端的逻辑。；
5. 设计联合资产pc端的附房信息的展示样式；
6.完成设计联合资产PC端首页推广小程序广告展示样式；
7.完成设计联合资产移动端的附房信息的展示样式；
8.完成设计调整联合资产小程序端我的办件详情（带封过户详情、带押过户详情、案款提存详情、普通提存详情）；
9.完成联合资产小程序端我的办件的切图；</t>
  </si>
  <si>
    <t>冯庆召</t>
  </si>
  <si>
    <t>1.熟悉联合资产平台业务以及代码规范等事项；
2.房源个人发布房源选择产权房屋功能开发；
3.个人委托房源优化产权数据保证唯一；</t>
  </si>
  <si>
    <t>许兴欣</t>
  </si>
  <si>
    <t>1.个人房源小程序功能完善；
2.我的办件添加完善；
3.个人房源发布小程序端页面编写与联调；</t>
  </si>
  <si>
    <t>王恒通</t>
  </si>
  <si>
    <t>1.房源展厅PC端根据客户需求优化页面样式；
2.房源展厅PC端地图找房功能页面调整与联调；</t>
  </si>
  <si>
    <t>1. 与开发对接项目需求开发细节；
2. 参与进度会议；
3. 调整需求细节；
4.编写交接文档；</t>
  </si>
  <si>
    <t>Im前端开发与联调；</t>
  </si>
  <si>
    <t>赵旺</t>
  </si>
  <si>
    <t>Im后端开发与联调并发布程序；</t>
  </si>
  <si>
    <t>蔡高情</t>
  </si>
  <si>
    <t>1.小程序端我的办件功能开发联调；</t>
  </si>
  <si>
    <t>赵敬</t>
  </si>
  <si>
    <t>1.完成联合资产小程序通知公共页面调整。 修改我的办件字典配置，处理小程序体积超限制问题，完成小程序打包并发布体验版；
2.完成编辑房源时新增附属房屋模块内容，优化房源详情附房展示逻辑；
3.优化个人发布房源的展示形式，提升信息呈现清晰度；全量调整所有列表筛选条件的展示内容，适配业务使用习惯；完成统计分析静态页面开发，并结合前端代码规范及业务实际场景，整改 cursor 生成文件的代码逻辑，保障代码合规性与可维护性；</t>
  </si>
  <si>
    <t>梁超</t>
  </si>
  <si>
    <t>1.整理相关交接文档；</t>
  </si>
  <si>
    <t>1. 联合资产项目进度推进；
2. 车位备案项目进度推进；
3. 整理联合资产项目进度文件（功能流程图、上线进度时间节点等）；
4.客户现场沟通车位备案与联合资产需求；
5.齐鲁银行对接执行案款提存上线事项；
6.齐鲁银行现场对接普通提存账号开通银企直联对接事项；</t>
  </si>
  <si>
    <t xml:space="preserve">车位使用权公证备案平台
项目编号：22250829HF
</t>
  </si>
  <si>
    <t>1.小程序端：完成备案详情页新增字段开发，处理备案编辑中时间范围选择的逻辑校验与交互优化。 PC 端：梳理本次迭代功能修改点，新增添加车位 Tab 栏及车位备案模块开发；
2.新增车位备案录入模块中车位补充信息相关字段，同步更新备案信息 Tab 栏详情展示内容。 抽取全页面备案信息公共部分封装为通用组件，提升代码复用性与维护性。 完成备案溯源详情静态页面开发并实现模拟数据返回，新增备案溯源车位详情页、尽调定价确认页面。 修改车位备案页面上传组件所调用的接口地址，保证上传流程正常对接；
3.完成备案溯源补录 / 编辑相关静态页面开发，涵盖出让方、受让方、交易信息及备件信息页面，并实现模拟数据返回，保障页面正常渲染展示。 完成备案溯源的车位备案详情静态页面开发，完善溯源模块页面布局与展示逻辑。 梳理原系统已存在字段，完成字段对接梳理工作，确保字段映射准确、适配业务需求。 完成小程序端备案新增、编辑、房源提取选择、订单模块的接口对接工作，除备案编辑步骤三涉及合同相关内容因未确定暂未对接外，其余功能变更均已完成 YAPI 对接，确保已对接模块数据交互正常；
4.小程序端：完成备案详情、新增、编辑、房源提取选择、订单获取的接口对接联调（开发环境），调试并验证已对接模块，确保前后端数据交互稳定、功能正常可用。 PC 端：在车位详情页面新增车位备件 Tab 栏及对应详情展示功能；对照原型确认功能修改要点，全面梳理已修改功能点，确保功能迭代完整无遗漏，目前待接口提供后开展数据对接工作。</t>
  </si>
  <si>
    <t>1.车位添加增加备件信息，车位新增代码优化；
2.车位备案小程序端接口调整，证书增加证件号码隐藏；
3.车位备案优化功能与前端联调；</t>
  </si>
  <si>
    <t xml:space="preserve">汇房云经纪人
项目编号：21250418
</t>
  </si>
  <si>
    <t>卓识网安业务平台系统
项目编号：22251028HFJ</t>
  </si>
  <si>
    <t>异地备案 、总监工作台等模块bug修复</t>
  </si>
  <si>
    <t>安震</t>
  </si>
  <si>
    <t>前端缺陷修复</t>
  </si>
  <si>
    <t>处理遗留问题，整理相关交接资料</t>
  </si>
  <si>
    <t>测试与交付问题沟通，推进测试
工作台测试支持，相关问题修复，客户需求修改支持</t>
  </si>
  <si>
    <t>前端问题修复</t>
  </si>
  <si>
    <t>测试</t>
  </si>
  <si>
    <t>第三阶段测试用例执行，缺陷验证</t>
  </si>
  <si>
    <t>宋占伟</t>
  </si>
  <si>
    <t>亓俣辰</t>
  </si>
  <si>
    <t>公司内部系统维护升级项目
项目编号：21250801J</t>
  </si>
  <si>
    <t>阳信房产超市运维</t>
  </si>
  <si>
    <t>基础平台
21250807J</t>
  </si>
  <si>
    <t>合同签约功能开发</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</si>
  <si>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</si>
  <si>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</si>
  <si>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</si>
  <si>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</si>
  <si>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</si>
  <si>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</si>
  <si>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</si>
  <si>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开发对接中</t>
  </si>
  <si>
    <t>行内闲置资产共享平台前端配合改造项目</t>
  </si>
  <si>
    <t>孙丁华</t>
  </si>
  <si>
    <t>智惠e家”智慧餐厅、智慧社区系统功能优化（智惠e家增加寻车功能及对接碳惠日照）</t>
  </si>
  <si>
    <t>王德贤</t>
  </si>
  <si>
    <t>菜品优选二期</t>
  </si>
  <si>
    <t>“智惠e家”智慧餐厅、智慧社区系统功能优化（即墨区机关事务服务中心智慧餐厅项目系统功能优化-第三批次）</t>
  </si>
  <si>
    <t>性能优化</t>
  </si>
  <si>
    <t>智慧场景优化项目群（日照市人民医院本部餐厅、莒县人民法院智慧餐厅功能优化）</t>
  </si>
  <si>
    <t>已发版等待业务验收回款</t>
  </si>
  <si>
    <t>智惠e家社区对接大华ICC社区通行设备</t>
  </si>
  <si>
    <t>正常开发推进</t>
  </si>
  <si>
    <t>智慧餐厅移动端全量接入宜当生活</t>
  </si>
  <si>
    <t>需求对接中</t>
  </si>
  <si>
    <t>安全保卫部智慧园区功能优化</t>
  </si>
  <si>
    <t>社区访客通行以及押金缴费退款需求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</si>
</sst>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46">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1"/>
      <name val="等线"/>
      <charset val="134"/>
    </font>
    <font>
      <sz val="10"/>
      <color theme="1"/>
      <name val="等线"/>
      <charset val="134"/>
      <scheme val="minor"/>
    </font>
    <font>
      <sz val="12"/>
      <color rgb="FF000000"/>
      <name val="宋体"/>
      <charset val="134"/>
    </font>
    <font>
      <sz val="10"/>
      <color rgb="FF000000"/>
      <name val="等线"/>
      <charset val="134"/>
      <scheme val="minor"/>
    </font>
    <font>
      <sz val="9"/>
      <color rgb="FF000000"/>
      <name val="宋体"/>
      <charset val="134"/>
    </font>
    <font>
      <sz val="10"/>
      <color rgb="FF000000"/>
      <name val="宋体"/>
      <charset val="134"/>
    </font>
    <font>
      <sz val="11"/>
      <color rgb="FF000000"/>
      <name val="宋体"/>
      <charset val="134"/>
    </font>
    <font>
      <sz val="12"/>
      <color rgb="FF000000"/>
      <name val="微软雅黑"/>
      <charset val="134"/>
    </font>
    <font>
      <sz val="11"/>
      <color rgb="FF000000"/>
      <name val="微软雅黑"/>
      <charset val="134"/>
    </font>
    <font>
      <sz val="10"/>
      <color rgb="FF000000"/>
      <name val="微软雅黑"/>
      <charset val="134"/>
    </font>
    <font>
      <sz val="9"/>
      <color rgb="FF000000"/>
      <name val="等线"/>
      <charset val="134"/>
      <scheme val="minor"/>
    </font>
    <font>
      <sz val="10"/>
      <color rgb="FFFF0000"/>
      <name val="等线"/>
      <charset val="134"/>
      <scheme val="minor"/>
    </font>
    <font>
      <sz val="11"/>
      <color rgb="FF000000"/>
      <name val="等线"/>
      <charset val="134"/>
      <scheme val="minor"/>
    </font>
    <font>
      <b/>
      <sz val="14"/>
      <color theme="1"/>
      <name val="微软雅黑"/>
      <charset val="134"/>
    </font>
    <font>
      <sz val="12"/>
      <color theme="1"/>
      <name val="微软雅黑"/>
      <charset val="134"/>
    </font>
    <font>
      <sz val="11"/>
      <color theme="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7">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6" borderId="17"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8" applyNumberFormat="0" applyFill="0" applyAlignment="0" applyProtection="0">
      <alignment vertical="center"/>
    </xf>
    <xf numFmtId="0" fontId="29" fillId="0" borderId="18" applyNumberFormat="0" applyFill="0" applyAlignment="0" applyProtection="0">
      <alignment vertical="center"/>
    </xf>
    <xf numFmtId="0" fontId="30" fillId="0" borderId="19" applyNumberFormat="0" applyFill="0" applyAlignment="0" applyProtection="0">
      <alignment vertical="center"/>
    </xf>
    <xf numFmtId="0" fontId="30" fillId="0" borderId="0" applyNumberFormat="0" applyFill="0" applyBorder="0" applyAlignment="0" applyProtection="0">
      <alignment vertical="center"/>
    </xf>
    <xf numFmtId="0" fontId="31" fillId="7" borderId="20" applyNumberFormat="0" applyAlignment="0" applyProtection="0">
      <alignment vertical="center"/>
    </xf>
    <xf numFmtId="0" fontId="32" fillId="8" borderId="21" applyNumberFormat="0" applyAlignment="0" applyProtection="0">
      <alignment vertical="center"/>
    </xf>
    <xf numFmtId="0" fontId="33" fillId="8" borderId="20" applyNumberFormat="0" applyAlignment="0" applyProtection="0">
      <alignment vertical="center"/>
    </xf>
    <xf numFmtId="0" fontId="34" fillId="9" borderId="22" applyNumberFormat="0" applyAlignment="0" applyProtection="0">
      <alignment vertical="center"/>
    </xf>
    <xf numFmtId="0" fontId="35" fillId="0" borderId="23" applyNumberFormat="0" applyFill="0" applyAlignment="0" applyProtection="0">
      <alignment vertical="center"/>
    </xf>
    <xf numFmtId="0" fontId="36" fillId="0" borderId="24"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9" fontId="42" fillId="0" borderId="0" applyFont="0" applyFill="0" applyBorder="0" applyAlignment="0" applyProtection="0">
      <alignment vertical="center"/>
    </xf>
    <xf numFmtId="9" fontId="0" fillId="0" borderId="0" applyFont="0" applyFill="0" applyBorder="0" applyAlignment="0" applyProtection="0">
      <alignment vertical="center"/>
    </xf>
    <xf numFmtId="176" fontId="42" fillId="0" borderId="0">
      <alignment vertical="center"/>
    </xf>
    <xf numFmtId="176" fontId="42" fillId="0" borderId="0">
      <alignment vertical="center"/>
    </xf>
    <xf numFmtId="176" fontId="1" fillId="0" borderId="0">
      <alignment vertical="center"/>
    </xf>
    <xf numFmtId="0" fontId="1" fillId="0" borderId="0">
      <alignment vertical="center"/>
    </xf>
    <xf numFmtId="0" fontId="42" fillId="0" borderId="0">
      <alignment vertical="center"/>
    </xf>
    <xf numFmtId="176" fontId="42" fillId="0" borderId="0">
      <alignment vertical="center"/>
    </xf>
    <xf numFmtId="176" fontId="42" fillId="0" borderId="0">
      <alignment vertical="center"/>
    </xf>
    <xf numFmtId="176" fontId="42" fillId="0" borderId="0">
      <alignment vertical="center"/>
    </xf>
    <xf numFmtId="176" fontId="43" fillId="0" borderId="0">
      <alignment vertical="center"/>
    </xf>
    <xf numFmtId="176" fontId="42" fillId="0" borderId="0">
      <alignment vertical="center"/>
    </xf>
    <xf numFmtId="176" fontId="42" fillId="0" borderId="0">
      <alignment vertical="center"/>
    </xf>
    <xf numFmtId="176" fontId="42" fillId="0" borderId="0">
      <alignment vertical="center"/>
    </xf>
    <xf numFmtId="176" fontId="42" fillId="0" borderId="0" applyBorder="0">
      <alignment vertical="center"/>
    </xf>
  </cellStyleXfs>
  <cellXfs count="260">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5" fillId="0" borderId="1"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5" fillId="0"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3"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176" fontId="6" fillId="0" borderId="0" xfId="0" applyNumberFormat="1" applyFont="1"/>
    <xf numFmtId="0" fontId="5" fillId="2" borderId="2" xfId="0" applyNumberFormat="1" applyFont="1" applyFill="1" applyBorder="1" applyAlignment="1">
      <alignment horizontal="left" vertical="center" wrapText="1"/>
    </xf>
    <xf numFmtId="0" fontId="5" fillId="2" borderId="5" xfId="0" applyNumberFormat="1" applyFont="1" applyFill="1" applyBorder="1" applyAlignment="1">
      <alignment horizontal="center" vertical="center"/>
    </xf>
    <xf numFmtId="0" fontId="5" fillId="2" borderId="6" xfId="0" applyNumberFormat="1" applyFont="1" applyFill="1" applyBorder="1" applyAlignment="1">
      <alignment horizontal="left" vertical="center" wrapText="1"/>
    </xf>
    <xf numFmtId="0" fontId="5" fillId="2" borderId="7" xfId="0" applyNumberFormat="1" applyFont="1" applyFill="1" applyBorder="1" applyAlignment="1">
      <alignment horizontal="center" vertical="center"/>
    </xf>
    <xf numFmtId="0" fontId="5" fillId="2" borderId="8" xfId="0" applyNumberFormat="1" applyFont="1" applyFill="1" applyBorder="1" applyAlignment="1">
      <alignment horizontal="left" vertical="center" wrapText="1"/>
    </xf>
    <xf numFmtId="9" fontId="5" fillId="2" borderId="2" xfId="0" applyNumberFormat="1" applyFont="1" applyFill="1" applyBorder="1" applyAlignment="1">
      <alignment horizontal="center" vertical="center"/>
    </xf>
    <xf numFmtId="0" fontId="5" fillId="0" borderId="4" xfId="0" applyNumberFormat="1" applyFont="1" applyBorder="1" applyAlignment="1">
      <alignment horizontal="center" vertical="center" wrapText="1"/>
    </xf>
    <xf numFmtId="0" fontId="0" fillId="0" borderId="9" xfId="0" applyNumberFormat="1" applyBorder="1"/>
    <xf numFmtId="0" fontId="0" fillId="0" borderId="4" xfId="0" applyNumberFormat="1" applyBorder="1"/>
    <xf numFmtId="0" fontId="5" fillId="3" borderId="4" xfId="0" applyNumberFormat="1" applyFont="1" applyFill="1" applyBorder="1" applyAlignment="1">
      <alignment horizontal="center"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5" fillId="0" borderId="2" xfId="0" applyNumberFormat="1" applyFont="1" applyBorder="1" applyAlignment="1">
      <alignment horizontal="left" vertical="center" wrapText="1"/>
    </xf>
    <xf numFmtId="9" fontId="5" fillId="0" borderId="2" xfId="0" applyNumberFormat="1" applyFont="1" applyBorder="1" applyAlignment="1">
      <alignment horizontal="center" vertical="center" wrapText="1"/>
    </xf>
    <xf numFmtId="0" fontId="5" fillId="0" borderId="4" xfId="0" applyNumberFormat="1" applyFont="1" applyBorder="1" applyAlignment="1">
      <alignment horizontal="left" vertical="center" wrapText="1"/>
    </xf>
    <xf numFmtId="9" fontId="5" fillId="0" borderId="4" xfId="0" applyNumberFormat="1" applyFont="1" applyBorder="1" applyAlignment="1">
      <alignment horizontal="center" vertical="center" wrapText="1"/>
    </xf>
    <xf numFmtId="0" fontId="5" fillId="0" borderId="2" xfId="0" applyNumberFormat="1" applyFont="1" applyFill="1" applyBorder="1" applyAlignment="1">
      <alignment horizontal="left" vertical="center" wrapText="1"/>
    </xf>
    <xf numFmtId="0" fontId="7" fillId="0" borderId="0" xfId="0" applyNumberFormat="1" applyFont="1" applyFill="1" applyAlignment="1">
      <alignment vertical="center" wrapText="1"/>
    </xf>
    <xf numFmtId="0" fontId="7" fillId="0" borderId="0" xfId="0" applyNumberFormat="1" applyFont="1" applyFill="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left" vertical="center" wrapText="1"/>
    </xf>
    <xf numFmtId="9" fontId="8"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xf>
    <xf numFmtId="0" fontId="9" fillId="0" borderId="0" xfId="0" applyNumberFormat="1" applyFont="1" applyFill="1" applyAlignment="1">
      <alignment vertical="center"/>
    </xf>
    <xf numFmtId="0" fontId="10" fillId="0" borderId="1"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xf>
    <xf numFmtId="0" fontId="11" fillId="0" borderId="1" xfId="0" applyNumberFormat="1" applyFont="1" applyFill="1" applyBorder="1" applyAlignment="1">
      <alignment horizontal="left" vertical="center" wrapText="1"/>
    </xf>
    <xf numFmtId="9" fontId="11" fillId="0" borderId="1" xfId="0" applyNumberFormat="1" applyFont="1" applyFill="1" applyBorder="1" applyAlignment="1">
      <alignment horizontal="center" vertical="center" wrapText="1"/>
    </xf>
    <xf numFmtId="177" fontId="11" fillId="0" borderId="1" xfId="0" applyNumberFormat="1" applyFont="1" applyFill="1" applyBorder="1" applyAlignment="1">
      <alignment horizontal="center" vertical="center"/>
    </xf>
    <xf numFmtId="0" fontId="11" fillId="0" borderId="1" xfId="0" applyNumberFormat="1" applyFont="1" applyFill="1" applyBorder="1" applyAlignment="1">
      <alignment horizontal="left" vertical="center"/>
    </xf>
    <xf numFmtId="0" fontId="11" fillId="0" borderId="1" xfId="0" applyNumberFormat="1" applyFont="1" applyFill="1" applyBorder="1" applyAlignment="1">
      <alignment vertical="center"/>
    </xf>
    <xf numFmtId="0" fontId="11" fillId="3" borderId="1" xfId="0" applyNumberFormat="1" applyFont="1" applyFill="1" applyBorder="1" applyAlignment="1">
      <alignment horizontal="center" vertical="center"/>
    </xf>
    <xf numFmtId="9" fontId="11" fillId="3" borderId="1" xfId="0" applyNumberFormat="1" applyFont="1" applyFill="1" applyBorder="1" applyAlignment="1">
      <alignment vertical="center"/>
    </xf>
    <xf numFmtId="0" fontId="11" fillId="3" borderId="1" xfId="0" applyNumberFormat="1" applyFont="1" applyFill="1" applyBorder="1" applyAlignment="1">
      <alignment vertical="center"/>
    </xf>
    <xf numFmtId="177" fontId="11" fillId="3" borderId="1" xfId="0" applyNumberFormat="1" applyFont="1" applyFill="1" applyBorder="1" applyAlignment="1">
      <alignment horizontal="center" vertical="center"/>
    </xf>
    <xf numFmtId="0" fontId="12" fillId="0" borderId="1" xfId="0" applyNumberFormat="1" applyFont="1" applyFill="1" applyBorder="1" applyAlignment="1">
      <alignment vertical="center" wrapText="1"/>
    </xf>
    <xf numFmtId="9" fontId="11" fillId="0" borderId="1" xfId="0" applyNumberFormat="1" applyFont="1" applyFill="1" applyBorder="1" applyAlignment="1">
      <alignment horizontal="center" vertical="center"/>
    </xf>
    <xf numFmtId="0" fontId="11" fillId="0" borderId="1" xfId="0" applyNumberFormat="1" applyFont="1" applyFill="1" applyBorder="1" applyAlignment="1">
      <alignment vertical="center" wrapText="1"/>
    </xf>
    <xf numFmtId="0" fontId="1" fillId="0" borderId="0" xfId="0" applyNumberFormat="1" applyFont="1" applyAlignment="1">
      <alignment vertical="center" wrapText="1"/>
    </xf>
    <xf numFmtId="0" fontId="1" fillId="0" borderId="0" xfId="0" applyNumberFormat="1" applyFont="1" applyAlignment="1">
      <alignment horizontal="center" vertical="center" wrapText="1"/>
    </xf>
    <xf numFmtId="0" fontId="13" fillId="0" borderId="1" xfId="0" applyNumberFormat="1" applyFont="1" applyBorder="1" applyAlignment="1">
      <alignment horizontal="center" vertical="center" wrapText="1"/>
    </xf>
    <xf numFmtId="0" fontId="14" fillId="0" borderId="1" xfId="0" applyNumberFormat="1" applyFont="1" applyBorder="1" applyAlignment="1">
      <alignment horizontal="center" vertical="center"/>
    </xf>
    <xf numFmtId="0" fontId="5" fillId="0" borderId="2" xfId="0" applyNumberFormat="1" applyFont="1" applyBorder="1" applyAlignment="1">
      <alignment horizontal="center" vertical="center"/>
    </xf>
    <xf numFmtId="0" fontId="15" fillId="0" borderId="1" xfId="0" applyNumberFormat="1" applyFont="1" applyBorder="1" applyAlignment="1">
      <alignment horizontal="left" vertical="center" wrapText="1"/>
    </xf>
    <xf numFmtId="0" fontId="15" fillId="2" borderId="1" xfId="0" applyNumberFormat="1" applyFont="1" applyFill="1" applyBorder="1" applyAlignment="1">
      <alignment horizontal="center" vertical="center" wrapText="1"/>
    </xf>
    <xf numFmtId="0" fontId="5" fillId="0" borderId="4" xfId="0" applyNumberFormat="1" applyFont="1" applyBorder="1" applyAlignment="1">
      <alignment horizontal="center" vertical="center"/>
    </xf>
    <xf numFmtId="0" fontId="15" fillId="0" borderId="1" xfId="0" applyNumberFormat="1" applyFont="1" applyBorder="1" applyAlignment="1">
      <alignment horizontal="center" vertical="center" wrapText="1"/>
    </xf>
    <xf numFmtId="0" fontId="15" fillId="0" borderId="1" xfId="0" applyNumberFormat="1" applyFont="1" applyBorder="1" applyAlignment="1">
      <alignment vertical="center" wrapText="1"/>
    </xf>
    <xf numFmtId="176" fontId="2" fillId="0" borderId="9" xfId="0" applyFont="1" applyBorder="1" applyAlignment="1">
      <alignment horizontal="center" vertical="center" wrapText="1"/>
    </xf>
    <xf numFmtId="176" fontId="4" fillId="0" borderId="9" xfId="0" applyFont="1" applyBorder="1" applyAlignment="1">
      <alignment horizontal="left" vertical="center"/>
    </xf>
    <xf numFmtId="176" fontId="5" fillId="0" borderId="9" xfId="0" applyFont="1" applyBorder="1" applyAlignment="1">
      <alignment horizontal="center" vertical="center" wrapText="1"/>
    </xf>
    <xf numFmtId="176" fontId="5" fillId="0" borderId="9" xfId="0" applyFont="1" applyBorder="1" applyAlignment="1">
      <alignment horizontal="center" vertical="center"/>
    </xf>
    <xf numFmtId="0" fontId="5" fillId="0" borderId="9" xfId="0" applyNumberFormat="1" applyFont="1" applyBorder="1" applyAlignment="1">
      <alignment horizontal="left" vertical="center" wrapText="1"/>
    </xf>
    <xf numFmtId="0" fontId="5" fillId="0" borderId="10" xfId="0" applyNumberFormat="1" applyFont="1" applyBorder="1" applyAlignment="1">
      <alignment horizontal="center" vertical="center" wrapText="1"/>
    </xf>
    <xf numFmtId="9" fontId="5" fillId="0" borderId="9" xfId="0" applyNumberFormat="1" applyFont="1" applyBorder="1" applyAlignment="1">
      <alignment horizontal="center" vertical="center" wrapText="1"/>
    </xf>
    <xf numFmtId="177" fontId="5" fillId="0" borderId="9" xfId="0" applyNumberFormat="1" applyFont="1" applyBorder="1" applyAlignment="1">
      <alignment horizontal="center" vertical="center"/>
    </xf>
    <xf numFmtId="176" fontId="2" fillId="0" borderId="6" xfId="0" applyFont="1" applyBorder="1" applyAlignment="1">
      <alignment horizontal="center" vertical="center" wrapText="1"/>
    </xf>
    <xf numFmtId="176" fontId="4" fillId="0" borderId="6" xfId="0" applyFont="1" applyBorder="1" applyAlignment="1">
      <alignment horizontal="left" vertical="center"/>
    </xf>
    <xf numFmtId="176" fontId="5" fillId="0" borderId="6" xfId="0" applyFont="1" applyBorder="1" applyAlignment="1">
      <alignment horizontal="center" vertical="center" wrapText="1"/>
    </xf>
    <xf numFmtId="176" fontId="5" fillId="0" borderId="6" xfId="0" applyFont="1" applyBorder="1" applyAlignment="1">
      <alignment horizontal="center" vertical="center"/>
    </xf>
    <xf numFmtId="0" fontId="5" fillId="0" borderId="6" xfId="0" applyNumberFormat="1" applyFont="1" applyBorder="1" applyAlignment="1">
      <alignment vertical="center"/>
    </xf>
    <xf numFmtId="0" fontId="5" fillId="0" borderId="11" xfId="0" applyNumberFormat="1" applyFont="1" applyBorder="1" applyAlignment="1">
      <alignment horizontal="center" vertical="center" wrapText="1"/>
    </xf>
    <xf numFmtId="9" fontId="5" fillId="0" borderId="6" xfId="0" applyNumberFormat="1" applyFont="1" applyBorder="1" applyAlignment="1">
      <alignment horizontal="center" vertical="center" wrapText="1"/>
    </xf>
    <xf numFmtId="177" fontId="5" fillId="0" borderId="6" xfId="0" applyNumberFormat="1" applyFont="1" applyBorder="1" applyAlignment="1">
      <alignment horizontal="center" vertical="center"/>
    </xf>
    <xf numFmtId="176" fontId="5" fillId="3" borderId="6" xfId="0" applyFont="1" applyFill="1" applyBorder="1" applyAlignment="1">
      <alignment horizontal="center" vertical="center"/>
    </xf>
    <xf numFmtId="176" fontId="5" fillId="3" borderId="8" xfId="0" applyFont="1" applyFill="1" applyBorder="1" applyAlignment="1">
      <alignment horizontal="center" vertical="center"/>
    </xf>
    <xf numFmtId="9" fontId="5" fillId="3" borderId="6" xfId="0" applyNumberFormat="1" applyFont="1" applyFill="1" applyBorder="1" applyAlignment="1">
      <alignment vertical="center"/>
    </xf>
    <xf numFmtId="176" fontId="5" fillId="3" borderId="6" xfId="0" applyFont="1" applyFill="1" applyBorder="1" applyAlignment="1">
      <alignment vertical="center"/>
    </xf>
    <xf numFmtId="177" fontId="5" fillId="3" borderId="6" xfId="0" applyNumberFormat="1" applyFont="1" applyFill="1" applyBorder="1" applyAlignment="1">
      <alignment horizontal="center" vertical="center"/>
    </xf>
    <xf numFmtId="176" fontId="5" fillId="0" borderId="12" xfId="0" applyFont="1" applyBorder="1" applyAlignment="1">
      <alignment horizontal="center" vertical="center"/>
    </xf>
    <xf numFmtId="176" fontId="4" fillId="0" borderId="6" xfId="0" applyFont="1" applyBorder="1" applyAlignment="1">
      <alignment horizontal="left" vertical="center" wrapText="1"/>
    </xf>
    <xf numFmtId="9" fontId="5" fillId="0" borderId="13" xfId="0" applyNumberFormat="1" applyFont="1" applyBorder="1" applyAlignment="1">
      <alignment horizontal="center" vertical="center"/>
    </xf>
    <xf numFmtId="176" fontId="4" fillId="0" borderId="6" xfId="0" applyFont="1" applyBorder="1" applyAlignment="1">
      <alignment vertical="center"/>
    </xf>
    <xf numFmtId="176" fontId="5" fillId="0" borderId="6" xfId="0" applyFont="1" applyBorder="1" applyAlignment="1">
      <alignment vertical="center" wrapText="1"/>
    </xf>
    <xf numFmtId="176" fontId="5" fillId="0" borderId="13" xfId="0" applyFont="1" applyBorder="1" applyAlignment="1">
      <alignment horizontal="center" vertical="center" wrapText="1"/>
    </xf>
    <xf numFmtId="176" fontId="5" fillId="0" borderId="8" xfId="0" applyFont="1" applyBorder="1" applyAlignment="1">
      <alignment horizontal="left" vertical="center" wrapText="1"/>
    </xf>
    <xf numFmtId="176" fontId="5" fillId="0" borderId="9" xfId="0" applyFont="1" applyBorder="1" applyAlignment="1">
      <alignment horizontal="left" vertical="center" wrapText="1"/>
    </xf>
    <xf numFmtId="176" fontId="5" fillId="0" borderId="9" xfId="0" applyFont="1" applyBorder="1" applyAlignment="1">
      <alignment vertical="center"/>
    </xf>
    <xf numFmtId="0" fontId="5" fillId="0" borderId="6" xfId="0" applyNumberFormat="1" applyFont="1" applyBorder="1" applyAlignment="1">
      <alignment vertical="center" wrapText="1"/>
    </xf>
    <xf numFmtId="9" fontId="5" fillId="0" borderId="6" xfId="0" applyNumberFormat="1" applyFont="1" applyBorder="1" applyAlignment="1">
      <alignment horizontal="center" vertical="center"/>
    </xf>
    <xf numFmtId="176" fontId="5" fillId="0" borderId="8" xfId="0" applyFont="1" applyBorder="1" applyAlignment="1">
      <alignment horizontal="center" vertical="center"/>
    </xf>
    <xf numFmtId="176" fontId="5" fillId="0" borderId="8" xfId="0" applyFont="1" applyBorder="1" applyAlignment="1">
      <alignment horizontal="center" vertical="center" wrapText="1"/>
    </xf>
    <xf numFmtId="0" fontId="5" fillId="0" borderId="8" xfId="0" applyNumberFormat="1" applyFont="1" applyBorder="1" applyAlignment="1">
      <alignment horizontal="left" vertical="center" wrapText="1"/>
    </xf>
    <xf numFmtId="0" fontId="5" fillId="0" borderId="14" xfId="0" applyNumberFormat="1" applyFont="1" applyBorder="1" applyAlignment="1">
      <alignment horizontal="left" vertical="center" wrapText="1"/>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1" xfId="0" applyFont="1" applyBorder="1" applyAlignment="1">
      <alignment horizontal="left" vertical="center" wrapText="1"/>
    </xf>
    <xf numFmtId="176" fontId="5" fillId="0" borderId="1" xfId="0" applyFont="1" applyBorder="1" applyAlignment="1">
      <alignment vertical="center"/>
    </xf>
    <xf numFmtId="0" fontId="5" fillId="0" borderId="1" xfId="0" applyNumberFormat="1" applyFont="1" applyBorder="1" applyAlignment="1">
      <alignment vertical="center"/>
    </xf>
    <xf numFmtId="176" fontId="5" fillId="2" borderId="1" xfId="0" applyFont="1" applyFill="1" applyBorder="1" applyAlignment="1">
      <alignment horizontal="center" vertical="center" wrapText="1"/>
    </xf>
    <xf numFmtId="176" fontId="5" fillId="3" borderId="1" xfId="0" applyFont="1" applyFill="1" applyBorder="1" applyAlignment="1">
      <alignment horizontal="center" vertical="center"/>
    </xf>
    <xf numFmtId="176" fontId="5" fillId="3" borderId="1" xfId="0" applyFont="1" applyFill="1" applyBorder="1" applyAlignment="1">
      <alignment vertical="center"/>
    </xf>
    <xf numFmtId="9" fontId="5" fillId="0" borderId="2" xfId="0" applyNumberFormat="1" applyFont="1" applyFill="1" applyBorder="1" applyAlignment="1">
      <alignment horizontal="center" vertical="center" wrapText="1"/>
    </xf>
    <xf numFmtId="0" fontId="5" fillId="0" borderId="1" xfId="0" applyNumberFormat="1" applyFont="1" applyFill="1" applyBorder="1" applyAlignment="1">
      <alignment vertical="center" wrapText="1"/>
    </xf>
    <xf numFmtId="9" fontId="5" fillId="0" borderId="3" xfId="0" applyNumberFormat="1" applyFont="1" applyFill="1" applyBorder="1" applyAlignment="1">
      <alignment horizontal="center" vertical="center" wrapText="1"/>
    </xf>
    <xf numFmtId="9" fontId="5" fillId="0" borderId="1" xfId="0" applyNumberFormat="1" applyFont="1" applyFill="1" applyBorder="1" applyAlignment="1" applyProtection="1">
      <alignment horizontal="center" vertical="center" wrapText="1"/>
    </xf>
    <xf numFmtId="0" fontId="5" fillId="2" borderId="2" xfId="0" applyNumberFormat="1" applyFont="1" applyFill="1" applyBorder="1" applyAlignment="1">
      <alignment horizontal="center" vertical="center" wrapText="1"/>
    </xf>
    <xf numFmtId="0" fontId="5" fillId="2" borderId="4" xfId="0" applyNumberFormat="1" applyFont="1" applyFill="1" applyBorder="1" applyAlignment="1">
      <alignment horizontal="center" vertical="center" wrapText="1"/>
    </xf>
    <xf numFmtId="0" fontId="15" fillId="0" borderId="1" xfId="0" applyNumberFormat="1"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5" fillId="2" borderId="2" xfId="0" applyNumberFormat="1" applyFont="1" applyFill="1" applyBorder="1" applyAlignment="1">
      <alignment horizontal="center" vertical="center"/>
    </xf>
    <xf numFmtId="0" fontId="5" fillId="2" borderId="4" xfId="0" applyNumberFormat="1" applyFont="1" applyFill="1" applyBorder="1" applyAlignment="1">
      <alignment horizontal="center" vertical="center"/>
    </xf>
    <xf numFmtId="0" fontId="5" fillId="0" borderId="4" xfId="0" applyNumberFormat="1" applyFont="1" applyFill="1" applyBorder="1" applyAlignment="1">
      <alignment horizontal="left" vertical="center" wrapText="1"/>
    </xf>
    <xf numFmtId="0" fontId="15" fillId="2" borderId="1" xfId="0" applyNumberFormat="1" applyFont="1" applyFill="1" applyBorder="1" applyAlignment="1">
      <alignment horizontal="left" vertical="center" wrapText="1"/>
    </xf>
    <xf numFmtId="0" fontId="13" fillId="0" borderId="1" xfId="0" applyNumberFormat="1" applyFont="1" applyFill="1" applyBorder="1" applyAlignment="1">
      <alignment horizontal="center" vertical="center" wrapText="1"/>
    </xf>
    <xf numFmtId="0" fontId="15" fillId="0" borderId="1" xfId="0" applyNumberFormat="1" applyFont="1" applyFill="1" applyBorder="1" applyAlignment="1">
      <alignment vertical="center" wrapText="1"/>
    </xf>
    <xf numFmtId="0" fontId="1" fillId="0" borderId="1" xfId="0" applyNumberFormat="1" applyFont="1" applyFill="1" applyBorder="1" applyAlignment="1">
      <alignment horizontal="center" vertical="center" wrapText="1"/>
    </xf>
    <xf numFmtId="0" fontId="16" fillId="0" borderId="1" xfId="0" applyNumberFormat="1" applyFont="1" applyFill="1" applyBorder="1" applyAlignment="1">
      <alignment horizontal="left" vertical="center"/>
    </xf>
    <xf numFmtId="0"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left" vertical="center" wrapText="1"/>
    </xf>
    <xf numFmtId="0" fontId="9" fillId="2" borderId="1" xfId="0" applyNumberFormat="1" applyFont="1" applyFill="1" applyBorder="1" applyAlignment="1">
      <alignment horizontal="center" vertical="center" wrapText="1"/>
    </xf>
    <xf numFmtId="9" fontId="9" fillId="0" borderId="1" xfId="0" applyNumberFormat="1" applyFont="1" applyFill="1" applyBorder="1" applyAlignment="1">
      <alignment horizontal="center" vertical="center" wrapText="1"/>
    </xf>
    <xf numFmtId="177" fontId="17" fillId="0" borderId="1" xfId="0" applyNumberFormat="1" applyFont="1" applyFill="1" applyBorder="1" applyAlignment="1">
      <alignment horizontal="center" vertical="center"/>
    </xf>
    <xf numFmtId="177" fontId="9" fillId="0" borderId="1" xfId="0" applyNumberFormat="1" applyFont="1" applyFill="1" applyBorder="1" applyAlignment="1">
      <alignment horizontal="center" vertical="center"/>
    </xf>
    <xf numFmtId="0" fontId="9" fillId="3" borderId="1" xfId="0" applyNumberFormat="1" applyFont="1" applyFill="1" applyBorder="1" applyAlignment="1">
      <alignment horizontal="center" vertical="center"/>
    </xf>
    <xf numFmtId="9" fontId="9" fillId="3" borderId="1" xfId="0" applyNumberFormat="1" applyFont="1" applyFill="1" applyBorder="1" applyAlignment="1">
      <alignment vertical="center"/>
    </xf>
    <xf numFmtId="0" fontId="9" fillId="3" borderId="1" xfId="0" applyNumberFormat="1" applyFont="1" applyFill="1" applyBorder="1" applyAlignment="1">
      <alignment vertical="center"/>
    </xf>
    <xf numFmtId="177" fontId="9" fillId="3" borderId="1" xfId="0" applyNumberFormat="1" applyFont="1" applyFill="1" applyBorder="1" applyAlignment="1">
      <alignment horizontal="center" vertical="center"/>
    </xf>
    <xf numFmtId="0" fontId="18" fillId="0" borderId="1" xfId="0" applyNumberFormat="1" applyFont="1" applyFill="1" applyBorder="1" applyAlignment="1">
      <alignment horizontal="left" vertical="center" wrapText="1"/>
    </xf>
    <xf numFmtId="9" fontId="9" fillId="0" borderId="1"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19" fillId="4" borderId="1" xfId="0" applyFont="1" applyFill="1" applyBorder="1" applyAlignment="1">
      <alignment horizontal="center" vertical="center"/>
    </xf>
    <xf numFmtId="0" fontId="20" fillId="4" borderId="1" xfId="0" applyNumberFormat="1" applyFont="1" applyFill="1" applyBorder="1" applyAlignment="1">
      <alignment horizontal="center" vertical="center"/>
    </xf>
    <xf numFmtId="176" fontId="20" fillId="4" borderId="1" xfId="0" applyFont="1" applyFill="1" applyBorder="1" applyAlignment="1">
      <alignment horizontal="center" vertical="center"/>
    </xf>
    <xf numFmtId="9" fontId="20" fillId="4" borderId="1" xfId="0" applyNumberFormat="1" applyFont="1" applyFill="1" applyBorder="1" applyAlignment="1">
      <alignment horizontal="center" vertical="center"/>
    </xf>
    <xf numFmtId="0" fontId="20" fillId="4" borderId="1" xfId="0" applyNumberFormat="1" applyFont="1" applyFill="1" applyBorder="1" applyAlignment="1">
      <alignment horizontal="center" vertical="center" wrapText="1"/>
    </xf>
    <xf numFmtId="49" fontId="20" fillId="4" borderId="1" xfId="0" applyNumberFormat="1" applyFont="1" applyFill="1" applyBorder="1" applyAlignment="1">
      <alignment horizontal="center" vertical="center" wrapText="1"/>
    </xf>
    <xf numFmtId="176" fontId="20" fillId="4" borderId="1" xfId="0" applyFont="1" applyFill="1" applyBorder="1" applyAlignment="1">
      <alignment horizontal="center" vertical="center" wrapText="1"/>
    </xf>
    <xf numFmtId="0" fontId="21" fillId="0" borderId="1" xfId="0" applyNumberFormat="1" applyFont="1" applyBorder="1" applyAlignment="1">
      <alignment horizontal="center" vertical="center"/>
    </xf>
    <xf numFmtId="176" fontId="21" fillId="0" borderId="2" xfId="0" applyFont="1" applyBorder="1" applyAlignment="1">
      <alignment horizontal="center" vertical="center" wrapText="1"/>
    </xf>
    <xf numFmtId="176" fontId="21" fillId="0" borderId="1" xfId="0" applyFont="1" applyBorder="1" applyAlignment="1">
      <alignment horizontal="center" vertical="center" wrapText="1"/>
    </xf>
    <xf numFmtId="176" fontId="21" fillId="0" borderId="1" xfId="0" applyFont="1" applyBorder="1" applyAlignment="1">
      <alignment vertical="center"/>
    </xf>
    <xf numFmtId="176" fontId="21" fillId="0" borderId="1" xfId="0" applyFont="1" applyBorder="1" applyAlignment="1">
      <alignment horizontal="center" vertical="center"/>
    </xf>
    <xf numFmtId="9" fontId="21" fillId="0" borderId="1" xfId="0" applyNumberFormat="1" applyFont="1" applyBorder="1" applyAlignment="1">
      <alignment horizontal="center" vertical="center"/>
    </xf>
    <xf numFmtId="0" fontId="21" fillId="0" borderId="1" xfId="0" applyNumberFormat="1" applyFont="1" applyBorder="1" applyAlignment="1">
      <alignment horizontal="center" vertical="center" wrapText="1"/>
    </xf>
    <xf numFmtId="0" fontId="21" fillId="0" borderId="1" xfId="0" applyNumberFormat="1" applyFont="1" applyFill="1" applyBorder="1" applyAlignment="1">
      <alignment horizontal="center" vertical="center" wrapText="1"/>
    </xf>
    <xf numFmtId="176" fontId="21" fillId="0" borderId="1" xfId="0" applyFont="1" applyBorder="1" applyAlignment="1">
      <alignment vertical="center" wrapText="1"/>
    </xf>
    <xf numFmtId="176" fontId="21" fillId="0" borderId="3" xfId="0" applyFont="1" applyBorder="1" applyAlignment="1">
      <alignment horizontal="center" vertical="center"/>
    </xf>
    <xf numFmtId="9" fontId="21" fillId="0" borderId="1" xfId="0" applyNumberFormat="1" applyFont="1" applyFill="1" applyBorder="1" applyAlignment="1" applyProtection="1">
      <alignment horizontal="center" vertical="center"/>
    </xf>
    <xf numFmtId="176" fontId="21" fillId="0" borderId="1" xfId="0" applyFont="1" applyFill="1" applyBorder="1" applyAlignment="1">
      <alignment horizontal="center" vertical="center"/>
    </xf>
    <xf numFmtId="176" fontId="21" fillId="5" borderId="1" xfId="0" applyFont="1" applyFill="1" applyBorder="1" applyAlignment="1">
      <alignment horizontal="center" vertical="center"/>
    </xf>
    <xf numFmtId="9" fontId="21" fillId="0" borderId="1" xfId="0" applyNumberFormat="1" applyFont="1" applyFill="1" applyBorder="1" applyAlignment="1">
      <alignment horizontal="center" vertical="center"/>
    </xf>
    <xf numFmtId="176" fontId="21" fillId="5" borderId="1" xfId="0" applyFont="1" applyFill="1" applyBorder="1" applyAlignment="1">
      <alignment horizontal="center" vertical="center" wrapText="1"/>
    </xf>
    <xf numFmtId="0" fontId="21" fillId="0" borderId="1" xfId="0" applyNumberFormat="1" applyFont="1" applyFill="1" applyBorder="1" applyAlignment="1">
      <alignment horizontal="center" vertical="center"/>
    </xf>
    <xf numFmtId="176" fontId="21" fillId="0" borderId="1" xfId="0" applyFont="1" applyFill="1" applyBorder="1" applyAlignment="1">
      <alignment vertical="center"/>
    </xf>
    <xf numFmtId="176" fontId="21" fillId="0" borderId="1" xfId="0"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176" fontId="21" fillId="0" borderId="1" xfId="0" applyFont="1" applyBorder="1"/>
    <xf numFmtId="0" fontId="21" fillId="0" borderId="15" xfId="0" applyNumberFormat="1" applyFont="1" applyBorder="1" applyAlignment="1">
      <alignment horizontal="center" vertical="center"/>
    </xf>
    <xf numFmtId="176" fontId="21" fillId="0" borderId="16" xfId="0" applyFont="1" applyBorder="1" applyAlignment="1">
      <alignment horizontal="center" vertical="center"/>
    </xf>
    <xf numFmtId="176" fontId="21" fillId="0" borderId="15" xfId="0" applyFont="1" applyBorder="1" applyAlignment="1">
      <alignment horizontal="center" vertical="center"/>
    </xf>
    <xf numFmtId="176" fontId="21" fillId="4" borderId="15" xfId="0" applyFont="1" applyFill="1" applyBorder="1" applyAlignment="1">
      <alignment horizontal="center" vertical="center"/>
    </xf>
    <xf numFmtId="0" fontId="21" fillId="4" borderId="15" xfId="0" applyNumberFormat="1" applyFont="1" applyFill="1" applyBorder="1" applyAlignment="1">
      <alignment horizontal="center" vertical="center"/>
    </xf>
    <xf numFmtId="176" fontId="21" fillId="4" borderId="15" xfId="0" applyFont="1" applyFill="1" applyBorder="1" applyAlignment="1">
      <alignment horizontal="center" vertical="center" wrapText="1"/>
    </xf>
    <xf numFmtId="9" fontId="21" fillId="4" borderId="15" xfId="0" applyNumberFormat="1" applyFont="1" applyFill="1" applyBorder="1" applyAlignment="1">
      <alignment horizontal="center" vertical="center"/>
    </xf>
    <xf numFmtId="176" fontId="21" fillId="0" borderId="15" xfId="0" applyFont="1" applyBorder="1" applyAlignment="1">
      <alignment horizontal="center" vertical="center" wrapText="1"/>
    </xf>
    <xf numFmtId="0" fontId="21" fillId="0" borderId="4" xfId="0" applyNumberFormat="1" applyFont="1" applyBorder="1" applyAlignment="1">
      <alignment horizontal="center" vertical="center"/>
    </xf>
    <xf numFmtId="176" fontId="21" fillId="0" borderId="3" xfId="0" applyFont="1" applyBorder="1" applyAlignment="1">
      <alignment horizontal="center" vertical="center" wrapText="1"/>
    </xf>
    <xf numFmtId="0" fontId="21" fillId="0" borderId="4" xfId="0" applyNumberFormat="1" applyFont="1" applyFill="1" applyBorder="1" applyAlignment="1">
      <alignment horizontal="center" vertical="center"/>
    </xf>
    <xf numFmtId="176" fontId="21" fillId="0" borderId="4" xfId="0" applyFont="1" applyFill="1" applyBorder="1" applyAlignment="1">
      <alignment vertical="center"/>
    </xf>
    <xf numFmtId="176" fontId="21" fillId="0" borderId="4" xfId="0" applyFont="1" applyFill="1" applyBorder="1" applyAlignment="1">
      <alignment horizontal="center" vertical="center"/>
    </xf>
    <xf numFmtId="9" fontId="21" fillId="0" borderId="4" xfId="0" applyNumberFormat="1" applyFont="1" applyFill="1" applyBorder="1" applyAlignment="1">
      <alignment horizontal="center" vertical="center"/>
    </xf>
    <xf numFmtId="0" fontId="21" fillId="0" borderId="4" xfId="0" applyNumberFormat="1" applyFont="1" applyFill="1" applyBorder="1" applyAlignment="1">
      <alignment horizontal="center" vertical="center" wrapText="1"/>
    </xf>
    <xf numFmtId="176" fontId="22" fillId="0" borderId="4" xfId="0" applyFont="1" applyFill="1" applyBorder="1" applyAlignment="1">
      <alignment vertical="center" wrapText="1"/>
    </xf>
    <xf numFmtId="0" fontId="21" fillId="0" borderId="2" xfId="0" applyNumberFormat="1" applyFont="1" applyBorder="1" applyAlignment="1">
      <alignment horizontal="center" vertical="center"/>
    </xf>
    <xf numFmtId="176" fontId="21" fillId="0" borderId="3" xfId="0" applyFont="1" applyBorder="1" applyAlignment="1">
      <alignment horizontal="center" vertical="center" wrapText="1"/>
    </xf>
    <xf numFmtId="176" fontId="21" fillId="0" borderId="3" xfId="0" applyFont="1" applyBorder="1" applyAlignment="1">
      <alignment horizontal="center" vertical="center" wrapText="1"/>
    </xf>
    <xf numFmtId="176" fontId="21" fillId="0" borderId="2" xfId="0" applyFont="1" applyBorder="1" applyAlignment="1">
      <alignment vertical="center"/>
    </xf>
    <xf numFmtId="176" fontId="21" fillId="0" borderId="2" xfId="0" applyFont="1" applyBorder="1" applyAlignment="1">
      <alignment horizontal="center" vertical="center"/>
    </xf>
    <xf numFmtId="9" fontId="21" fillId="0" borderId="2" xfId="0" applyNumberFormat="1" applyFont="1" applyBorder="1" applyAlignment="1">
      <alignment horizontal="center" vertical="center"/>
    </xf>
    <xf numFmtId="0" fontId="21" fillId="0" borderId="2" xfId="0" applyNumberFormat="1" applyFont="1" applyBorder="1" applyAlignment="1">
      <alignment horizontal="center" vertical="center" wrapText="1"/>
    </xf>
    <xf numFmtId="176" fontId="21" fillId="0" borderId="2" xfId="0" applyFont="1" applyBorder="1" applyAlignment="1">
      <alignment horizontal="center" vertical="center" wrapText="1"/>
    </xf>
    <xf numFmtId="0" fontId="21" fillId="0" borderId="2" xfId="0" applyNumberFormat="1" applyFont="1" applyFill="1" applyBorder="1" applyAlignment="1">
      <alignment horizontal="center" vertical="center" wrapText="1"/>
    </xf>
    <xf numFmtId="176" fontId="21" fillId="0" borderId="2" xfId="0" applyFont="1" applyBorder="1" applyAlignment="1">
      <alignment vertical="center" wrapText="1"/>
    </xf>
    <xf numFmtId="176" fontId="21" fillId="0" borderId="2" xfId="0" applyFont="1" applyFill="1" applyBorder="1" applyAlignment="1">
      <alignment horizontal="center" vertical="center"/>
    </xf>
    <xf numFmtId="176" fontId="21" fillId="0" borderId="16" xfId="0" applyFont="1" applyBorder="1" applyAlignment="1">
      <alignment horizontal="center" vertical="center" wrapText="1"/>
    </xf>
    <xf numFmtId="176" fontId="21" fillId="0" borderId="4" xfId="0" applyFont="1" applyBorder="1" applyAlignment="1">
      <alignment horizontal="center" vertical="center" wrapText="1"/>
    </xf>
    <xf numFmtId="176" fontId="21" fillId="0" borderId="4" xfId="0" applyFont="1" applyBorder="1" applyAlignment="1">
      <alignment vertical="center"/>
    </xf>
    <xf numFmtId="176" fontId="21" fillId="0" borderId="4" xfId="0" applyFont="1" applyFill="1" applyBorder="1" applyAlignment="1">
      <alignment horizontal="center" vertical="center" wrapText="1"/>
    </xf>
    <xf numFmtId="176" fontId="21" fillId="0" borderId="4" xfId="0" applyFont="1" applyFill="1" applyBorder="1" applyAlignment="1">
      <alignment vertical="center" wrapText="1"/>
    </xf>
    <xf numFmtId="176" fontId="22" fillId="0" borderId="1" xfId="0" applyFont="1" applyFill="1" applyBorder="1" applyAlignment="1">
      <alignment vertical="center" wrapText="1"/>
    </xf>
    <xf numFmtId="176" fontId="21" fillId="3" borderId="1" xfId="0" applyFont="1" applyFill="1" applyBorder="1" applyAlignment="1">
      <alignment vertical="center"/>
    </xf>
    <xf numFmtId="0" fontId="21" fillId="0" borderId="5"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176" fontId="21" fillId="0" borderId="4" xfId="0" applyFont="1" applyBorder="1" applyAlignment="1">
      <alignment horizontal="center" vertical="center"/>
    </xf>
    <xf numFmtId="9" fontId="21" fillId="0" borderId="4" xfId="0" applyNumberFormat="1" applyFont="1" applyBorder="1" applyAlignment="1">
      <alignment horizontal="center" vertical="center"/>
    </xf>
    <xf numFmtId="49" fontId="21" fillId="0" borderId="4" xfId="0" applyNumberFormat="1" applyFont="1" applyFill="1" applyBorder="1" applyAlignment="1">
      <alignment horizontal="center" vertical="center" wrapText="1"/>
    </xf>
    <xf numFmtId="176" fontId="21" fillId="0" borderId="4" xfId="0" applyFont="1" applyBorder="1" applyAlignment="1">
      <alignment vertical="center" wrapText="1"/>
    </xf>
    <xf numFmtId="0" fontId="21" fillId="0" borderId="0" xfId="0" applyNumberFormat="1" applyFont="1" applyAlignment="1">
      <alignment horizontal="center" vertical="center"/>
    </xf>
    <xf numFmtId="176" fontId="21" fillId="0" borderId="0" xfId="0" applyFont="1" applyAlignment="1">
      <alignment horizontal="center" vertical="center"/>
    </xf>
    <xf numFmtId="176" fontId="21" fillId="0" borderId="0" xfId="0" applyFont="1" applyAlignment="1">
      <alignment vertical="center"/>
    </xf>
    <xf numFmtId="0" fontId="21"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xf numFmtId="0" fontId="5" fillId="0" borderId="2"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6.2.23-2025.2.28&#39033;&#30446;&#21608;&#25253;&#27719;&#24635;-&#25151;&#2013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2.24-2025.2.28&#39033;&#30446;&#21608;&#25253;&#27719;&#24635;-&#20132;&#20184;-&#29289;&#19994;&#3245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6.2.24-2026.2.28&#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6.2.24-2025.2.28&#39033;&#30446;&#21608;&#25253;&#27719;&#24635;-&#20132;&#20184;-JD&#3245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26.2.24-2026.2.28&#39033;&#30446;&#21608;&#25253;&#27719;&#24635;-&#27719;&#25151;&#26234;&#36873;&#3709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6.2.24-2025.2.28&#39033;&#30446;&#21608;&#25253;_&#36719;&#20214;&#39033;&#30446;&#3709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1"/>
  <sheetViews>
    <sheetView tabSelected="1" zoomScale="70" zoomScaleNormal="70" workbookViewId="0">
      <selection activeCell="J14" sqref="J14"/>
    </sheetView>
  </sheetViews>
  <sheetFormatPr defaultColWidth="9" defaultRowHeight="13.8"/>
  <cols>
    <col min="1" max="1" width="7.11111111111111" style="185" customWidth="1"/>
    <col min="2" max="2" width="15.4444444444444" customWidth="1"/>
    <col min="3" max="3" width="14.4444444444444" customWidth="1"/>
    <col min="4" max="4" width="21.8888888888889" style="185"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186" customWidth="1"/>
    <col min="11" max="11" width="11.3333333333333" style="185" customWidth="1"/>
    <col min="12" max="12" width="20.6296296296296" customWidth="1"/>
    <col min="13" max="13" width="19.7777777777778" style="185" customWidth="1"/>
    <col min="14" max="14" width="20.1574074074074" style="185" customWidth="1"/>
    <col min="15" max="15" width="21.2685185185185" style="187" customWidth="1"/>
    <col min="16" max="16" width="19.2037037037037" customWidth="1"/>
    <col min="17" max="17" width="16.3518518518519" customWidth="1"/>
    <col min="18" max="18" width="50.1574074074074" customWidth="1"/>
  </cols>
  <sheetData>
    <row r="1" ht="37.5" customHeight="1" spans="1:18">
      <c r="A1" s="188" t="s">
        <v>0</v>
      </c>
      <c r="B1" s="188"/>
      <c r="C1" s="188"/>
      <c r="D1" s="188"/>
      <c r="E1" s="188"/>
      <c r="F1" s="188"/>
      <c r="G1" s="188"/>
      <c r="H1" s="188"/>
      <c r="I1" s="188"/>
      <c r="J1" s="188"/>
      <c r="K1" s="188"/>
      <c r="L1" s="188"/>
      <c r="M1" s="188"/>
      <c r="N1" s="188"/>
      <c r="O1" s="188"/>
      <c r="P1" s="188"/>
      <c r="Q1" s="188"/>
      <c r="R1" s="188"/>
    </row>
    <row r="2" ht="30" customHeight="1" spans="1:18">
      <c r="A2" s="189" t="s">
        <v>1</v>
      </c>
      <c r="B2" s="190" t="s">
        <v>2</v>
      </c>
      <c r="C2" s="190" t="s">
        <v>3</v>
      </c>
      <c r="D2" s="189" t="s">
        <v>4</v>
      </c>
      <c r="E2" s="190" t="s">
        <v>5</v>
      </c>
      <c r="F2" s="190" t="s">
        <v>6</v>
      </c>
      <c r="G2" s="190" t="s">
        <v>7</v>
      </c>
      <c r="H2" s="190" t="s">
        <v>8</v>
      </c>
      <c r="I2" s="190" t="s">
        <v>9</v>
      </c>
      <c r="J2" s="191" t="s">
        <v>10</v>
      </c>
      <c r="K2" s="192" t="s">
        <v>11</v>
      </c>
      <c r="L2" s="190" t="s">
        <v>12</v>
      </c>
      <c r="M2" s="189" t="s">
        <v>13</v>
      </c>
      <c r="N2" s="189" t="s">
        <v>14</v>
      </c>
      <c r="O2" s="193" t="s">
        <v>15</v>
      </c>
      <c r="P2" s="194" t="s">
        <v>16</v>
      </c>
      <c r="Q2" s="190" t="s">
        <v>17</v>
      </c>
      <c r="R2" s="190" t="s">
        <v>18</v>
      </c>
    </row>
    <row r="3" ht="23" customHeight="1" spans="1:18">
      <c r="A3" s="195">
        <v>1</v>
      </c>
      <c r="B3" s="196" t="s">
        <v>19</v>
      </c>
      <c r="C3" s="197" t="s">
        <v>20</v>
      </c>
      <c r="D3" s="195">
        <v>22220901</v>
      </c>
      <c r="E3" s="198" t="s">
        <v>21</v>
      </c>
      <c r="F3" s="199" t="s">
        <v>22</v>
      </c>
      <c r="G3" s="199" t="s">
        <v>23</v>
      </c>
      <c r="H3" s="199" t="s">
        <v>24</v>
      </c>
      <c r="I3" s="199" t="s">
        <v>25</v>
      </c>
      <c r="J3" s="200" t="s">
        <v>26</v>
      </c>
      <c r="K3" s="201" t="s">
        <v>27</v>
      </c>
      <c r="L3" s="199"/>
      <c r="M3" s="195">
        <v>14</v>
      </c>
      <c r="N3" s="195">
        <v>19.5</v>
      </c>
      <c r="O3" s="202" t="str">
        <f>N3-M3&amp;"("&amp;ROUND(((N3-M3)/M3*100),0)&amp;"%)"</f>
        <v>5.5(39%)</v>
      </c>
      <c r="P3" s="203"/>
      <c r="Q3" s="198"/>
      <c r="R3" s="199"/>
    </row>
    <row r="4" ht="23" customHeight="1" spans="1:18">
      <c r="A4" s="195">
        <v>2</v>
      </c>
      <c r="B4" s="204"/>
      <c r="C4" s="199"/>
      <c r="D4" s="195">
        <v>22250226</v>
      </c>
      <c r="E4" s="198" t="s">
        <v>28</v>
      </c>
      <c r="F4" s="199" t="s">
        <v>22</v>
      </c>
      <c r="G4" s="199" t="s">
        <v>29</v>
      </c>
      <c r="H4" s="199" t="s">
        <v>30</v>
      </c>
      <c r="I4" s="199" t="s">
        <v>25</v>
      </c>
      <c r="J4" s="205">
        <v>0.91</v>
      </c>
      <c r="K4" s="201" t="s">
        <v>31</v>
      </c>
      <c r="L4" s="199"/>
      <c r="M4" s="195">
        <v>20.5</v>
      </c>
      <c r="N4" s="195">
        <v>12.5</v>
      </c>
      <c r="O4" s="202" t="str">
        <f t="shared" ref="O4:O6" si="0">ROUND(N4-M4,2)&amp;"("&amp;ROUND(((N4-M4)/M4*100),0)&amp;"%)"</f>
        <v>-8(-39%)</v>
      </c>
      <c r="P4" s="203"/>
      <c r="Q4" s="198"/>
      <c r="R4" s="206"/>
    </row>
    <row r="5" ht="23" customHeight="1" spans="1:18">
      <c r="A5" s="195">
        <v>3</v>
      </c>
      <c r="B5" s="204"/>
      <c r="C5" s="199"/>
      <c r="D5" s="195">
        <v>22220202</v>
      </c>
      <c r="E5" s="198" t="s">
        <v>32</v>
      </c>
      <c r="F5" s="199" t="s">
        <v>33</v>
      </c>
      <c r="G5" s="197" t="s">
        <v>34</v>
      </c>
      <c r="H5" s="199" t="s">
        <v>35</v>
      </c>
      <c r="I5" s="199" t="s">
        <v>25</v>
      </c>
      <c r="J5" s="200" t="s">
        <v>26</v>
      </c>
      <c r="K5" s="201" t="s">
        <v>31</v>
      </c>
      <c r="L5" s="203"/>
      <c r="M5" s="195">
        <v>4.5</v>
      </c>
      <c r="N5" s="195">
        <v>0</v>
      </c>
      <c r="O5" s="202" t="str">
        <f t="shared" si="0"/>
        <v>-4.5(-100%)</v>
      </c>
      <c r="P5" s="197"/>
      <c r="Q5" s="198"/>
      <c r="R5" s="206"/>
    </row>
    <row r="6" ht="23" customHeight="1" spans="1:18">
      <c r="A6" s="195">
        <v>4</v>
      </c>
      <c r="B6" s="204"/>
      <c r="C6" s="199"/>
      <c r="D6" s="195">
        <v>22220701</v>
      </c>
      <c r="E6" s="198" t="s">
        <v>36</v>
      </c>
      <c r="F6" s="199" t="s">
        <v>33</v>
      </c>
      <c r="G6" s="197"/>
      <c r="H6" s="199" t="s">
        <v>35</v>
      </c>
      <c r="I6" s="199" t="s">
        <v>25</v>
      </c>
      <c r="J6" s="200" t="s">
        <v>26</v>
      </c>
      <c r="K6" s="201" t="s">
        <v>31</v>
      </c>
      <c r="L6" s="203"/>
      <c r="M6" s="195">
        <v>0</v>
      </c>
      <c r="N6" s="195">
        <v>0</v>
      </c>
      <c r="O6" s="202" t="e">
        <f t="shared" si="0"/>
        <v>#DIV/0!</v>
      </c>
      <c r="P6" s="197"/>
      <c r="Q6" s="198"/>
      <c r="R6" s="206"/>
    </row>
    <row r="7" ht="23" customHeight="1" spans="1:18">
      <c r="A7" s="195">
        <v>5</v>
      </c>
      <c r="B7" s="204"/>
      <c r="C7" s="197" t="s">
        <v>37</v>
      </c>
      <c r="D7" s="195">
        <v>22221201</v>
      </c>
      <c r="E7" s="198" t="s">
        <v>38</v>
      </c>
      <c r="F7" s="199" t="s">
        <v>39</v>
      </c>
      <c r="G7" s="197" t="s">
        <v>23</v>
      </c>
      <c r="H7" s="199" t="s">
        <v>35</v>
      </c>
      <c r="I7" s="199" t="s">
        <v>25</v>
      </c>
      <c r="J7" s="200" t="s">
        <v>26</v>
      </c>
      <c r="K7" s="201" t="s">
        <v>40</v>
      </c>
      <c r="L7" s="199"/>
      <c r="M7" s="195">
        <v>5</v>
      </c>
      <c r="N7" s="195">
        <v>5</v>
      </c>
      <c r="O7" s="202" t="str">
        <f>N7-M7&amp;"("&amp;ROUND(((N7-M7)/M7*100),0)&amp;"%)"</f>
        <v>0(0%)</v>
      </c>
      <c r="P7" s="203"/>
      <c r="Q7" s="198"/>
      <c r="R7" s="206"/>
    </row>
    <row r="8" ht="23" customHeight="1" spans="1:18">
      <c r="A8" s="195">
        <v>6</v>
      </c>
      <c r="B8" s="204"/>
      <c r="C8" s="199"/>
      <c r="D8" s="195">
        <v>22250314</v>
      </c>
      <c r="E8" s="198" t="s">
        <v>41</v>
      </c>
      <c r="F8" s="199" t="s">
        <v>42</v>
      </c>
      <c r="G8" s="199" t="s">
        <v>29</v>
      </c>
      <c r="H8" s="199" t="s">
        <v>35</v>
      </c>
      <c r="I8" s="207" t="s">
        <v>43</v>
      </c>
      <c r="J8" s="208" t="s">
        <v>44</v>
      </c>
      <c r="K8" s="201" t="s">
        <v>45</v>
      </c>
      <c r="L8" s="199"/>
      <c r="M8" s="195">
        <v>9</v>
      </c>
      <c r="N8" s="195">
        <v>10</v>
      </c>
      <c r="O8" s="202" t="str">
        <f>N8-M8&amp;"("&amp;ROUND(((N8-M8)/M8*100),0)&amp;"%)"</f>
        <v>1(11%)</v>
      </c>
      <c r="P8" s="209" t="s">
        <v>46</v>
      </c>
      <c r="Q8" s="198"/>
      <c r="R8" s="206"/>
    </row>
    <row r="9" ht="23" customHeight="1" spans="1:18">
      <c r="A9" s="195">
        <v>7</v>
      </c>
      <c r="B9" s="204"/>
      <c r="C9" s="199"/>
      <c r="D9" s="210" t="s">
        <v>47</v>
      </c>
      <c r="E9" s="211" t="s">
        <v>48</v>
      </c>
      <c r="F9" s="206" t="s">
        <v>49</v>
      </c>
      <c r="G9" s="206" t="s">
        <v>29</v>
      </c>
      <c r="H9" s="206" t="s">
        <v>35</v>
      </c>
      <c r="I9" s="206" t="s">
        <v>25</v>
      </c>
      <c r="J9" s="208"/>
      <c r="K9" s="202" t="s">
        <v>45</v>
      </c>
      <c r="L9" s="206"/>
      <c r="M9" s="210">
        <v>5</v>
      </c>
      <c r="N9" s="210">
        <v>5</v>
      </c>
      <c r="O9" s="202" t="str">
        <f>N9-M9&amp;"("&amp;ROUND(((N9-M9)/M9*100),0)&amp;"%)"</f>
        <v>0(0%)</v>
      </c>
      <c r="P9" s="203"/>
      <c r="Q9" s="198"/>
      <c r="R9" s="206"/>
    </row>
    <row r="10" ht="23" customHeight="1" spans="1:18">
      <c r="A10" s="195">
        <v>8</v>
      </c>
      <c r="B10" s="204"/>
      <c r="C10" s="199"/>
      <c r="D10" s="210"/>
      <c r="E10" s="211" t="s">
        <v>50</v>
      </c>
      <c r="F10" s="206" t="s">
        <v>51</v>
      </c>
      <c r="G10" s="206" t="s">
        <v>52</v>
      </c>
      <c r="H10" s="206" t="s">
        <v>53</v>
      </c>
      <c r="I10" s="206" t="s">
        <v>25</v>
      </c>
      <c r="J10" s="208"/>
      <c r="K10" s="202" t="s">
        <v>40</v>
      </c>
      <c r="L10" s="206"/>
      <c r="M10" s="210">
        <v>11</v>
      </c>
      <c r="N10" s="210">
        <v>9</v>
      </c>
      <c r="O10" s="210" t="str">
        <f>N10-M10&amp;"("&amp;ROUND(((N10-M10)/M10*100),0)&amp;"%)"</f>
        <v>-2(-18%)</v>
      </c>
      <c r="P10" s="212"/>
      <c r="Q10" s="211"/>
      <c r="R10" s="212"/>
    </row>
    <row r="11" ht="23" customHeight="1" spans="1:18">
      <c r="A11" s="195">
        <v>9</v>
      </c>
      <c r="B11" s="204"/>
      <c r="C11" s="197" t="s">
        <v>54</v>
      </c>
      <c r="D11" s="210">
        <v>22240822</v>
      </c>
      <c r="E11" s="211" t="s">
        <v>55</v>
      </c>
      <c r="F11" s="206" t="s">
        <v>56</v>
      </c>
      <c r="G11" s="206" t="s">
        <v>29</v>
      </c>
      <c r="H11" s="206" t="s">
        <v>30</v>
      </c>
      <c r="I11" s="206" t="s">
        <v>25</v>
      </c>
      <c r="J11" s="208">
        <v>0.95</v>
      </c>
      <c r="K11" s="202" t="s">
        <v>31</v>
      </c>
      <c r="L11" s="206"/>
      <c r="M11" s="210">
        <v>7</v>
      </c>
      <c r="N11" s="210">
        <v>15</v>
      </c>
      <c r="O11" s="202" t="str">
        <f>N11-M11&amp;"("&amp;ROUND(((N11-M11)/M11*100),0)&amp;"%)"</f>
        <v>8(114%)</v>
      </c>
      <c r="P11" s="212"/>
      <c r="Q11" s="211"/>
      <c r="R11" s="206"/>
    </row>
    <row r="12" ht="23" customHeight="1" spans="1:18">
      <c r="A12" s="195">
        <v>10</v>
      </c>
      <c r="B12" s="204"/>
      <c r="C12" s="199"/>
      <c r="D12" s="210">
        <v>23251211</v>
      </c>
      <c r="E12" s="211" t="s">
        <v>57</v>
      </c>
      <c r="F12" s="206" t="s">
        <v>58</v>
      </c>
      <c r="G12" s="206" t="s">
        <v>29</v>
      </c>
      <c r="H12" s="206" t="s">
        <v>59</v>
      </c>
      <c r="I12" s="206" t="s">
        <v>25</v>
      </c>
      <c r="J12" s="208">
        <v>0.85</v>
      </c>
      <c r="K12" s="202" t="s">
        <v>60</v>
      </c>
      <c r="L12" s="206"/>
      <c r="M12" s="210">
        <v>26</v>
      </c>
      <c r="N12" s="210">
        <v>22.5</v>
      </c>
      <c r="O12" s="213" t="str">
        <f>N12-M12&amp;"("&amp;ROUND(((N12-M12)/M12*100),0)&amp;"%)"</f>
        <v>-3.5(-13%)</v>
      </c>
      <c r="P12" s="212"/>
      <c r="Q12" s="211"/>
      <c r="R12" s="206"/>
    </row>
    <row r="13" ht="23" customHeight="1" spans="1:18">
      <c r="A13" s="195">
        <v>11</v>
      </c>
      <c r="B13" s="204"/>
      <c r="C13" s="199"/>
      <c r="D13" s="195">
        <v>121018</v>
      </c>
      <c r="E13" s="198" t="s">
        <v>61</v>
      </c>
      <c r="F13" s="199" t="s">
        <v>62</v>
      </c>
      <c r="G13" s="199" t="s">
        <v>63</v>
      </c>
      <c r="H13" s="199" t="s">
        <v>53</v>
      </c>
      <c r="I13" s="199" t="s">
        <v>25</v>
      </c>
      <c r="J13" s="200"/>
      <c r="K13" s="201"/>
      <c r="L13" s="199"/>
      <c r="M13" s="195">
        <v>5</v>
      </c>
      <c r="N13" s="195">
        <v>10</v>
      </c>
      <c r="O13" s="213" t="str">
        <f>N13-M13&amp;"("&amp;ROUND(((N13-M13)/M13*100),0)&amp;"%)"</f>
        <v>5(100%)</v>
      </c>
      <c r="P13" s="197"/>
      <c r="Q13" s="198"/>
      <c r="R13" s="206"/>
    </row>
    <row r="14" ht="23" customHeight="1" spans="1:18">
      <c r="A14" s="195">
        <v>12</v>
      </c>
      <c r="B14" s="204"/>
      <c r="C14" s="197" t="s">
        <v>64</v>
      </c>
      <c r="D14" s="195">
        <v>222201001</v>
      </c>
      <c r="E14" s="198" t="s">
        <v>65</v>
      </c>
      <c r="F14" s="199" t="s">
        <v>66</v>
      </c>
      <c r="G14" s="197" t="s">
        <v>34</v>
      </c>
      <c r="H14" s="199" t="s">
        <v>24</v>
      </c>
      <c r="I14" s="199" t="s">
        <v>25</v>
      </c>
      <c r="J14" s="200" t="s">
        <v>26</v>
      </c>
      <c r="K14" s="201" t="s">
        <v>31</v>
      </c>
      <c r="L14" s="203"/>
      <c r="M14" s="195">
        <v>0.5</v>
      </c>
      <c r="N14" s="195">
        <v>0.5</v>
      </c>
      <c r="O14" s="202">
        <v>1.5</v>
      </c>
      <c r="P14" s="197"/>
      <c r="Q14" s="198"/>
      <c r="R14" s="206"/>
    </row>
    <row r="15" ht="23" customHeight="1" spans="1:18">
      <c r="A15" s="195">
        <v>13</v>
      </c>
      <c r="B15" s="204"/>
      <c r="C15" s="199"/>
      <c r="D15" s="195">
        <v>22220905</v>
      </c>
      <c r="E15" s="198" t="s">
        <v>67</v>
      </c>
      <c r="F15" s="199" t="s">
        <v>66</v>
      </c>
      <c r="G15" s="197"/>
      <c r="H15" s="199" t="s">
        <v>24</v>
      </c>
      <c r="I15" s="199" t="s">
        <v>25</v>
      </c>
      <c r="J15" s="200" t="s">
        <v>26</v>
      </c>
      <c r="K15" s="201" t="s">
        <v>27</v>
      </c>
      <c r="L15" s="203"/>
      <c r="M15" s="195">
        <v>0</v>
      </c>
      <c r="N15" s="195">
        <v>3</v>
      </c>
      <c r="O15" s="202">
        <v>3</v>
      </c>
      <c r="P15" s="203"/>
      <c r="Q15" s="198"/>
      <c r="R15" s="206"/>
    </row>
    <row r="16" ht="23" customHeight="1" spans="1:18">
      <c r="A16" s="195">
        <v>14</v>
      </c>
      <c r="B16" s="204"/>
      <c r="C16" s="199"/>
      <c r="D16" s="195">
        <v>21250326</v>
      </c>
      <c r="E16" s="198" t="s">
        <v>68</v>
      </c>
      <c r="F16" s="199" t="s">
        <v>66</v>
      </c>
      <c r="G16" s="197" t="s">
        <v>29</v>
      </c>
      <c r="H16" s="199" t="s">
        <v>35</v>
      </c>
      <c r="I16" s="199" t="s">
        <v>69</v>
      </c>
      <c r="J16" s="208">
        <v>0.8</v>
      </c>
      <c r="K16" s="201" t="s">
        <v>70</v>
      </c>
      <c r="L16" s="197"/>
      <c r="M16" s="195">
        <v>6</v>
      </c>
      <c r="N16" s="195">
        <v>6</v>
      </c>
      <c r="O16" s="202" t="str">
        <f t="shared" ref="O15:O19" si="1">N16-M16&amp;"("&amp;ROUND(((N16-M16)/M16*100),0)&amp;"%)"</f>
        <v>0(0%)</v>
      </c>
      <c r="P16" s="203"/>
      <c r="Q16" s="198"/>
      <c r="R16" s="206"/>
    </row>
    <row r="17" ht="23" customHeight="1" spans="1:18">
      <c r="A17" s="195">
        <v>15</v>
      </c>
      <c r="B17" s="204"/>
      <c r="C17" s="199"/>
      <c r="D17" s="195" t="s">
        <v>71</v>
      </c>
      <c r="E17" s="198" t="s">
        <v>72</v>
      </c>
      <c r="F17" s="199" t="s">
        <v>73</v>
      </c>
      <c r="G17" s="197" t="s">
        <v>29</v>
      </c>
      <c r="H17" s="199" t="s">
        <v>35</v>
      </c>
      <c r="I17" s="199" t="s">
        <v>25</v>
      </c>
      <c r="J17" s="208">
        <v>1</v>
      </c>
      <c r="K17" s="201" t="s">
        <v>70</v>
      </c>
      <c r="L17" s="197"/>
      <c r="M17" s="195">
        <v>0</v>
      </c>
      <c r="N17" s="195">
        <v>0</v>
      </c>
      <c r="O17" s="202">
        <v>0</v>
      </c>
      <c r="P17" s="203"/>
      <c r="Q17" s="198"/>
      <c r="R17" s="214"/>
    </row>
    <row r="18" ht="23" customHeight="1" spans="1:18">
      <c r="A18" s="195">
        <v>16</v>
      </c>
      <c r="B18" s="204"/>
      <c r="C18" s="197" t="s">
        <v>74</v>
      </c>
      <c r="D18" s="195" t="s">
        <v>75</v>
      </c>
      <c r="E18" s="198" t="s">
        <v>76</v>
      </c>
      <c r="F18" s="199" t="s">
        <v>77</v>
      </c>
      <c r="G18" s="199" t="s">
        <v>29</v>
      </c>
      <c r="H18" s="199" t="s">
        <v>53</v>
      </c>
      <c r="I18" s="199" t="s">
        <v>25</v>
      </c>
      <c r="J18" s="200"/>
      <c r="K18" s="201"/>
      <c r="L18" s="199"/>
      <c r="M18" s="195">
        <v>5</v>
      </c>
      <c r="N18" s="195">
        <v>4</v>
      </c>
      <c r="O18" s="213" t="str">
        <f>N18-M18&amp;"("&amp;ROUND(((N18-M18)/M18*100),0)&amp;"%)"</f>
        <v>-1(-20%)</v>
      </c>
      <c r="P18" s="203"/>
      <c r="Q18" s="198"/>
      <c r="R18" s="199"/>
    </row>
    <row r="19" ht="23" customHeight="1" spans="1:18">
      <c r="A19" s="195">
        <v>17</v>
      </c>
      <c r="B19" s="204"/>
      <c r="C19" s="199"/>
      <c r="D19" s="210"/>
      <c r="E19" s="198" t="s">
        <v>78</v>
      </c>
      <c r="F19" s="199" t="s">
        <v>77</v>
      </c>
      <c r="G19" s="199" t="s">
        <v>29</v>
      </c>
      <c r="H19" s="199"/>
      <c r="I19" s="199"/>
      <c r="J19" s="200"/>
      <c r="K19" s="201"/>
      <c r="L19" s="199"/>
      <c r="M19" s="195">
        <v>8</v>
      </c>
      <c r="N19" s="195">
        <v>9</v>
      </c>
      <c r="O19" s="213" t="str">
        <f t="shared" si="1"/>
        <v>1(13%)</v>
      </c>
      <c r="P19" s="203"/>
      <c r="Q19" s="198"/>
      <c r="R19" s="212"/>
    </row>
    <row r="20" ht="23" customHeight="1" spans="1:18">
      <c r="A20" s="195">
        <v>18</v>
      </c>
      <c r="B20" s="204"/>
      <c r="C20" s="197" t="s">
        <v>79</v>
      </c>
      <c r="D20" s="195" t="s">
        <v>80</v>
      </c>
      <c r="E20" s="198" t="s">
        <v>81</v>
      </c>
      <c r="F20" s="199" t="s">
        <v>82</v>
      </c>
      <c r="G20" s="199" t="s">
        <v>29</v>
      </c>
      <c r="H20" s="199"/>
      <c r="I20" s="199"/>
      <c r="J20" s="200"/>
      <c r="K20" s="201"/>
      <c r="L20" s="199"/>
      <c r="M20" s="195">
        <v>23</v>
      </c>
      <c r="N20" s="195">
        <v>19</v>
      </c>
      <c r="O20" s="213" t="str">
        <f>N20-M20&amp;"("&amp;ROUND(((N20-M20)/M20*100),0)&amp;"%)"</f>
        <v>-4(-17%)</v>
      </c>
      <c r="P20" s="212"/>
      <c r="Q20" s="211"/>
      <c r="R20" s="206"/>
    </row>
    <row r="21" ht="23" customHeight="1" spans="1:18">
      <c r="A21" s="195">
        <v>19</v>
      </c>
      <c r="B21" s="204"/>
      <c r="C21" s="199"/>
      <c r="D21" s="195"/>
      <c r="E21" s="198" t="s">
        <v>83</v>
      </c>
      <c r="F21" s="199" t="s">
        <v>42</v>
      </c>
      <c r="G21" s="199" t="s">
        <v>29</v>
      </c>
      <c r="H21" s="199"/>
      <c r="I21" s="199"/>
      <c r="J21" s="200"/>
      <c r="K21" s="201"/>
      <c r="L21" s="199"/>
      <c r="M21" s="195">
        <v>16</v>
      </c>
      <c r="N21" s="195">
        <v>17</v>
      </c>
      <c r="O21" s="202" t="str">
        <f>N21-M21&amp;"("&amp;ROUND(((N21-M21)/M21*100),0)&amp;"%)"</f>
        <v>1(6%)</v>
      </c>
      <c r="P21" s="212"/>
      <c r="Q21" s="211"/>
      <c r="R21" s="206"/>
    </row>
    <row r="22" ht="23" customHeight="1" spans="1:18">
      <c r="A22" s="195">
        <v>20</v>
      </c>
      <c r="B22" s="204"/>
      <c r="C22" s="199"/>
      <c r="D22" s="195"/>
      <c r="E22" s="198" t="s">
        <v>84</v>
      </c>
      <c r="F22" s="199" t="s">
        <v>51</v>
      </c>
      <c r="G22" s="199" t="s">
        <v>29</v>
      </c>
      <c r="H22" s="199"/>
      <c r="I22" s="199"/>
      <c r="J22" s="200"/>
      <c r="K22" s="201"/>
      <c r="L22" s="197"/>
      <c r="M22" s="195">
        <v>32</v>
      </c>
      <c r="N22" s="195">
        <v>14.5</v>
      </c>
      <c r="O22" s="202" t="str">
        <f>N22-M22&amp;"("&amp;ROUND(((N22-M22)/M22*100),0)&amp;"%)"</f>
        <v>-17.5(-55%)</v>
      </c>
      <c r="P22" s="203"/>
      <c r="Q22" s="198"/>
      <c r="R22" s="206"/>
    </row>
    <row r="23" ht="23" customHeight="1" spans="1:18">
      <c r="A23" s="195">
        <v>21</v>
      </c>
      <c r="B23" s="204"/>
      <c r="C23" s="199"/>
      <c r="D23" s="195"/>
      <c r="E23" s="198" t="s">
        <v>85</v>
      </c>
      <c r="F23" s="199" t="s">
        <v>58</v>
      </c>
      <c r="G23" s="199" t="s">
        <v>29</v>
      </c>
      <c r="H23" s="199"/>
      <c r="I23" s="199"/>
      <c r="J23" s="200"/>
      <c r="K23" s="201"/>
      <c r="L23" s="197"/>
      <c r="M23" s="195">
        <v>16</v>
      </c>
      <c r="N23" s="195">
        <v>19.5</v>
      </c>
      <c r="O23" s="202" t="str">
        <f>N23-M23&amp;"("&amp;ROUND(((N23-M23)/M23*100),0)&amp;"%)"</f>
        <v>3.5(22%)</v>
      </c>
      <c r="P23" s="203"/>
      <c r="Q23" s="198"/>
      <c r="R23" s="206"/>
    </row>
    <row r="24" ht="38.25" customHeight="1" spans="1:18">
      <c r="A24" s="215"/>
      <c r="B24" s="216"/>
      <c r="C24" s="217"/>
      <c r="D24" s="217"/>
      <c r="E24" s="217"/>
      <c r="F24" s="217"/>
      <c r="G24" s="217"/>
      <c r="H24" s="218" t="s">
        <v>86</v>
      </c>
      <c r="I24" s="218"/>
      <c r="J24" s="219">
        <v>213.5</v>
      </c>
      <c r="K24" s="219"/>
      <c r="L24" s="218" t="s">
        <v>87</v>
      </c>
      <c r="M24" s="219"/>
      <c r="N24" s="219">
        <v>201</v>
      </c>
      <c r="O24" s="219"/>
      <c r="P24" s="220" t="s">
        <v>88</v>
      </c>
      <c r="Q24" s="221">
        <f>N24/34/5</f>
        <v>1.18235294117647</v>
      </c>
      <c r="R24" s="222"/>
    </row>
    <row r="25" ht="29" customHeight="1" spans="1:18">
      <c r="A25" s="223">
        <v>22</v>
      </c>
      <c r="B25" s="224" t="s">
        <v>89</v>
      </c>
      <c r="C25" s="224" t="s">
        <v>90</v>
      </c>
      <c r="D25" s="225" t="s">
        <v>91</v>
      </c>
      <c r="E25" s="226" t="s">
        <v>92</v>
      </c>
      <c r="F25" s="227" t="s">
        <v>93</v>
      </c>
      <c r="G25" s="227" t="s">
        <v>29</v>
      </c>
      <c r="H25" s="227" t="s">
        <v>94</v>
      </c>
      <c r="I25" s="227" t="s">
        <v>25</v>
      </c>
      <c r="J25" s="228">
        <v>0.1</v>
      </c>
      <c r="K25" s="229" t="s">
        <v>40</v>
      </c>
      <c r="L25" s="227"/>
      <c r="M25" s="225">
        <v>0</v>
      </c>
      <c r="N25" s="225">
        <v>1</v>
      </c>
      <c r="O25" s="229">
        <v>1</v>
      </c>
      <c r="P25" s="230"/>
      <c r="Q25" s="226"/>
      <c r="R25" s="227"/>
    </row>
    <row r="26" ht="25" customHeight="1" spans="1:18">
      <c r="A26" s="195">
        <v>23</v>
      </c>
      <c r="B26" s="224"/>
      <c r="C26" s="224"/>
      <c r="D26" s="195" t="s">
        <v>95</v>
      </c>
      <c r="E26" s="198" t="s">
        <v>96</v>
      </c>
      <c r="F26" s="199" t="s">
        <v>97</v>
      </c>
      <c r="G26" s="199" t="s">
        <v>98</v>
      </c>
      <c r="H26" s="199" t="s">
        <v>35</v>
      </c>
      <c r="I26" s="199" t="s">
        <v>25</v>
      </c>
      <c r="J26" s="200" t="s">
        <v>99</v>
      </c>
      <c r="K26" s="201" t="s">
        <v>70</v>
      </c>
      <c r="L26" s="197"/>
      <c r="M26" s="195">
        <v>0</v>
      </c>
      <c r="N26" s="195">
        <v>8</v>
      </c>
      <c r="O26" s="202">
        <v>8</v>
      </c>
      <c r="P26" s="203"/>
      <c r="Q26" s="198"/>
      <c r="R26" s="206"/>
    </row>
    <row r="27" ht="25" customHeight="1" spans="1:18">
      <c r="A27" s="231"/>
      <c r="B27" s="232"/>
      <c r="C27" s="233"/>
      <c r="D27" s="231"/>
      <c r="E27" s="234" t="s">
        <v>100</v>
      </c>
      <c r="F27" s="235" t="s">
        <v>93</v>
      </c>
      <c r="G27" s="199" t="s">
        <v>98</v>
      </c>
      <c r="H27" s="235"/>
      <c r="I27" s="235"/>
      <c r="J27" s="236"/>
      <c r="K27" s="237"/>
      <c r="L27" s="238"/>
      <c r="M27" s="231">
        <v>0</v>
      </c>
      <c r="N27" s="231">
        <v>3.4</v>
      </c>
      <c r="O27" s="239">
        <v>3.4</v>
      </c>
      <c r="P27" s="240"/>
      <c r="Q27" s="234"/>
      <c r="R27" s="241"/>
    </row>
    <row r="28" ht="41" customHeight="1" spans="1:18">
      <c r="A28" s="215"/>
      <c r="B28" s="242"/>
      <c r="C28" s="217"/>
      <c r="D28" s="217"/>
      <c r="E28" s="217"/>
      <c r="F28" s="217"/>
      <c r="G28" s="217"/>
      <c r="H28" s="218" t="s">
        <v>86</v>
      </c>
      <c r="I28" s="218"/>
      <c r="J28" s="219">
        <v>0</v>
      </c>
      <c r="K28" s="219"/>
      <c r="L28" s="218" t="s">
        <v>87</v>
      </c>
      <c r="M28" s="219"/>
      <c r="N28" s="219">
        <v>12.4</v>
      </c>
      <c r="O28" s="219"/>
      <c r="P28" s="220" t="s">
        <v>88</v>
      </c>
      <c r="Q28" s="221">
        <f>N28/10/5</f>
        <v>0.248</v>
      </c>
      <c r="R28" s="222"/>
    </row>
    <row r="29" ht="23" customHeight="1" spans="1:18">
      <c r="A29" s="223">
        <v>24</v>
      </c>
      <c r="B29" s="224" t="s">
        <v>101</v>
      </c>
      <c r="C29" s="243" t="s">
        <v>90</v>
      </c>
      <c r="D29" s="225" t="s">
        <v>102</v>
      </c>
      <c r="E29" s="244" t="s">
        <v>103</v>
      </c>
      <c r="F29" s="227" t="s">
        <v>104</v>
      </c>
      <c r="G29" s="245" t="s">
        <v>29</v>
      </c>
      <c r="H29" s="227" t="s">
        <v>35</v>
      </c>
      <c r="I29" s="227" t="s">
        <v>25</v>
      </c>
      <c r="J29" s="228">
        <v>0.8</v>
      </c>
      <c r="K29" s="229" t="s">
        <v>31</v>
      </c>
      <c r="L29" s="227"/>
      <c r="M29" s="225">
        <v>32.6</v>
      </c>
      <c r="N29" s="225">
        <v>32.55</v>
      </c>
      <c r="O29" s="229" t="str">
        <f>ROUND(N29-M29,2)&amp;"("&amp;ROUND(((N29-M29)/M29)*100,0)&amp;"%)"</f>
        <v>-0.05(0%)</v>
      </c>
      <c r="P29" s="246"/>
      <c r="Q29" s="226"/>
      <c r="R29" s="227"/>
    </row>
    <row r="30" ht="23" customHeight="1" spans="1:18">
      <c r="A30" s="223">
        <v>25</v>
      </c>
      <c r="B30" s="224"/>
      <c r="C30" s="197"/>
      <c r="D30" s="195">
        <v>21250418</v>
      </c>
      <c r="E30" s="211" t="s">
        <v>105</v>
      </c>
      <c r="F30" s="199" t="s">
        <v>106</v>
      </c>
      <c r="G30" s="199" t="s">
        <v>29</v>
      </c>
      <c r="H30" s="199" t="s">
        <v>107</v>
      </c>
      <c r="I30" s="199" t="s">
        <v>25</v>
      </c>
      <c r="J30" s="200" t="s">
        <v>26</v>
      </c>
      <c r="K30" s="195" t="s">
        <v>70</v>
      </c>
      <c r="L30" s="206"/>
      <c r="M30" s="210">
        <v>3.2</v>
      </c>
      <c r="N30" s="210">
        <v>0</v>
      </c>
      <c r="O30" s="202"/>
      <c r="P30" s="247"/>
      <c r="Q30" s="211"/>
      <c r="R30" s="212"/>
    </row>
    <row r="31" ht="23" customHeight="1" spans="1:18">
      <c r="A31" s="223">
        <v>26</v>
      </c>
      <c r="B31" s="224"/>
      <c r="C31" s="197"/>
      <c r="D31" s="210" t="s">
        <v>108</v>
      </c>
      <c r="E31" s="198" t="s">
        <v>109</v>
      </c>
      <c r="F31" s="206" t="s">
        <v>106</v>
      </c>
      <c r="G31" s="212" t="s">
        <v>29</v>
      </c>
      <c r="H31" s="206" t="s">
        <v>35</v>
      </c>
      <c r="I31" s="206" t="s">
        <v>25</v>
      </c>
      <c r="J31" s="208">
        <v>0.8</v>
      </c>
      <c r="K31" s="202" t="s">
        <v>31</v>
      </c>
      <c r="L31" s="206"/>
      <c r="M31" s="210">
        <v>5.5</v>
      </c>
      <c r="N31" s="210">
        <v>7</v>
      </c>
      <c r="O31" s="213" t="str">
        <f>N31-M31&amp;"("&amp;ROUND(((N31-M31)/M31*100),0)&amp;"%)"</f>
        <v>1.5(27%)</v>
      </c>
      <c r="P31" s="247"/>
      <c r="Q31" s="211"/>
      <c r="R31" s="212"/>
    </row>
    <row r="32" ht="23" customHeight="1" spans="1:18">
      <c r="A32" s="223">
        <v>27</v>
      </c>
      <c r="B32" s="224"/>
      <c r="C32" s="197"/>
      <c r="D32" s="210" t="s">
        <v>110</v>
      </c>
      <c r="E32" s="211" t="s">
        <v>111</v>
      </c>
      <c r="F32" s="206" t="s">
        <v>106</v>
      </c>
      <c r="G32" s="212" t="s">
        <v>29</v>
      </c>
      <c r="H32" s="206" t="s">
        <v>112</v>
      </c>
      <c r="I32" s="206" t="s">
        <v>25</v>
      </c>
      <c r="J32" s="208">
        <v>0.05</v>
      </c>
      <c r="K32" s="202"/>
      <c r="L32" s="206"/>
      <c r="M32" s="210">
        <v>14.5</v>
      </c>
      <c r="N32" s="210">
        <v>21.8</v>
      </c>
      <c r="O32" s="213" t="str">
        <f>N32-M32&amp;"("&amp;ROUND(((N32-M32)/M32*100),0)&amp;"%)"</f>
        <v>7.3(50%)</v>
      </c>
      <c r="P32" s="247"/>
      <c r="Q32" s="211"/>
      <c r="R32" s="212"/>
    </row>
    <row r="33" ht="23" customHeight="1" spans="1:18">
      <c r="A33" s="223">
        <v>28</v>
      </c>
      <c r="B33" s="224"/>
      <c r="C33" s="197"/>
      <c r="D33" s="195" t="s">
        <v>113</v>
      </c>
      <c r="E33" s="198" t="s">
        <v>114</v>
      </c>
      <c r="F33" s="199" t="s">
        <v>97</v>
      </c>
      <c r="G33" s="199" t="s">
        <v>29</v>
      </c>
      <c r="H33" s="199" t="s">
        <v>35</v>
      </c>
      <c r="I33" s="206" t="s">
        <v>25</v>
      </c>
      <c r="J33" s="208">
        <v>0.3</v>
      </c>
      <c r="K33" s="195" t="s">
        <v>70</v>
      </c>
      <c r="L33" s="198"/>
      <c r="M33" s="195">
        <v>0</v>
      </c>
      <c r="N33" s="195">
        <v>0</v>
      </c>
      <c r="O33" s="202"/>
      <c r="P33" s="198"/>
      <c r="Q33" s="211"/>
      <c r="R33" s="212"/>
    </row>
    <row r="34" ht="23" customHeight="1" spans="1:18">
      <c r="A34" s="223">
        <v>29</v>
      </c>
      <c r="B34" s="224"/>
      <c r="C34" s="197"/>
      <c r="D34" s="195" t="s">
        <v>115</v>
      </c>
      <c r="E34" s="198" t="s">
        <v>116</v>
      </c>
      <c r="F34" s="199" t="s">
        <v>106</v>
      </c>
      <c r="G34" s="199" t="s">
        <v>29</v>
      </c>
      <c r="H34" s="199" t="s">
        <v>35</v>
      </c>
      <c r="I34" s="199" t="s">
        <v>25</v>
      </c>
      <c r="J34" s="200" t="s">
        <v>99</v>
      </c>
      <c r="K34" s="201" t="s">
        <v>70</v>
      </c>
      <c r="L34" s="197"/>
      <c r="M34" s="195">
        <v>0.5</v>
      </c>
      <c r="N34" s="195">
        <v>0.5</v>
      </c>
      <c r="O34" s="202">
        <v>0</v>
      </c>
      <c r="P34" s="203"/>
      <c r="Q34" s="198"/>
      <c r="R34" s="212"/>
    </row>
    <row r="35" ht="23" customHeight="1" spans="1:18">
      <c r="A35" s="223">
        <v>30</v>
      </c>
      <c r="B35" s="224"/>
      <c r="C35" s="197"/>
      <c r="D35" s="195">
        <v>21250417</v>
      </c>
      <c r="E35" s="198" t="s">
        <v>117</v>
      </c>
      <c r="F35" s="199" t="s">
        <v>97</v>
      </c>
      <c r="G35" s="199" t="s">
        <v>29</v>
      </c>
      <c r="H35" s="199" t="s">
        <v>107</v>
      </c>
      <c r="I35" s="199" t="s">
        <v>25</v>
      </c>
      <c r="J35" s="200" t="s">
        <v>26</v>
      </c>
      <c r="K35" s="195" t="s">
        <v>70</v>
      </c>
      <c r="L35" s="198"/>
      <c r="M35" s="195">
        <v>0</v>
      </c>
      <c r="N35" s="195">
        <v>0</v>
      </c>
      <c r="O35" s="202">
        <v>0</v>
      </c>
      <c r="P35" s="198"/>
      <c r="Q35" s="198"/>
      <c r="R35" s="212"/>
    </row>
    <row r="36" ht="23" customHeight="1" spans="1:18">
      <c r="A36" s="223">
        <v>31</v>
      </c>
      <c r="B36" s="224"/>
      <c r="C36" s="197"/>
      <c r="D36" s="195"/>
      <c r="E36" s="211" t="s">
        <v>118</v>
      </c>
      <c r="F36" s="206"/>
      <c r="G36" s="212" t="s">
        <v>52</v>
      </c>
      <c r="H36" s="206" t="s">
        <v>53</v>
      </c>
      <c r="I36" s="199"/>
      <c r="J36" s="200"/>
      <c r="K36" s="201"/>
      <c r="L36" s="197"/>
      <c r="M36" s="195">
        <v>0</v>
      </c>
      <c r="N36" s="195">
        <v>0</v>
      </c>
      <c r="O36" s="202"/>
      <c r="P36" s="203"/>
      <c r="Q36" s="198"/>
      <c r="R36" s="212"/>
    </row>
    <row r="37" ht="23" customHeight="1" spans="1:18">
      <c r="A37" s="223">
        <v>32</v>
      </c>
      <c r="B37" s="224"/>
      <c r="C37" s="197"/>
      <c r="D37" s="195"/>
      <c r="E37" s="248" t="s">
        <v>119</v>
      </c>
      <c r="F37" s="199"/>
      <c r="G37" s="199" t="s">
        <v>120</v>
      </c>
      <c r="H37" s="199" t="s">
        <v>121</v>
      </c>
      <c r="I37" s="199"/>
      <c r="J37" s="200"/>
      <c r="K37" s="201"/>
      <c r="L37" s="197"/>
      <c r="M37" s="195">
        <v>0</v>
      </c>
      <c r="N37" s="195">
        <v>0</v>
      </c>
      <c r="O37" s="202"/>
      <c r="P37" s="203"/>
      <c r="Q37" s="198"/>
      <c r="R37" s="212"/>
    </row>
    <row r="38" ht="23" customHeight="1" spans="1:18">
      <c r="A38" s="223">
        <v>33</v>
      </c>
      <c r="B38" s="224"/>
      <c r="C38" s="249" t="s">
        <v>80</v>
      </c>
      <c r="D38" s="250"/>
      <c r="E38" s="198" t="s">
        <v>122</v>
      </c>
      <c r="F38" s="199" t="s">
        <v>123</v>
      </c>
      <c r="G38" s="199" t="s">
        <v>29</v>
      </c>
      <c r="H38" s="206"/>
      <c r="I38" s="206"/>
      <c r="J38" s="208"/>
      <c r="K38" s="202"/>
      <c r="L38" s="206"/>
      <c r="M38" s="210">
        <v>4.8</v>
      </c>
      <c r="N38" s="210">
        <v>0</v>
      </c>
      <c r="O38" s="202"/>
      <c r="P38" s="247"/>
      <c r="Q38" s="211"/>
      <c r="R38" s="212"/>
    </row>
    <row r="39" ht="47" customHeight="1" spans="1:18">
      <c r="A39" s="215"/>
      <c r="B39" s="242"/>
      <c r="C39" s="217"/>
      <c r="D39" s="217"/>
      <c r="E39" s="217"/>
      <c r="F39" s="217"/>
      <c r="G39" s="217"/>
      <c r="H39" s="218" t="s">
        <v>86</v>
      </c>
      <c r="I39" s="218"/>
      <c r="J39" s="219">
        <v>61.6</v>
      </c>
      <c r="K39" s="219"/>
      <c r="L39" s="218" t="s">
        <v>87</v>
      </c>
      <c r="M39" s="219"/>
      <c r="N39" s="219">
        <v>61.85</v>
      </c>
      <c r="O39" s="219"/>
      <c r="P39" s="220" t="s">
        <v>88</v>
      </c>
      <c r="Q39" s="221">
        <f>N39/7/5</f>
        <v>1.76714285714286</v>
      </c>
      <c r="R39" s="222"/>
    </row>
    <row r="40" ht="28" customHeight="1" spans="1:18">
      <c r="A40" s="223">
        <v>34</v>
      </c>
      <c r="B40" s="224" t="s">
        <v>124</v>
      </c>
      <c r="C40" s="251" t="s">
        <v>90</v>
      </c>
      <c r="D40" s="223">
        <v>22210906</v>
      </c>
      <c r="E40" s="244" t="s">
        <v>125</v>
      </c>
      <c r="F40" s="251" t="s">
        <v>56</v>
      </c>
      <c r="G40" s="251" t="s">
        <v>23</v>
      </c>
      <c r="H40" s="251" t="s">
        <v>35</v>
      </c>
      <c r="I40" s="251" t="s">
        <v>25</v>
      </c>
      <c r="J40" s="252" t="s">
        <v>23</v>
      </c>
      <c r="K40" s="223"/>
      <c r="L40" s="251"/>
      <c r="M40" s="223">
        <v>26</v>
      </c>
      <c r="N40" s="223">
        <v>27</v>
      </c>
      <c r="O40" s="253" t="str">
        <f>N40-M40&amp;"("&amp;ROUND(((N40-M40)/M40*100),0)&amp;"%)"</f>
        <v>1(4%)</v>
      </c>
      <c r="P40" s="254"/>
      <c r="Q40" s="244"/>
      <c r="R40" s="243"/>
    </row>
    <row r="41" ht="40" customHeight="1" spans="1:18">
      <c r="A41" s="215"/>
      <c r="B41" s="216"/>
      <c r="C41" s="217"/>
      <c r="D41" s="217"/>
      <c r="E41" s="217"/>
      <c r="F41" s="217"/>
      <c r="G41" s="217"/>
      <c r="H41" s="218" t="s">
        <v>86</v>
      </c>
      <c r="I41" s="218"/>
      <c r="J41" s="219">
        <v>26</v>
      </c>
      <c r="K41" s="219"/>
      <c r="L41" s="218" t="s">
        <v>87</v>
      </c>
      <c r="M41" s="219"/>
      <c r="N41" s="219">
        <v>27</v>
      </c>
      <c r="O41" s="219"/>
      <c r="P41" s="220" t="s">
        <v>88</v>
      </c>
      <c r="Q41" s="221">
        <f>N41/22/5</f>
        <v>0.245454545454545</v>
      </c>
      <c r="R41" s="222"/>
    </row>
    <row r="42" ht="43.2" customHeight="1" spans="1:18">
      <c r="A42" s="255"/>
      <c r="B42" s="256"/>
      <c r="C42" s="256"/>
      <c r="D42" s="255"/>
      <c r="E42" s="257"/>
      <c r="F42" s="256"/>
    </row>
    <row r="43" ht="43.2" customHeight="1" spans="1:18">
      <c r="A43" s="255"/>
      <c r="B43" s="256"/>
      <c r="C43" s="256"/>
      <c r="D43" s="255"/>
      <c r="E43" s="257"/>
      <c r="F43" s="256"/>
    </row>
    <row r="44" ht="15.6" spans="1:18">
      <c r="A44" s="258"/>
      <c r="B44" s="257"/>
      <c r="C44" s="257"/>
      <c r="D44" s="258"/>
      <c r="E44" s="257"/>
      <c r="F44" s="257"/>
    </row>
    <row r="45" ht="15.6" customHeight="1" spans="1:18">
      <c r="A45" s="258"/>
      <c r="B45" s="257"/>
      <c r="C45" s="257"/>
      <c r="D45" s="258"/>
      <c r="E45" s="257"/>
      <c r="F45" s="257"/>
    </row>
    <row r="46" ht="15.6" spans="1:18">
      <c r="A46" s="258"/>
      <c r="B46" s="257"/>
      <c r="C46" s="257"/>
      <c r="D46" s="258"/>
      <c r="E46" s="257"/>
      <c r="F46" s="257"/>
    </row>
    <row r="47" ht="15.6" spans="1:18">
      <c r="A47" s="258"/>
      <c r="B47" s="257"/>
      <c r="C47" s="257"/>
      <c r="D47" s="258"/>
      <c r="E47" s="257"/>
      <c r="F47" s="257"/>
    </row>
    <row r="48" ht="15.6" spans="1:18">
      <c r="A48" s="258"/>
      <c r="B48" s="257"/>
      <c r="C48" s="257"/>
      <c r="D48" s="258"/>
      <c r="E48" s="257"/>
      <c r="F48" s="257"/>
    </row>
    <row r="49" ht="15.6" spans="1:6">
      <c r="A49" s="258"/>
      <c r="B49" s="257"/>
      <c r="C49" s="257"/>
      <c r="D49" s="258"/>
      <c r="E49" s="257"/>
      <c r="F49" s="257"/>
    </row>
    <row r="50" spans="1:6">
      <c r="A50" s="36"/>
      <c r="B50" s="259"/>
      <c r="C50" s="259"/>
      <c r="D50" s="36"/>
      <c r="E50" s="259"/>
      <c r="F50" s="259"/>
    </row>
    <row r="51" spans="1:6">
      <c r="A51" s="36"/>
      <c r="B51" s="259"/>
      <c r="C51" s="259"/>
      <c r="D51" s="36"/>
      <c r="E51" s="259"/>
      <c r="F51" s="259"/>
    </row>
  </sheetData>
  <mergeCells count="29">
    <mergeCell ref="A1:R1"/>
    <mergeCell ref="C24:G24"/>
    <mergeCell ref="H24:I24"/>
    <mergeCell ref="J24:K24"/>
    <mergeCell ref="C28:G28"/>
    <mergeCell ref="H28:I28"/>
    <mergeCell ref="J28:K28"/>
    <mergeCell ref="C38:D38"/>
    <mergeCell ref="C39:G39"/>
    <mergeCell ref="H39:I39"/>
    <mergeCell ref="J39:K39"/>
    <mergeCell ref="C41:G41"/>
    <mergeCell ref="H41:I41"/>
    <mergeCell ref="J41:K41"/>
    <mergeCell ref="B3:B24"/>
    <mergeCell ref="B25:B28"/>
    <mergeCell ref="B29:B39"/>
    <mergeCell ref="B40:B41"/>
    <mergeCell ref="C3:C6"/>
    <mergeCell ref="C7:C10"/>
    <mergeCell ref="C11:C13"/>
    <mergeCell ref="C14:C17"/>
    <mergeCell ref="C18:C19"/>
    <mergeCell ref="C20:C23"/>
    <mergeCell ref="C25:C26"/>
    <mergeCell ref="C29:C37"/>
    <mergeCell ref="D20:D23"/>
    <mergeCell ref="G5:G6"/>
    <mergeCell ref="G14:G15"/>
  </mergeCells>
  <dataValidations count="7">
    <dataValidation type="list" allowBlank="1" showInputMessage="1" showErrorMessage="1" sqref="H9 H21 H25 H30 H33 H35 H38">
      <formula1>"售前,立项,需求,设计,开发,发布,实施,验收"</formula1>
    </dataValidation>
    <dataValidation type="list" allowBlank="1" showInputMessage="1" showErrorMessage="1" sqref="H10 H40 H7:H8 H11:H13 H18:H19 H22:H23">
      <formula1>"售前,立项,需求,开发,发布,实施,验收"</formula1>
    </dataValidation>
    <dataValidation type="list" allowBlank="1" showInputMessage="1" showErrorMessage="1" sqref="H20 H26 H27 H34 H3:H6 H14:H17">
      <formula1>"售前,立项,需求,开发,发布,实施,验收,上线运行"</formula1>
    </dataValidation>
    <dataValidation type="list" allowBlank="1" showInputMessage="1" showErrorMessage="1" sqref="I27 I40 I3:I10 I11:I23 I25:I26 I29:I32 I34:I38">
      <formula1>"长期项目,正常,提前,延迟,严重延迟"</formula1>
    </dataValidation>
    <dataValidation type="list" allowBlank="1" showInputMessage="1" showErrorMessage="1" sqref="H29 H36 H31:H32">
      <formula1>"售前,立项,需求,开发,发布,实施,验收,上线运行,维护"</formula1>
    </dataValidation>
    <dataValidation type="list" allowBlank="1" showInputMessage="1" showErrorMessage="1" sqref="I33">
      <formula1>"长期项目,正常,提前,延迟,严重延迟,暂停"</formula1>
    </dataValidation>
    <dataValidation type="list" allowBlank="1" showInputMessage="1" showErrorMessage="1" sqref="H37">
      <formula1>"售前,立项,需求,设计,开发,发布,实施,验收,挂起,暂停"</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6"/>
  <sheetViews>
    <sheetView workbookViewId="0">
      <pane ySplit="1" topLeftCell="A30" activePane="bottomLeft" state="frozen"/>
      <selection/>
      <selection pane="bottomLeft" activeCell="A44" sqref="A44:A56"/>
    </sheetView>
  </sheetViews>
  <sheetFormatPr defaultColWidth="9.11111111111111" defaultRowHeight="13.2"/>
  <cols>
    <col min="1" max="1" width="22.4444444444444" style="1" customWidth="1"/>
    <col min="2" max="2" width="11.6666666666667" style="1" customWidth="1"/>
    <col min="3" max="5" width="9.11111111111111" style="1"/>
    <col min="6" max="6" width="19.5555555555556" style="1" customWidth="1"/>
    <col min="7"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45" spans="1:26">
      <c r="A2" s="3" t="s">
        <v>136</v>
      </c>
      <c r="B2" s="17" t="s">
        <v>22</v>
      </c>
      <c r="C2" s="260" t="s">
        <v>137</v>
      </c>
      <c r="D2" s="13"/>
      <c r="E2" s="23" t="s">
        <v>138</v>
      </c>
      <c r="F2" s="13" t="s">
        <v>35</v>
      </c>
      <c r="G2" s="13">
        <v>1</v>
      </c>
      <c r="H2" s="52" t="s">
        <v>139</v>
      </c>
      <c r="I2" s="15" t="s">
        <v>22</v>
      </c>
      <c r="J2" s="16">
        <v>1</v>
      </c>
      <c r="K2" s="13"/>
      <c r="L2" s="17">
        <v>2</v>
      </c>
    </row>
    <row r="3" ht="30" spans="1:26">
      <c r="A3" s="3"/>
      <c r="B3" s="17"/>
      <c r="C3" s="13"/>
      <c r="D3" s="13"/>
      <c r="E3" s="23"/>
      <c r="F3" s="13"/>
      <c r="G3" s="13">
        <v>2</v>
      </c>
      <c r="H3" s="52" t="s">
        <v>140</v>
      </c>
      <c r="I3" s="15" t="s">
        <v>22</v>
      </c>
      <c r="J3" s="16">
        <v>1</v>
      </c>
      <c r="K3" s="13"/>
      <c r="L3" s="17">
        <v>0.5</v>
      </c>
    </row>
    <row r="4" ht="30" spans="1:26">
      <c r="A4" s="3"/>
      <c r="B4" s="17"/>
      <c r="C4" s="13"/>
      <c r="D4" s="13"/>
      <c r="E4" s="23"/>
      <c r="F4" s="13"/>
      <c r="G4" s="13">
        <v>3</v>
      </c>
      <c r="H4" s="52" t="s">
        <v>141</v>
      </c>
      <c r="I4" s="15" t="s">
        <v>22</v>
      </c>
      <c r="J4" s="16">
        <v>1</v>
      </c>
      <c r="K4" s="13"/>
      <c r="L4" s="17">
        <v>0.25</v>
      </c>
    </row>
    <row r="5" ht="45" spans="1:26">
      <c r="A5" s="3"/>
      <c r="B5" s="17"/>
      <c r="C5" s="13"/>
      <c r="D5" s="13"/>
      <c r="E5" s="23"/>
      <c r="F5" s="13"/>
      <c r="G5" s="13">
        <v>4</v>
      </c>
      <c r="H5" s="52" t="s">
        <v>142</v>
      </c>
      <c r="I5" s="15" t="s">
        <v>22</v>
      </c>
      <c r="J5" s="16">
        <v>1</v>
      </c>
      <c r="K5" s="13"/>
      <c r="L5" s="17">
        <v>0.25</v>
      </c>
    </row>
    <row r="6" ht="30" spans="1:26">
      <c r="A6" s="3"/>
      <c r="B6" s="17"/>
      <c r="C6" s="13"/>
      <c r="D6" s="13"/>
      <c r="E6" s="23"/>
      <c r="F6" s="13"/>
      <c r="G6" s="13">
        <v>5</v>
      </c>
      <c r="H6" s="52" t="s">
        <v>143</v>
      </c>
      <c r="I6" s="15" t="s">
        <v>22</v>
      </c>
      <c r="J6" s="16">
        <v>1</v>
      </c>
      <c r="K6" s="13"/>
      <c r="L6" s="17">
        <v>0.5</v>
      </c>
    </row>
    <row r="7" ht="30" spans="1:26">
      <c r="A7" s="3"/>
      <c r="B7" s="17"/>
      <c r="C7" s="13"/>
      <c r="D7" s="13"/>
      <c r="E7" s="23"/>
      <c r="F7" s="13"/>
      <c r="G7" s="13">
        <v>6</v>
      </c>
      <c r="H7" s="52" t="s">
        <v>144</v>
      </c>
      <c r="I7" s="15" t="s">
        <v>22</v>
      </c>
      <c r="J7" s="16">
        <v>1</v>
      </c>
      <c r="K7" s="13"/>
      <c r="L7" s="17">
        <v>0.5</v>
      </c>
    </row>
    <row r="8" ht="30" spans="1:26">
      <c r="A8" s="3"/>
      <c r="B8" s="17"/>
      <c r="C8" s="13"/>
      <c r="D8" s="13"/>
      <c r="E8" s="23"/>
      <c r="F8" s="13"/>
      <c r="G8" s="13">
        <v>7</v>
      </c>
      <c r="H8" s="14" t="s">
        <v>145</v>
      </c>
      <c r="I8" s="104" t="s">
        <v>146</v>
      </c>
      <c r="J8" s="16">
        <v>1</v>
      </c>
      <c r="K8" s="13"/>
      <c r="L8" s="17">
        <v>2</v>
      </c>
    </row>
    <row r="9" ht="30" spans="1:26">
      <c r="A9" s="3"/>
      <c r="B9" s="17"/>
      <c r="C9" s="13"/>
      <c r="D9" s="13"/>
      <c r="E9" s="23"/>
      <c r="F9" s="13"/>
      <c r="G9" s="13">
        <v>8</v>
      </c>
      <c r="H9" s="160" t="s">
        <v>147</v>
      </c>
      <c r="I9" s="161" t="s">
        <v>146</v>
      </c>
      <c r="J9" s="16">
        <v>1</v>
      </c>
      <c r="K9" s="13"/>
      <c r="L9" s="17">
        <v>2</v>
      </c>
    </row>
    <row r="10" ht="15.6" spans="1:26">
      <c r="A10" s="3"/>
      <c r="B10" s="17"/>
      <c r="C10" s="13"/>
      <c r="D10" s="13"/>
      <c r="E10" s="23"/>
      <c r="F10" s="13"/>
      <c r="G10" s="11">
        <v>9</v>
      </c>
      <c r="H10" s="162" t="s">
        <v>148</v>
      </c>
      <c r="I10" s="161" t="s">
        <v>22</v>
      </c>
      <c r="J10" s="16">
        <v>1</v>
      </c>
      <c r="K10" s="13"/>
      <c r="L10" s="17">
        <v>0.5</v>
      </c>
    </row>
    <row r="11" ht="15.6" spans="1:26">
      <c r="A11" s="3"/>
      <c r="B11" s="17"/>
      <c r="C11" s="13"/>
      <c r="D11" s="13"/>
      <c r="E11" s="23"/>
      <c r="F11" s="13"/>
      <c r="G11" s="25"/>
      <c r="H11" s="163"/>
      <c r="I11" s="161" t="s">
        <v>149</v>
      </c>
      <c r="J11" s="16">
        <v>1</v>
      </c>
      <c r="K11" s="13"/>
      <c r="L11" s="17">
        <v>1</v>
      </c>
    </row>
    <row r="12" ht="15.6" spans="1:26">
      <c r="A12" s="3"/>
      <c r="B12" s="17"/>
      <c r="C12" s="13"/>
      <c r="D12" s="13"/>
      <c r="E12" s="23"/>
      <c r="F12" s="13"/>
      <c r="G12" s="13">
        <v>10</v>
      </c>
      <c r="H12" s="160" t="s">
        <v>150</v>
      </c>
      <c r="I12" s="161" t="s">
        <v>149</v>
      </c>
      <c r="J12" s="16">
        <v>1</v>
      </c>
      <c r="K12" s="13"/>
      <c r="L12" s="17">
        <v>1</v>
      </c>
    </row>
    <row r="13" ht="30" spans="1:26">
      <c r="A13" s="3"/>
      <c r="B13" s="17"/>
      <c r="C13" s="13"/>
      <c r="D13" s="13"/>
      <c r="E13" s="23"/>
      <c r="F13" s="13"/>
      <c r="G13" s="23">
        <v>11</v>
      </c>
      <c r="H13" s="160" t="s">
        <v>151</v>
      </c>
      <c r="I13" s="161" t="s">
        <v>149</v>
      </c>
      <c r="J13" s="16">
        <v>1</v>
      </c>
      <c r="K13" s="13"/>
      <c r="L13" s="17">
        <v>3</v>
      </c>
    </row>
    <row r="14" ht="15.6" spans="1:26">
      <c r="A14" s="3"/>
      <c r="B14" s="17"/>
      <c r="C14" s="13"/>
      <c r="D14" s="13"/>
      <c r="E14" s="23"/>
      <c r="F14" s="13"/>
      <c r="G14" s="11">
        <v>12</v>
      </c>
      <c r="H14" s="162" t="s">
        <v>152</v>
      </c>
      <c r="I14" s="161" t="s">
        <v>22</v>
      </c>
      <c r="J14" s="16">
        <v>1</v>
      </c>
      <c r="K14" s="13"/>
      <c r="L14" s="17">
        <v>0.5</v>
      </c>
    </row>
    <row r="15" ht="15.6" spans="1:26">
      <c r="A15" s="3"/>
      <c r="B15" s="17"/>
      <c r="C15" s="13"/>
      <c r="D15" s="13"/>
      <c r="E15" s="23"/>
      <c r="F15" s="13"/>
      <c r="G15" s="25"/>
      <c r="H15" s="163"/>
      <c r="I15" s="161" t="s">
        <v>153</v>
      </c>
      <c r="J15" s="16">
        <v>1</v>
      </c>
      <c r="K15" s="13"/>
      <c r="L15" s="17">
        <v>0.5</v>
      </c>
    </row>
    <row r="16" ht="15.6" spans="1:26">
      <c r="A16" s="3"/>
      <c r="B16" s="17"/>
      <c r="C16" s="13"/>
      <c r="D16" s="13"/>
      <c r="E16" s="23"/>
      <c r="F16" s="13"/>
      <c r="G16" s="25">
        <v>13</v>
      </c>
      <c r="H16" s="163" t="s">
        <v>154</v>
      </c>
      <c r="I16" s="161" t="s">
        <v>33</v>
      </c>
      <c r="J16" s="16">
        <v>1</v>
      </c>
      <c r="K16" s="13"/>
      <c r="L16" s="17">
        <v>2</v>
      </c>
    </row>
    <row r="17" ht="30" spans="1:12">
      <c r="A17" s="3"/>
      <c r="B17" s="17"/>
      <c r="C17" s="13"/>
      <c r="D17" s="13"/>
      <c r="E17" s="23"/>
      <c r="F17" s="13"/>
      <c r="G17" s="13">
        <v>14</v>
      </c>
      <c r="H17" s="14" t="s">
        <v>155</v>
      </c>
      <c r="I17" s="13" t="s">
        <v>156</v>
      </c>
      <c r="J17" s="16">
        <v>1</v>
      </c>
      <c r="K17" s="13"/>
      <c r="L17" s="17">
        <v>3</v>
      </c>
    </row>
    <row r="18" ht="15" spans="1:12">
      <c r="A18" s="3"/>
      <c r="B18" s="17"/>
      <c r="C18" s="13"/>
      <c r="D18" s="13"/>
      <c r="E18" s="26" t="s">
        <v>157</v>
      </c>
      <c r="F18" s="26"/>
      <c r="G18" s="26"/>
      <c r="H18" s="26"/>
      <c r="I18" s="26"/>
      <c r="J18" s="27"/>
      <c r="K18" s="28"/>
      <c r="L18" s="29">
        <f>SUM(L2:L17)</f>
        <v>19.5</v>
      </c>
    </row>
    <row r="19" ht="15.6" spans="1:12">
      <c r="A19" s="3"/>
      <c r="B19" s="17"/>
      <c r="C19" s="13"/>
      <c r="D19" s="13"/>
      <c r="E19" s="23" t="s">
        <v>158</v>
      </c>
      <c r="F19" s="23" t="s">
        <v>35</v>
      </c>
      <c r="G19" s="23">
        <v>1</v>
      </c>
      <c r="H19" s="30"/>
      <c r="I19" s="13"/>
      <c r="J19" s="31"/>
      <c r="K19" s="23"/>
      <c r="L19" s="32"/>
    </row>
    <row r="20" ht="15.6" spans="1:12">
      <c r="A20" s="3"/>
      <c r="B20" s="17"/>
      <c r="C20" s="13"/>
      <c r="D20" s="13"/>
      <c r="E20" s="23"/>
      <c r="F20" s="23"/>
      <c r="G20" s="23">
        <v>2</v>
      </c>
      <c r="H20" s="30"/>
      <c r="I20" s="23"/>
      <c r="J20" s="31"/>
      <c r="K20" s="23"/>
      <c r="L20" s="32"/>
    </row>
    <row r="21" ht="30" spans="1:12">
      <c r="A21" s="3" t="s">
        <v>159</v>
      </c>
      <c r="B21" s="17" t="s">
        <v>22</v>
      </c>
      <c r="C21" s="16">
        <v>0.91</v>
      </c>
      <c r="D21" s="13"/>
      <c r="E21" s="23" t="s">
        <v>138</v>
      </c>
      <c r="F21" s="13" t="s">
        <v>160</v>
      </c>
      <c r="G21" s="13">
        <v>1</v>
      </c>
      <c r="H21" s="14" t="s">
        <v>161</v>
      </c>
      <c r="I21" s="15" t="s">
        <v>146</v>
      </c>
      <c r="J21" s="16">
        <v>1</v>
      </c>
      <c r="K21" s="23"/>
      <c r="L21" s="17">
        <v>1</v>
      </c>
    </row>
    <row r="22" ht="15" spans="1:12">
      <c r="A22" s="3"/>
      <c r="B22" s="17"/>
      <c r="C22" s="16"/>
      <c r="D22" s="13"/>
      <c r="E22" s="23"/>
      <c r="F22" s="13"/>
      <c r="G22" s="13">
        <v>2</v>
      </c>
      <c r="H22" s="52" t="s">
        <v>162</v>
      </c>
      <c r="I22" s="51" t="s">
        <v>153</v>
      </c>
      <c r="J22" s="53">
        <v>1</v>
      </c>
      <c r="K22" s="54"/>
      <c r="L22" s="49">
        <v>4.5</v>
      </c>
    </row>
    <row r="23" ht="15" spans="1:12">
      <c r="A23" s="3"/>
      <c r="B23" s="17"/>
      <c r="C23" s="13"/>
      <c r="D23" s="13"/>
      <c r="E23" s="23"/>
      <c r="F23" s="13"/>
      <c r="G23" s="51">
        <v>3</v>
      </c>
      <c r="H23" s="52" t="s">
        <v>163</v>
      </c>
      <c r="I23" s="51" t="s">
        <v>33</v>
      </c>
      <c r="J23" s="53">
        <v>1</v>
      </c>
      <c r="K23" s="54"/>
      <c r="L23" s="49">
        <v>1</v>
      </c>
    </row>
    <row r="24" ht="15" customHeight="1" spans="1:12">
      <c r="A24" s="3"/>
      <c r="B24" s="17"/>
      <c r="C24" s="13"/>
      <c r="D24" s="13"/>
      <c r="E24" s="23"/>
      <c r="F24" s="11" t="s">
        <v>164</v>
      </c>
      <c r="G24" s="51">
        <v>1</v>
      </c>
      <c r="H24" s="14" t="s">
        <v>165</v>
      </c>
      <c r="I24" s="51" t="s">
        <v>156</v>
      </c>
      <c r="J24" s="53">
        <v>1</v>
      </c>
      <c r="K24" s="54"/>
      <c r="L24" s="49">
        <v>0.5</v>
      </c>
    </row>
    <row r="25" ht="22.8" customHeight="1" spans="1:12">
      <c r="A25" s="3"/>
      <c r="B25" s="17"/>
      <c r="C25" s="13"/>
      <c r="D25" s="13"/>
      <c r="E25" s="23"/>
      <c r="F25" s="11" t="s">
        <v>166</v>
      </c>
      <c r="G25" s="164">
        <v>1</v>
      </c>
      <c r="H25" s="74" t="s">
        <v>167</v>
      </c>
      <c r="I25" s="51" t="s">
        <v>66</v>
      </c>
      <c r="J25" s="53">
        <v>0.8</v>
      </c>
      <c r="K25" s="54"/>
      <c r="L25" s="49">
        <v>1</v>
      </c>
    </row>
    <row r="26" ht="22.8" customHeight="1" spans="1:12">
      <c r="A26" s="3"/>
      <c r="B26" s="17"/>
      <c r="C26" s="13"/>
      <c r="D26" s="13"/>
      <c r="E26" s="23"/>
      <c r="F26" s="25"/>
      <c r="G26" s="165"/>
      <c r="H26" s="166"/>
      <c r="I26" s="51" t="s">
        <v>73</v>
      </c>
      <c r="J26" s="53">
        <v>0.8</v>
      </c>
      <c r="K26" s="54"/>
      <c r="L26" s="49">
        <v>3.5</v>
      </c>
    </row>
    <row r="27" ht="15" spans="1:12">
      <c r="A27" s="3"/>
      <c r="B27" s="17"/>
      <c r="C27" s="13"/>
      <c r="D27" s="13"/>
      <c r="E27" s="23"/>
      <c r="F27" s="15" t="s">
        <v>168</v>
      </c>
      <c r="G27" s="51">
        <v>1</v>
      </c>
      <c r="H27" s="167" t="s">
        <v>169</v>
      </c>
      <c r="I27" s="51" t="s">
        <v>170</v>
      </c>
      <c r="J27" s="53">
        <v>1</v>
      </c>
      <c r="K27" s="54"/>
      <c r="L27" s="49">
        <v>1</v>
      </c>
    </row>
    <row r="28" ht="15" spans="1:12">
      <c r="A28" s="3"/>
      <c r="B28" s="17"/>
      <c r="C28" s="13"/>
      <c r="D28" s="13"/>
      <c r="E28" s="23"/>
      <c r="F28" s="15"/>
      <c r="G28" s="51"/>
      <c r="H28" s="52"/>
      <c r="I28" s="15"/>
      <c r="J28" s="53"/>
      <c r="K28" s="54"/>
      <c r="L28" s="49"/>
    </row>
    <row r="29" ht="15" spans="1:12">
      <c r="A29" s="3"/>
      <c r="B29" s="17"/>
      <c r="C29" s="13"/>
      <c r="D29" s="13"/>
      <c r="E29" s="23"/>
      <c r="F29" s="15"/>
      <c r="G29" s="51"/>
      <c r="H29" s="52"/>
      <c r="I29" s="15"/>
      <c r="J29" s="53"/>
      <c r="K29" s="54"/>
      <c r="L29" s="49"/>
    </row>
    <row r="30" ht="15" spans="1:12">
      <c r="A30" s="3"/>
      <c r="B30" s="17"/>
      <c r="C30" s="13"/>
      <c r="D30" s="13"/>
      <c r="E30" s="26" t="s">
        <v>157</v>
      </c>
      <c r="F30" s="26"/>
      <c r="G30" s="26"/>
      <c r="H30" s="26"/>
      <c r="I30" s="26"/>
      <c r="J30" s="27"/>
      <c r="K30" s="28"/>
      <c r="L30" s="29">
        <f>SUM(L21:L29)</f>
        <v>12.5</v>
      </c>
    </row>
    <row r="31" ht="15.6" spans="1:12">
      <c r="A31" s="3"/>
      <c r="B31" s="17"/>
      <c r="C31" s="13"/>
      <c r="D31" s="13"/>
      <c r="E31" s="23" t="s">
        <v>158</v>
      </c>
      <c r="F31" s="23" t="s">
        <v>35</v>
      </c>
      <c r="G31" s="23">
        <v>1</v>
      </c>
      <c r="H31" s="30"/>
      <c r="I31" s="13"/>
      <c r="J31" s="31"/>
      <c r="K31" s="23"/>
      <c r="L31" s="32"/>
    </row>
    <row r="32" ht="15" spans="1:12">
      <c r="A32" s="3"/>
      <c r="B32" s="17"/>
      <c r="C32" s="13"/>
      <c r="D32" s="13"/>
      <c r="E32" s="23"/>
      <c r="F32" s="23"/>
      <c r="G32" s="23">
        <v>2</v>
      </c>
      <c r="H32" s="14"/>
      <c r="I32" s="23"/>
      <c r="J32" s="31"/>
      <c r="K32" s="23"/>
      <c r="L32" s="32"/>
    </row>
    <row r="33" ht="15" spans="1:12">
      <c r="A33" s="168" t="s">
        <v>171</v>
      </c>
      <c r="B33" s="17" t="s">
        <v>33</v>
      </c>
      <c r="C33" s="13"/>
      <c r="D33" s="13"/>
      <c r="E33" s="23" t="s">
        <v>138</v>
      </c>
      <c r="F33" s="13" t="s">
        <v>172</v>
      </c>
      <c r="G33" s="13">
        <v>1</v>
      </c>
      <c r="H33" s="169"/>
      <c r="I33" s="104"/>
      <c r="J33" s="16"/>
      <c r="K33" s="23"/>
      <c r="L33" s="32"/>
    </row>
    <row r="34" ht="15" spans="1:12">
      <c r="A34" s="3"/>
      <c r="B34" s="17"/>
      <c r="C34" s="13"/>
      <c r="D34" s="13"/>
      <c r="E34" s="23"/>
      <c r="F34" s="13"/>
      <c r="G34" s="13">
        <v>2</v>
      </c>
      <c r="H34" s="160"/>
      <c r="I34" s="104"/>
      <c r="J34" s="16"/>
      <c r="K34" s="23"/>
      <c r="L34" s="32"/>
    </row>
    <row r="35" ht="15" spans="1:12">
      <c r="A35" s="3"/>
      <c r="B35" s="17"/>
      <c r="C35" s="13"/>
      <c r="D35" s="13"/>
      <c r="E35" s="26" t="s">
        <v>157</v>
      </c>
      <c r="F35" s="26"/>
      <c r="G35" s="26"/>
      <c r="H35" s="26"/>
      <c r="I35" s="26"/>
      <c r="J35" s="27"/>
      <c r="K35" s="28"/>
      <c r="L35" s="29">
        <f>SUM(L33:L34)</f>
        <v>0</v>
      </c>
    </row>
    <row r="36" ht="15.6" spans="1:12">
      <c r="A36" s="3"/>
      <c r="B36" s="17"/>
      <c r="C36" s="13"/>
      <c r="D36" s="13"/>
      <c r="E36" s="23" t="s">
        <v>158</v>
      </c>
      <c r="F36" s="23"/>
      <c r="G36" s="23"/>
      <c r="H36" s="30"/>
      <c r="I36" s="13"/>
      <c r="J36" s="31"/>
      <c r="K36" s="23"/>
      <c r="L36" s="32"/>
    </row>
    <row r="37" ht="15" spans="1:12">
      <c r="A37" s="3"/>
      <c r="B37" s="17"/>
      <c r="C37" s="13"/>
      <c r="D37" s="13"/>
      <c r="E37" s="23"/>
      <c r="F37" s="23"/>
      <c r="G37" s="23"/>
      <c r="H37" s="14"/>
      <c r="I37" s="23"/>
      <c r="J37" s="31"/>
      <c r="K37" s="23"/>
      <c r="L37" s="32"/>
    </row>
    <row r="38" ht="45" spans="1:12">
      <c r="A38" s="3" t="s">
        <v>173</v>
      </c>
      <c r="B38" s="17" t="s">
        <v>33</v>
      </c>
      <c r="C38" s="13"/>
      <c r="D38" s="13"/>
      <c r="E38" s="23" t="s">
        <v>138</v>
      </c>
      <c r="F38" s="13" t="s">
        <v>172</v>
      </c>
      <c r="G38" s="13">
        <v>1</v>
      </c>
      <c r="H38" s="155" t="s">
        <v>174</v>
      </c>
      <c r="I38" s="15" t="s">
        <v>33</v>
      </c>
      <c r="J38" s="16">
        <v>1</v>
      </c>
      <c r="K38" s="23"/>
      <c r="L38" s="32">
        <v>0.5</v>
      </c>
    </row>
    <row r="39" ht="15" spans="1:12">
      <c r="A39" s="3"/>
      <c r="B39" s="17"/>
      <c r="C39" s="13"/>
      <c r="D39" s="13"/>
      <c r="E39" s="23"/>
      <c r="F39" s="13"/>
      <c r="G39" s="13">
        <v>2</v>
      </c>
      <c r="H39" s="14"/>
      <c r="I39" s="15"/>
      <c r="J39" s="16"/>
      <c r="K39" s="23"/>
      <c r="L39" s="32"/>
    </row>
    <row r="40" ht="15" spans="1:12">
      <c r="A40" s="3"/>
      <c r="B40" s="17"/>
      <c r="C40" s="13"/>
      <c r="D40" s="13"/>
      <c r="E40" s="23"/>
      <c r="F40" s="13"/>
      <c r="G40" s="13">
        <v>3</v>
      </c>
      <c r="H40" s="14"/>
      <c r="I40" s="15"/>
      <c r="J40" s="16"/>
      <c r="K40" s="23"/>
      <c r="L40" s="32"/>
    </row>
    <row r="41" ht="15" spans="1:12">
      <c r="A41" s="3"/>
      <c r="B41" s="17"/>
      <c r="C41" s="13"/>
      <c r="D41" s="13"/>
      <c r="E41" s="26" t="s">
        <v>157</v>
      </c>
      <c r="F41" s="26"/>
      <c r="G41" s="26"/>
      <c r="H41" s="26"/>
      <c r="I41" s="26"/>
      <c r="J41" s="27"/>
      <c r="K41" s="28"/>
      <c r="L41" s="29">
        <v>0</v>
      </c>
    </row>
    <row r="42" ht="15.6" spans="1:12">
      <c r="A42" s="3"/>
      <c r="B42" s="17"/>
      <c r="C42" s="13"/>
      <c r="D42" s="13"/>
      <c r="E42" s="23" t="s">
        <v>158</v>
      </c>
      <c r="F42" s="23"/>
      <c r="G42" s="23"/>
      <c r="H42" s="30"/>
      <c r="I42" s="13"/>
      <c r="J42" s="31"/>
      <c r="K42" s="23"/>
      <c r="L42" s="32"/>
    </row>
    <row r="43" ht="15" spans="1:12">
      <c r="A43" s="3"/>
      <c r="B43" s="17"/>
      <c r="C43" s="13"/>
      <c r="D43" s="13"/>
      <c r="E43" s="23"/>
      <c r="F43" s="23"/>
      <c r="G43" s="23"/>
      <c r="H43" s="14"/>
      <c r="I43" s="23"/>
      <c r="J43" s="31"/>
      <c r="K43" s="23"/>
      <c r="L43" s="32"/>
    </row>
    <row r="44" spans="1:12">
      <c r="A44" s="170"/>
      <c r="B44" s="171"/>
      <c r="C44" s="172"/>
      <c r="D44" s="172"/>
      <c r="E44" s="173"/>
      <c r="F44" s="173" t="s">
        <v>175</v>
      </c>
      <c r="G44" s="172">
        <v>1</v>
      </c>
      <c r="H44" s="174" t="s">
        <v>176</v>
      </c>
      <c r="I44" s="175" t="s">
        <v>82</v>
      </c>
      <c r="J44" s="176">
        <v>1</v>
      </c>
      <c r="K44" s="173"/>
      <c r="L44" s="177">
        <v>1</v>
      </c>
    </row>
    <row r="45" spans="1:12">
      <c r="A45" s="170"/>
      <c r="B45" s="171"/>
      <c r="C45" s="172"/>
      <c r="D45" s="172"/>
      <c r="E45" s="173"/>
      <c r="F45" s="173"/>
      <c r="G45" s="172"/>
      <c r="H45" s="174"/>
      <c r="I45" s="175" t="s">
        <v>177</v>
      </c>
      <c r="J45" s="176">
        <v>0</v>
      </c>
      <c r="K45" s="173" t="s">
        <v>178</v>
      </c>
      <c r="L45" s="177">
        <v>0</v>
      </c>
    </row>
    <row r="46" spans="1:12">
      <c r="A46" s="170"/>
      <c r="B46" s="171"/>
      <c r="C46" s="172"/>
      <c r="D46" s="172"/>
      <c r="E46" s="173"/>
      <c r="F46" s="173"/>
      <c r="G46" s="172"/>
      <c r="H46" s="174"/>
      <c r="I46" s="175" t="s">
        <v>179</v>
      </c>
      <c r="J46" s="176">
        <v>1</v>
      </c>
      <c r="K46" s="173"/>
      <c r="L46" s="177">
        <v>1</v>
      </c>
    </row>
    <row r="47" spans="1:12">
      <c r="A47" s="170"/>
      <c r="B47" s="171"/>
      <c r="C47" s="172"/>
      <c r="D47" s="172"/>
      <c r="E47" s="173"/>
      <c r="F47" s="172" t="s">
        <v>180</v>
      </c>
      <c r="G47" s="172">
        <v>1</v>
      </c>
      <c r="H47" s="174" t="s">
        <v>181</v>
      </c>
      <c r="I47" s="175" t="s">
        <v>182</v>
      </c>
      <c r="J47" s="176">
        <v>1</v>
      </c>
      <c r="K47" s="173"/>
      <c r="L47" s="178">
        <v>2</v>
      </c>
    </row>
    <row r="48" spans="1:12">
      <c r="A48" s="170"/>
      <c r="B48" s="171"/>
      <c r="C48" s="172"/>
      <c r="D48" s="172"/>
      <c r="E48" s="173"/>
      <c r="F48" s="172"/>
      <c r="G48" s="172"/>
      <c r="H48" s="174"/>
      <c r="I48" s="175" t="s">
        <v>183</v>
      </c>
      <c r="J48" s="176">
        <v>1</v>
      </c>
      <c r="K48" s="173"/>
      <c r="L48" s="178">
        <v>2</v>
      </c>
    </row>
    <row r="49" spans="1:12">
      <c r="A49" s="170"/>
      <c r="B49" s="171"/>
      <c r="C49" s="172"/>
      <c r="D49" s="172"/>
      <c r="E49" s="173"/>
      <c r="F49" s="172" t="s">
        <v>184</v>
      </c>
      <c r="G49" s="172">
        <v>1</v>
      </c>
      <c r="H49" s="174" t="s">
        <v>185</v>
      </c>
      <c r="I49" s="175" t="s">
        <v>82</v>
      </c>
      <c r="J49" s="176">
        <v>1</v>
      </c>
      <c r="K49" s="173"/>
      <c r="L49" s="177">
        <v>4</v>
      </c>
    </row>
    <row r="50" spans="1:12">
      <c r="A50" s="170"/>
      <c r="B50" s="171"/>
      <c r="C50" s="172"/>
      <c r="D50" s="172"/>
      <c r="E50" s="173"/>
      <c r="F50" s="172"/>
      <c r="G50" s="172"/>
      <c r="H50" s="174"/>
      <c r="I50" s="175" t="s">
        <v>177</v>
      </c>
      <c r="J50" s="176">
        <v>0</v>
      </c>
      <c r="K50" s="173" t="s">
        <v>178</v>
      </c>
      <c r="L50" s="177">
        <v>0</v>
      </c>
    </row>
    <row r="51" spans="1:12">
      <c r="A51" s="170"/>
      <c r="B51" s="171"/>
      <c r="C51" s="172"/>
      <c r="D51" s="172"/>
      <c r="E51" s="173"/>
      <c r="F51" s="172"/>
      <c r="G51" s="172"/>
      <c r="H51" s="174"/>
      <c r="I51" s="175" t="s">
        <v>179</v>
      </c>
      <c r="J51" s="176">
        <v>1</v>
      </c>
      <c r="K51" s="173"/>
      <c r="L51" s="177">
        <v>3</v>
      </c>
    </row>
    <row r="52" spans="1:12">
      <c r="A52" s="170"/>
      <c r="B52" s="171"/>
      <c r="C52" s="172"/>
      <c r="D52" s="172"/>
      <c r="E52" s="173"/>
      <c r="F52" s="173" t="s">
        <v>186</v>
      </c>
      <c r="G52" s="172">
        <v>1</v>
      </c>
      <c r="H52" s="174" t="s">
        <v>187</v>
      </c>
      <c r="I52" s="175" t="s">
        <v>182</v>
      </c>
      <c r="J52" s="176">
        <v>1</v>
      </c>
      <c r="K52" s="173"/>
      <c r="L52" s="178">
        <v>3</v>
      </c>
    </row>
    <row r="53" spans="1:12">
      <c r="A53" s="170"/>
      <c r="B53" s="171"/>
      <c r="C53" s="172"/>
      <c r="D53" s="172"/>
      <c r="E53" s="173"/>
      <c r="F53" s="173"/>
      <c r="G53" s="172"/>
      <c r="H53" s="174"/>
      <c r="I53" s="175" t="s">
        <v>183</v>
      </c>
      <c r="J53" s="176">
        <v>1</v>
      </c>
      <c r="K53" s="173"/>
      <c r="L53" s="178">
        <v>3</v>
      </c>
    </row>
    <row r="54" spans="1:12">
      <c r="A54" s="170"/>
      <c r="B54" s="171"/>
      <c r="C54" s="172"/>
      <c r="D54" s="172"/>
      <c r="E54" s="179" t="s">
        <v>157</v>
      </c>
      <c r="F54" s="179"/>
      <c r="G54" s="179"/>
      <c r="H54" s="179"/>
      <c r="I54" s="179"/>
      <c r="J54" s="180"/>
      <c r="K54" s="181"/>
      <c r="L54" s="182">
        <f>SUM(L44:L53)</f>
        <v>19</v>
      </c>
    </row>
    <row r="55" ht="13.8" spans="1:12">
      <c r="A55" s="170"/>
      <c r="B55" s="171"/>
      <c r="C55" s="172"/>
      <c r="D55" s="172"/>
      <c r="E55" s="173" t="s">
        <v>158</v>
      </c>
      <c r="F55" s="173"/>
      <c r="G55" s="173"/>
      <c r="H55" s="183"/>
      <c r="I55" s="172"/>
      <c r="J55" s="184"/>
      <c r="K55" s="173"/>
      <c r="L55" s="178"/>
    </row>
    <row r="56" spans="1:12">
      <c r="A56" s="170"/>
      <c r="B56" s="171"/>
      <c r="C56" s="172"/>
      <c r="D56" s="172"/>
      <c r="E56" s="173"/>
      <c r="F56" s="173"/>
      <c r="G56" s="173"/>
      <c r="H56" s="174"/>
      <c r="I56" s="173"/>
      <c r="J56" s="184"/>
      <c r="K56" s="173"/>
      <c r="L56" s="178"/>
    </row>
  </sheetData>
  <autoFilter xmlns:etc="http://www.wps.cn/officeDocument/2017/etCustomData" ref="A1:L43" etc:filterBottomFollowUsedRange="0">
    <extLst/>
  </autoFilter>
  <mergeCells count="64">
    <mergeCell ref="E18:H18"/>
    <mergeCell ref="E30:H30"/>
    <mergeCell ref="E35:H35"/>
    <mergeCell ref="E41:H41"/>
    <mergeCell ref="E54:H54"/>
    <mergeCell ref="A2:A20"/>
    <mergeCell ref="A21:A32"/>
    <mergeCell ref="A33:A37"/>
    <mergeCell ref="A38:A43"/>
    <mergeCell ref="A44:A56"/>
    <mergeCell ref="B2:B20"/>
    <mergeCell ref="B21:B32"/>
    <mergeCell ref="B33:B37"/>
    <mergeCell ref="B38:B43"/>
    <mergeCell ref="B44:B56"/>
    <mergeCell ref="C2:C20"/>
    <mergeCell ref="C21:C32"/>
    <mergeCell ref="C33:C37"/>
    <mergeCell ref="C38:C43"/>
    <mergeCell ref="C44:C56"/>
    <mergeCell ref="D2:D20"/>
    <mergeCell ref="D21:D32"/>
    <mergeCell ref="D33:D37"/>
    <mergeCell ref="D38:D43"/>
    <mergeCell ref="D44:D56"/>
    <mergeCell ref="E2:E17"/>
    <mergeCell ref="E19:E20"/>
    <mergeCell ref="E21:E29"/>
    <mergeCell ref="E31:E32"/>
    <mergeCell ref="E33:E34"/>
    <mergeCell ref="E36:E37"/>
    <mergeCell ref="E38:E40"/>
    <mergeCell ref="E42:E43"/>
    <mergeCell ref="E44:E53"/>
    <mergeCell ref="E55:E56"/>
    <mergeCell ref="F2:F17"/>
    <mergeCell ref="F19:F20"/>
    <mergeCell ref="F21:F23"/>
    <mergeCell ref="F25:F26"/>
    <mergeCell ref="F27:F29"/>
    <mergeCell ref="F31:F32"/>
    <mergeCell ref="F33:F34"/>
    <mergeCell ref="F36:F37"/>
    <mergeCell ref="F38:F40"/>
    <mergeCell ref="F42:F43"/>
    <mergeCell ref="F44:F46"/>
    <mergeCell ref="F47:F48"/>
    <mergeCell ref="F49:F51"/>
    <mergeCell ref="F52:F53"/>
    <mergeCell ref="F55:F56"/>
    <mergeCell ref="G10:G11"/>
    <mergeCell ref="G14:G15"/>
    <mergeCell ref="G25:G26"/>
    <mergeCell ref="G44:G46"/>
    <mergeCell ref="G47:G48"/>
    <mergeCell ref="G49:G51"/>
    <mergeCell ref="G52:G53"/>
    <mergeCell ref="H10:H11"/>
    <mergeCell ref="H14:H15"/>
    <mergeCell ref="H25:H26"/>
    <mergeCell ref="H44:H46"/>
    <mergeCell ref="H47:H48"/>
    <mergeCell ref="H49:H51"/>
    <mergeCell ref="H52:H5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1"/>
  <sheetViews>
    <sheetView workbookViewId="0">
      <pane ySplit="1" topLeftCell="A25" activePane="bottomLeft" state="frozen"/>
      <selection/>
      <selection pane="bottomLeft" activeCell="A44" sqref="A44:A51"/>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15.6" spans="1:26">
      <c r="A2" s="3" t="s">
        <v>188</v>
      </c>
      <c r="B2" s="17" t="s">
        <v>39</v>
      </c>
      <c r="C2" s="16">
        <v>0.99</v>
      </c>
      <c r="D2" s="13"/>
      <c r="E2" s="23" t="s">
        <v>138</v>
      </c>
      <c r="F2" s="13" t="s">
        <v>35</v>
      </c>
      <c r="G2" s="13">
        <v>1</v>
      </c>
      <c r="H2" s="14" t="s">
        <v>189</v>
      </c>
      <c r="I2" s="15" t="s">
        <v>39</v>
      </c>
      <c r="J2" s="16">
        <v>1</v>
      </c>
      <c r="K2" s="13"/>
      <c r="L2" s="17">
        <v>2.5</v>
      </c>
      <c r="M2" s="8"/>
      <c r="N2" s="8"/>
      <c r="O2" s="8"/>
      <c r="P2" s="8"/>
      <c r="Q2" s="8"/>
      <c r="R2" s="8"/>
      <c r="S2" s="8"/>
      <c r="T2" s="8"/>
      <c r="U2" s="8"/>
      <c r="V2" s="8"/>
      <c r="W2" s="8"/>
      <c r="X2" s="8"/>
      <c r="Y2" s="8"/>
      <c r="Z2" s="8"/>
    </row>
    <row r="3" ht="15.6" spans="1:26">
      <c r="A3" s="3"/>
      <c r="B3" s="17"/>
      <c r="C3" s="13"/>
      <c r="D3" s="13"/>
      <c r="E3" s="23"/>
      <c r="F3" s="13"/>
      <c r="G3" s="13">
        <v>2</v>
      </c>
      <c r="H3" s="22" t="s">
        <v>190</v>
      </c>
      <c r="I3" s="15" t="s">
        <v>39</v>
      </c>
      <c r="J3" s="16">
        <v>1</v>
      </c>
      <c r="K3" s="13"/>
      <c r="L3" s="17">
        <v>0.5</v>
      </c>
      <c r="M3" s="8"/>
      <c r="N3" s="8"/>
      <c r="O3" s="8"/>
      <c r="P3" s="8"/>
      <c r="Q3" s="8"/>
      <c r="R3" s="8"/>
      <c r="S3" s="8"/>
      <c r="T3" s="8"/>
      <c r="U3" s="8"/>
      <c r="V3" s="8"/>
      <c r="W3" s="8"/>
      <c r="X3" s="8"/>
      <c r="Y3" s="8"/>
      <c r="Z3" s="8"/>
    </row>
    <row r="4" ht="15.6" spans="1:26">
      <c r="A4" s="3"/>
      <c r="B4" s="17"/>
      <c r="C4" s="13"/>
      <c r="D4" s="13"/>
      <c r="E4" s="23"/>
      <c r="F4" s="13"/>
      <c r="G4" s="13">
        <v>3</v>
      </c>
      <c r="H4" s="14" t="s">
        <v>191</v>
      </c>
      <c r="I4" s="15" t="s">
        <v>39</v>
      </c>
      <c r="J4" s="16">
        <v>1</v>
      </c>
      <c r="K4" s="13"/>
      <c r="L4" s="17">
        <v>1</v>
      </c>
      <c r="M4" s="8"/>
      <c r="N4" s="8"/>
      <c r="O4" s="8"/>
      <c r="P4" s="8"/>
      <c r="Q4" s="8"/>
      <c r="R4" s="8"/>
      <c r="S4" s="8"/>
      <c r="T4" s="8"/>
      <c r="U4" s="8"/>
      <c r="V4" s="8"/>
      <c r="W4" s="8"/>
      <c r="X4" s="8"/>
      <c r="Y4" s="8"/>
      <c r="Z4" s="8"/>
    </row>
    <row r="5" ht="15.6" spans="1:26">
      <c r="A5" s="3"/>
      <c r="B5" s="17"/>
      <c r="C5" s="13"/>
      <c r="D5" s="13"/>
      <c r="E5" s="23"/>
      <c r="F5" s="13"/>
      <c r="G5" s="13">
        <v>4</v>
      </c>
      <c r="H5" s="14" t="s">
        <v>192</v>
      </c>
      <c r="I5" s="15" t="s">
        <v>39</v>
      </c>
      <c r="J5" s="16">
        <v>1</v>
      </c>
      <c r="K5" s="13"/>
      <c r="L5" s="17">
        <v>1</v>
      </c>
      <c r="M5" s="8"/>
      <c r="N5" s="8"/>
      <c r="O5" s="8"/>
      <c r="P5" s="8"/>
      <c r="Q5" s="8"/>
      <c r="R5" s="8"/>
      <c r="S5" s="8"/>
      <c r="T5" s="8"/>
      <c r="U5" s="8"/>
      <c r="V5" s="8"/>
      <c r="W5" s="8"/>
      <c r="X5" s="8"/>
      <c r="Y5" s="8"/>
      <c r="Z5" s="8"/>
    </row>
    <row r="6" ht="15" spans="1:26">
      <c r="A6" s="3"/>
      <c r="B6" s="17"/>
      <c r="C6" s="13"/>
      <c r="D6" s="13"/>
      <c r="E6" s="26" t="s">
        <v>157</v>
      </c>
      <c r="F6" s="26"/>
      <c r="G6" s="26"/>
      <c r="H6" s="26"/>
      <c r="I6" s="26"/>
      <c r="J6" s="27"/>
      <c r="K6" s="28"/>
      <c r="L6" s="29">
        <v>5</v>
      </c>
      <c r="M6" s="8"/>
      <c r="N6" s="8"/>
      <c r="O6" s="8"/>
      <c r="P6" s="8"/>
      <c r="Q6" s="8"/>
      <c r="R6" s="8"/>
      <c r="S6" s="8"/>
      <c r="T6" s="8"/>
      <c r="U6" s="8"/>
      <c r="V6" s="8"/>
      <c r="W6" s="8"/>
      <c r="X6" s="8"/>
      <c r="Y6" s="8"/>
      <c r="Z6" s="8"/>
    </row>
    <row r="7" ht="15.6" spans="1:26">
      <c r="A7" s="3"/>
      <c r="B7" s="17"/>
      <c r="C7" s="13"/>
      <c r="D7" s="13"/>
      <c r="E7" s="23" t="s">
        <v>158</v>
      </c>
      <c r="F7" s="23" t="s">
        <v>35</v>
      </c>
      <c r="G7" s="23">
        <v>1</v>
      </c>
      <c r="H7" s="30"/>
      <c r="I7" s="13"/>
      <c r="J7" s="31"/>
      <c r="K7" s="23"/>
      <c r="L7" s="32"/>
      <c r="M7" s="8"/>
      <c r="N7" s="8"/>
      <c r="O7" s="8"/>
      <c r="P7" s="8"/>
      <c r="Q7" s="8"/>
      <c r="R7" s="8"/>
      <c r="S7" s="8"/>
      <c r="T7" s="8"/>
      <c r="U7" s="8"/>
      <c r="V7" s="8"/>
      <c r="W7" s="8"/>
      <c r="X7" s="8"/>
      <c r="Y7" s="8"/>
      <c r="Z7" s="8"/>
    </row>
    <row r="8" ht="15.6" spans="1:26">
      <c r="A8" s="3"/>
      <c r="B8" s="17"/>
      <c r="C8" s="13"/>
      <c r="D8" s="13"/>
      <c r="E8" s="23"/>
      <c r="F8" s="23"/>
      <c r="G8" s="23">
        <v>2</v>
      </c>
      <c r="H8" s="30"/>
      <c r="I8" s="23"/>
      <c r="J8" s="31"/>
      <c r="K8" s="23"/>
      <c r="L8" s="32"/>
      <c r="M8" s="8"/>
      <c r="N8" s="8"/>
      <c r="O8" s="8"/>
      <c r="P8" s="8"/>
      <c r="Q8" s="8"/>
      <c r="R8" s="8"/>
      <c r="S8" s="8"/>
      <c r="T8" s="8"/>
      <c r="U8" s="8"/>
      <c r="V8" s="8"/>
      <c r="W8" s="8"/>
      <c r="X8" s="8"/>
      <c r="Y8" s="8"/>
      <c r="Z8" s="8"/>
    </row>
    <row r="9" ht="15" spans="1:26">
      <c r="A9" s="3" t="s">
        <v>48</v>
      </c>
      <c r="B9" s="17" t="s">
        <v>49</v>
      </c>
      <c r="C9" s="13"/>
      <c r="D9" s="13"/>
      <c r="E9" s="23" t="s">
        <v>138</v>
      </c>
      <c r="F9" s="13" t="s">
        <v>172</v>
      </c>
      <c r="G9" s="13">
        <v>1</v>
      </c>
      <c r="H9" s="155" t="s">
        <v>193</v>
      </c>
      <c r="I9" s="15" t="s">
        <v>49</v>
      </c>
      <c r="J9" s="16">
        <v>1</v>
      </c>
      <c r="K9" s="23"/>
      <c r="L9" s="32">
        <v>5</v>
      </c>
    </row>
    <row r="10" ht="15" spans="1:26">
      <c r="A10" s="3"/>
      <c r="B10" s="17"/>
      <c r="C10" s="13"/>
      <c r="D10" s="13"/>
      <c r="E10" s="26" t="s">
        <v>157</v>
      </c>
      <c r="F10" s="26"/>
      <c r="G10" s="26"/>
      <c r="H10" s="26"/>
      <c r="I10" s="26"/>
      <c r="J10" s="27"/>
      <c r="K10" s="28"/>
      <c r="L10" s="29">
        <v>5</v>
      </c>
    </row>
    <row r="11" ht="15.6" spans="1:26">
      <c r="A11" s="3"/>
      <c r="B11" s="17"/>
      <c r="C11" s="13"/>
      <c r="D11" s="13"/>
      <c r="E11" s="23" t="s">
        <v>158</v>
      </c>
      <c r="F11" s="23"/>
      <c r="G11" s="23"/>
      <c r="H11" s="30"/>
      <c r="I11" s="13"/>
      <c r="J11" s="31"/>
      <c r="K11" s="23"/>
      <c r="L11" s="32"/>
    </row>
    <row r="12" ht="15" spans="1:26">
      <c r="A12" s="3"/>
      <c r="B12" s="17"/>
      <c r="C12" s="13"/>
      <c r="D12" s="13"/>
      <c r="E12" s="23"/>
      <c r="F12" s="23"/>
      <c r="G12" s="23"/>
      <c r="H12" s="14"/>
      <c r="I12" s="23"/>
      <c r="J12" s="31"/>
      <c r="K12" s="23"/>
      <c r="L12" s="32"/>
    </row>
    <row r="13" ht="15" spans="1:26">
      <c r="A13" s="3" t="s">
        <v>194</v>
      </c>
      <c r="B13" s="17" t="s">
        <v>42</v>
      </c>
      <c r="C13" s="13"/>
      <c r="D13" s="13"/>
      <c r="E13" s="23" t="s">
        <v>138</v>
      </c>
      <c r="F13" s="13" t="s">
        <v>172</v>
      </c>
      <c r="G13" s="13">
        <v>1</v>
      </c>
      <c r="H13" s="155" t="s">
        <v>195</v>
      </c>
      <c r="I13" s="15" t="s">
        <v>82</v>
      </c>
      <c r="J13" s="16">
        <v>1</v>
      </c>
      <c r="K13" s="23"/>
      <c r="L13" s="32">
        <v>3</v>
      </c>
    </row>
    <row r="14" ht="15" spans="1:26">
      <c r="A14" s="3"/>
      <c r="B14" s="17"/>
      <c r="C14" s="13"/>
      <c r="D14" s="13"/>
      <c r="E14" s="23"/>
      <c r="F14" s="13"/>
      <c r="G14" s="13">
        <v>2</v>
      </c>
      <c r="H14" s="155" t="s">
        <v>195</v>
      </c>
      <c r="I14" s="15" t="s">
        <v>177</v>
      </c>
      <c r="J14" s="16">
        <v>1</v>
      </c>
      <c r="K14" s="23"/>
      <c r="L14" s="32">
        <v>2</v>
      </c>
    </row>
    <row r="15" ht="15" spans="1:26">
      <c r="A15" s="3"/>
      <c r="B15" s="17"/>
      <c r="C15" s="13"/>
      <c r="D15" s="13"/>
      <c r="E15" s="23"/>
      <c r="F15" s="13"/>
      <c r="G15" s="13">
        <v>3</v>
      </c>
      <c r="H15" s="155" t="s">
        <v>195</v>
      </c>
      <c r="I15" s="15" t="s">
        <v>179</v>
      </c>
      <c r="J15" s="16">
        <v>1</v>
      </c>
      <c r="K15" s="23"/>
      <c r="L15" s="32">
        <v>2</v>
      </c>
    </row>
    <row r="16" ht="15" spans="1:26">
      <c r="A16" s="3"/>
      <c r="B16" s="17"/>
      <c r="C16" s="13"/>
      <c r="D16" s="13"/>
      <c r="E16" s="23"/>
      <c r="F16" s="13"/>
      <c r="G16" s="13">
        <v>4</v>
      </c>
      <c r="H16" s="14" t="s">
        <v>196</v>
      </c>
      <c r="I16" s="15" t="s">
        <v>197</v>
      </c>
      <c r="J16" s="16">
        <v>1</v>
      </c>
      <c r="K16" s="23"/>
      <c r="L16" s="32">
        <v>5</v>
      </c>
    </row>
    <row r="17" ht="60" spans="1:12">
      <c r="A17" s="3"/>
      <c r="B17" s="17"/>
      <c r="C17" s="13"/>
      <c r="D17" s="13"/>
      <c r="E17" s="23"/>
      <c r="F17" s="13"/>
      <c r="G17" s="13">
        <v>5</v>
      </c>
      <c r="H17" s="14" t="s">
        <v>198</v>
      </c>
      <c r="I17" s="15" t="s">
        <v>73</v>
      </c>
      <c r="J17" s="16">
        <v>1</v>
      </c>
      <c r="K17" s="23"/>
      <c r="L17" s="32">
        <v>2</v>
      </c>
    </row>
    <row r="18" ht="30" spans="1:12">
      <c r="A18" s="3"/>
      <c r="B18" s="17"/>
      <c r="C18" s="13"/>
      <c r="D18" s="13"/>
      <c r="E18" s="23"/>
      <c r="F18" s="13"/>
      <c r="G18" s="13">
        <v>6</v>
      </c>
      <c r="H18" s="155" t="s">
        <v>199</v>
      </c>
      <c r="I18" s="15" t="s">
        <v>42</v>
      </c>
      <c r="J18" s="16">
        <v>1</v>
      </c>
      <c r="K18" s="23"/>
      <c r="L18" s="32">
        <v>2</v>
      </c>
    </row>
    <row r="19" ht="15" spans="1:12">
      <c r="A19" s="3"/>
      <c r="B19" s="17"/>
      <c r="C19" s="13"/>
      <c r="D19" s="13"/>
      <c r="E19" s="23"/>
      <c r="F19" s="13"/>
      <c r="G19" s="13">
        <v>7</v>
      </c>
      <c r="H19" s="155" t="s">
        <v>200</v>
      </c>
      <c r="I19" s="15" t="s">
        <v>201</v>
      </c>
      <c r="J19" s="16">
        <v>1</v>
      </c>
      <c r="K19" s="23"/>
      <c r="L19" s="32">
        <v>1</v>
      </c>
    </row>
    <row r="20" ht="15" spans="1:12">
      <c r="A20" s="3"/>
      <c r="B20" s="17"/>
      <c r="C20" s="13"/>
      <c r="D20" s="13"/>
      <c r="E20" s="26" t="s">
        <v>157</v>
      </c>
      <c r="F20" s="26"/>
      <c r="G20" s="26"/>
      <c r="H20" s="26"/>
      <c r="I20" s="26"/>
      <c r="J20" s="27"/>
      <c r="K20" s="28"/>
      <c r="L20" s="29">
        <f>SUM(L13:L19)</f>
        <v>17</v>
      </c>
    </row>
    <row r="21" ht="15.6" spans="1:12">
      <c r="A21" s="3"/>
      <c r="B21" s="17"/>
      <c r="C21" s="13"/>
      <c r="D21" s="13"/>
      <c r="E21" s="23" t="s">
        <v>158</v>
      </c>
      <c r="F21" s="23"/>
      <c r="G21" s="23"/>
      <c r="H21" s="30"/>
      <c r="I21" s="13"/>
      <c r="J21" s="31"/>
      <c r="K21" s="23"/>
      <c r="L21" s="32"/>
    </row>
    <row r="22" ht="15" spans="1:12">
      <c r="A22" s="3"/>
      <c r="B22" s="17"/>
      <c r="C22" s="13"/>
      <c r="D22" s="13"/>
      <c r="E22" s="23"/>
      <c r="F22" s="23"/>
      <c r="G22" s="23"/>
      <c r="H22" s="14"/>
      <c r="I22" s="23"/>
      <c r="J22" s="31"/>
      <c r="K22" s="23"/>
      <c r="L22" s="32"/>
    </row>
    <row r="23" ht="45" spans="1:12">
      <c r="A23" s="3" t="s">
        <v>41</v>
      </c>
      <c r="B23" s="17" t="s">
        <v>42</v>
      </c>
      <c r="C23" s="13"/>
      <c r="D23" s="13"/>
      <c r="E23" s="23" t="s">
        <v>138</v>
      </c>
      <c r="F23" s="13" t="s">
        <v>172</v>
      </c>
      <c r="G23" s="13">
        <v>1</v>
      </c>
      <c r="H23" s="155" t="s">
        <v>202</v>
      </c>
      <c r="I23" s="15" t="s">
        <v>170</v>
      </c>
      <c r="J23" s="16">
        <v>1</v>
      </c>
      <c r="K23" s="23"/>
      <c r="L23" s="32">
        <v>4</v>
      </c>
    </row>
    <row r="24" ht="45" spans="1:12">
      <c r="A24" s="3"/>
      <c r="B24" s="17"/>
      <c r="C24" s="13"/>
      <c r="D24" s="13"/>
      <c r="E24" s="23"/>
      <c r="F24" s="13"/>
      <c r="G24" s="13">
        <v>2</v>
      </c>
      <c r="H24" s="14" t="s">
        <v>203</v>
      </c>
      <c r="I24" s="15" t="s">
        <v>201</v>
      </c>
      <c r="J24" s="16">
        <v>1</v>
      </c>
      <c r="K24" s="23"/>
      <c r="L24" s="32">
        <v>3</v>
      </c>
    </row>
    <row r="25" ht="45" spans="1:12">
      <c r="A25" s="3"/>
      <c r="B25" s="17"/>
      <c r="C25" s="13"/>
      <c r="D25" s="13"/>
      <c r="E25" s="23"/>
      <c r="F25" s="13"/>
      <c r="G25" s="13">
        <v>3</v>
      </c>
      <c r="H25" s="14" t="s">
        <v>204</v>
      </c>
      <c r="I25" s="15" t="s">
        <v>42</v>
      </c>
      <c r="J25" s="16">
        <v>1</v>
      </c>
      <c r="K25" s="23"/>
      <c r="L25" s="32">
        <v>3</v>
      </c>
    </row>
    <row r="26" ht="15" spans="1:12">
      <c r="A26" s="3"/>
      <c r="B26" s="17"/>
      <c r="C26" s="13"/>
      <c r="D26" s="13"/>
      <c r="E26" s="26" t="s">
        <v>157</v>
      </c>
      <c r="F26" s="26"/>
      <c r="G26" s="26"/>
      <c r="H26" s="26"/>
      <c r="I26" s="26"/>
      <c r="J26" s="27"/>
      <c r="K26" s="28"/>
      <c r="L26" s="29">
        <f>SUM(L23:L25)</f>
        <v>10</v>
      </c>
    </row>
    <row r="27" ht="15.6" spans="1:12">
      <c r="A27" s="3"/>
      <c r="B27" s="17"/>
      <c r="C27" s="13"/>
      <c r="D27" s="13"/>
      <c r="E27" s="23" t="s">
        <v>158</v>
      </c>
      <c r="F27" s="23"/>
      <c r="G27" s="23"/>
      <c r="H27" s="30"/>
      <c r="I27" s="13"/>
      <c r="J27" s="31"/>
      <c r="K27" s="23"/>
      <c r="L27" s="32"/>
    </row>
    <row r="28" ht="15" spans="1:12">
      <c r="A28" s="3"/>
      <c r="B28" s="17"/>
      <c r="C28" s="13"/>
      <c r="D28" s="13"/>
      <c r="E28" s="23"/>
      <c r="F28" s="23"/>
      <c r="G28" s="23"/>
      <c r="H28" s="14"/>
      <c r="I28" s="23"/>
      <c r="J28" s="31"/>
      <c r="K28" s="23"/>
      <c r="L28" s="32"/>
    </row>
    <row r="29" ht="15" spans="1:12">
      <c r="A29" s="3" t="s">
        <v>84</v>
      </c>
      <c r="B29" s="17" t="s">
        <v>51</v>
      </c>
      <c r="C29" s="13"/>
      <c r="D29" s="13"/>
      <c r="E29" s="12" t="s">
        <v>138</v>
      </c>
      <c r="F29" s="11" t="s">
        <v>172</v>
      </c>
      <c r="G29" s="13">
        <v>1</v>
      </c>
      <c r="H29" s="155" t="s">
        <v>205</v>
      </c>
      <c r="I29" s="15" t="s">
        <v>206</v>
      </c>
      <c r="J29" s="16">
        <v>1</v>
      </c>
      <c r="K29" s="23"/>
      <c r="L29" s="32">
        <v>5</v>
      </c>
    </row>
    <row r="30" ht="15" spans="1:12">
      <c r="A30" s="3"/>
      <c r="B30" s="17"/>
      <c r="C30" s="13"/>
      <c r="D30" s="13"/>
      <c r="E30" s="21"/>
      <c r="F30" s="20"/>
      <c r="G30" s="13">
        <v>2</v>
      </c>
      <c r="H30" s="155" t="s">
        <v>205</v>
      </c>
      <c r="I30" s="15" t="s">
        <v>207</v>
      </c>
      <c r="J30" s="16">
        <v>1</v>
      </c>
      <c r="K30" s="23"/>
      <c r="L30" s="32">
        <v>4.5</v>
      </c>
    </row>
    <row r="31" ht="15" spans="1:12">
      <c r="A31" s="3"/>
      <c r="B31" s="17"/>
      <c r="C31" s="13"/>
      <c r="D31" s="13"/>
      <c r="E31" s="21"/>
      <c r="F31" s="20"/>
      <c r="G31" s="13">
        <v>3</v>
      </c>
      <c r="H31" s="155" t="s">
        <v>208</v>
      </c>
      <c r="I31" s="15" t="s">
        <v>51</v>
      </c>
      <c r="J31" s="16">
        <v>1</v>
      </c>
      <c r="K31" s="23"/>
      <c r="L31" s="32">
        <v>5</v>
      </c>
    </row>
    <row r="32" ht="15" spans="1:12">
      <c r="A32" s="3"/>
      <c r="B32" s="17"/>
      <c r="C32" s="13"/>
      <c r="D32" s="13"/>
      <c r="E32" s="24"/>
      <c r="F32" s="25"/>
      <c r="G32" s="13"/>
      <c r="H32" s="155"/>
      <c r="I32" s="15"/>
      <c r="J32" s="16"/>
      <c r="K32" s="23"/>
      <c r="L32" s="32"/>
    </row>
    <row r="33" ht="15" spans="1:12">
      <c r="A33" s="3"/>
      <c r="B33" s="17"/>
      <c r="C33" s="13"/>
      <c r="D33" s="13"/>
      <c r="E33" s="26" t="s">
        <v>157</v>
      </c>
      <c r="F33" s="26"/>
      <c r="G33" s="26"/>
      <c r="H33" s="26"/>
      <c r="I33" s="26"/>
      <c r="J33" s="27"/>
      <c r="K33" s="28"/>
      <c r="L33" s="29">
        <f>SUM(L29:L32)</f>
        <v>14.5</v>
      </c>
    </row>
    <row r="34" ht="15.6" spans="1:12">
      <c r="A34" s="3"/>
      <c r="B34" s="17"/>
      <c r="C34" s="13"/>
      <c r="D34" s="13"/>
      <c r="E34" s="23" t="s">
        <v>158</v>
      </c>
      <c r="F34" s="23"/>
      <c r="G34" s="23"/>
      <c r="H34" s="30"/>
      <c r="I34" s="13"/>
      <c r="J34" s="31"/>
      <c r="K34" s="23"/>
      <c r="L34" s="32"/>
    </row>
    <row r="35" ht="15" spans="1:12">
      <c r="A35" s="3"/>
      <c r="B35" s="17"/>
      <c r="C35" s="13"/>
      <c r="D35" s="13"/>
      <c r="E35" s="23"/>
      <c r="F35" s="23"/>
      <c r="G35" s="23"/>
      <c r="H35" s="14"/>
      <c r="I35" s="23"/>
      <c r="J35" s="31"/>
      <c r="K35" s="23"/>
      <c r="L35" s="32"/>
    </row>
    <row r="36" ht="15" spans="1:12">
      <c r="A36" s="3" t="s">
        <v>50</v>
      </c>
      <c r="B36" s="17" t="s">
        <v>51</v>
      </c>
      <c r="C36" s="13"/>
      <c r="D36" s="13"/>
      <c r="E36" s="12" t="s">
        <v>138</v>
      </c>
      <c r="F36" s="11" t="s">
        <v>35</v>
      </c>
      <c r="G36" s="11">
        <v>1</v>
      </c>
      <c r="H36" s="155" t="s">
        <v>209</v>
      </c>
      <c r="I36" s="158" t="s">
        <v>210</v>
      </c>
      <c r="J36" s="16">
        <v>0.9</v>
      </c>
      <c r="K36" s="23"/>
      <c r="L36" s="32">
        <v>1</v>
      </c>
    </row>
    <row r="37" ht="15" spans="1:12">
      <c r="A37" s="3"/>
      <c r="B37" s="17"/>
      <c r="C37" s="13"/>
      <c r="D37" s="13"/>
      <c r="E37" s="21"/>
      <c r="F37" s="20"/>
      <c r="G37" s="25"/>
      <c r="H37" s="155" t="s">
        <v>211</v>
      </c>
      <c r="I37" s="159"/>
      <c r="J37" s="16">
        <v>0.8</v>
      </c>
      <c r="K37" s="23"/>
      <c r="L37" s="32">
        <v>1</v>
      </c>
    </row>
    <row r="38" ht="15" spans="1:12">
      <c r="A38" s="3"/>
      <c r="B38" s="17"/>
      <c r="C38" s="13"/>
      <c r="D38" s="13"/>
      <c r="E38" s="21"/>
      <c r="F38" s="20"/>
      <c r="G38" s="13">
        <v>2</v>
      </c>
      <c r="H38" s="155" t="s">
        <v>212</v>
      </c>
      <c r="I38" s="15" t="s">
        <v>213</v>
      </c>
      <c r="J38" s="16">
        <v>0.7</v>
      </c>
      <c r="K38" s="23"/>
      <c r="L38" s="32">
        <v>4</v>
      </c>
    </row>
    <row r="39" ht="15" spans="1:12">
      <c r="A39" s="3"/>
      <c r="B39" s="17"/>
      <c r="C39" s="13"/>
      <c r="D39" s="13"/>
      <c r="E39" s="21"/>
      <c r="F39" s="20"/>
      <c r="G39" s="13">
        <v>3</v>
      </c>
      <c r="H39" s="155" t="s">
        <v>214</v>
      </c>
      <c r="I39" s="15" t="s">
        <v>215</v>
      </c>
      <c r="J39" s="157">
        <v>0.9</v>
      </c>
      <c r="K39" s="23"/>
      <c r="L39" s="32">
        <v>3</v>
      </c>
    </row>
    <row r="40" ht="15" spans="1:12">
      <c r="A40" s="3"/>
      <c r="B40" s="17"/>
      <c r="C40" s="13"/>
      <c r="D40" s="13"/>
      <c r="E40" s="24"/>
      <c r="F40" s="25"/>
      <c r="G40" s="13"/>
      <c r="H40" s="155"/>
      <c r="I40" s="15"/>
      <c r="J40" s="16"/>
      <c r="K40" s="23"/>
      <c r="L40" s="32"/>
    </row>
    <row r="41" ht="15" spans="1:12">
      <c r="A41" s="3"/>
      <c r="B41" s="17"/>
      <c r="C41" s="13"/>
      <c r="D41" s="13"/>
      <c r="E41" s="26" t="s">
        <v>157</v>
      </c>
      <c r="F41" s="26"/>
      <c r="G41" s="26"/>
      <c r="H41" s="26"/>
      <c r="I41" s="26"/>
      <c r="J41" s="27"/>
      <c r="K41" s="28"/>
      <c r="L41" s="29">
        <f>SUM(L36:L40)</f>
        <v>9</v>
      </c>
    </row>
    <row r="42" ht="15.6" spans="1:12">
      <c r="A42" s="3"/>
      <c r="B42" s="17"/>
      <c r="C42" s="13"/>
      <c r="D42" s="13"/>
      <c r="E42" s="23"/>
      <c r="F42" s="23"/>
      <c r="G42" s="23"/>
      <c r="H42" s="30"/>
      <c r="I42" s="13"/>
      <c r="J42" s="31"/>
      <c r="K42" s="23"/>
      <c r="L42" s="32"/>
    </row>
    <row r="43" ht="15" spans="1:12">
      <c r="A43" s="3"/>
      <c r="B43" s="17"/>
      <c r="C43" s="13"/>
      <c r="D43" s="13"/>
      <c r="E43" s="23"/>
      <c r="F43" s="23"/>
      <c r="G43" s="23"/>
      <c r="H43" s="14"/>
      <c r="I43" s="23"/>
      <c r="J43" s="31"/>
      <c r="K43" s="23"/>
      <c r="L43" s="32"/>
    </row>
    <row r="44" ht="15" spans="1:12">
      <c r="A44" s="3" t="s">
        <v>216</v>
      </c>
      <c r="B44" s="17"/>
      <c r="C44" s="13"/>
      <c r="D44" s="13"/>
      <c r="E44" s="21"/>
      <c r="F44" s="20"/>
      <c r="G44" s="13">
        <v>1</v>
      </c>
      <c r="H44" s="155" t="s">
        <v>217</v>
      </c>
      <c r="I44" s="15" t="s">
        <v>207</v>
      </c>
      <c r="J44" s="16">
        <v>1</v>
      </c>
      <c r="K44" s="23"/>
      <c r="L44" s="32">
        <v>0.5</v>
      </c>
    </row>
    <row r="45" ht="30" spans="1:12">
      <c r="A45" s="3"/>
      <c r="B45" s="17"/>
      <c r="C45" s="13"/>
      <c r="D45" s="13"/>
      <c r="E45" s="21"/>
      <c r="F45" s="20"/>
      <c r="G45" s="13">
        <v>2</v>
      </c>
      <c r="H45" s="155" t="s">
        <v>218</v>
      </c>
      <c r="I45" s="15" t="s">
        <v>219</v>
      </c>
      <c r="J45" s="16">
        <v>1</v>
      </c>
      <c r="K45" s="23"/>
      <c r="L45" s="32">
        <v>4</v>
      </c>
    </row>
    <row r="46" ht="15" spans="1:12">
      <c r="A46" s="3"/>
      <c r="B46" s="17"/>
      <c r="C46" s="13"/>
      <c r="D46" s="13"/>
      <c r="E46" s="21"/>
      <c r="F46" s="20"/>
      <c r="G46" s="13">
        <v>3</v>
      </c>
      <c r="H46" s="155" t="s">
        <v>220</v>
      </c>
      <c r="I46" s="15" t="s">
        <v>221</v>
      </c>
      <c r="J46" s="16">
        <v>1</v>
      </c>
      <c r="K46" s="23"/>
      <c r="L46" s="32">
        <v>5</v>
      </c>
    </row>
    <row r="47" ht="15" spans="1:12">
      <c r="A47" s="3"/>
      <c r="B47" s="17"/>
      <c r="C47" s="13"/>
      <c r="D47" s="13"/>
      <c r="E47" s="21"/>
      <c r="F47" s="20"/>
      <c r="G47" s="13">
        <v>4</v>
      </c>
      <c r="H47" s="155" t="s">
        <v>222</v>
      </c>
      <c r="I47" s="15" t="s">
        <v>223</v>
      </c>
      <c r="J47" s="16">
        <v>1</v>
      </c>
      <c r="K47" s="23"/>
      <c r="L47" s="32">
        <v>5</v>
      </c>
    </row>
    <row r="48" ht="15" spans="1:12">
      <c r="A48" s="3"/>
      <c r="B48" s="17"/>
      <c r="C48" s="13"/>
      <c r="D48" s="13"/>
      <c r="E48" s="21"/>
      <c r="F48" s="20"/>
      <c r="G48" s="13">
        <v>5</v>
      </c>
      <c r="H48" s="155" t="s">
        <v>224</v>
      </c>
      <c r="I48" s="15" t="s">
        <v>225</v>
      </c>
      <c r="J48" s="16">
        <v>1</v>
      </c>
      <c r="K48" s="23"/>
      <c r="L48" s="32">
        <v>5</v>
      </c>
    </row>
    <row r="49" ht="15" spans="1:12">
      <c r="A49" s="3"/>
      <c r="B49" s="17"/>
      <c r="C49" s="13"/>
      <c r="D49" s="13"/>
      <c r="E49" s="26" t="s">
        <v>157</v>
      </c>
      <c r="F49" s="26"/>
      <c r="G49" s="26"/>
      <c r="H49" s="26"/>
      <c r="I49" s="26"/>
      <c r="J49" s="27"/>
      <c r="K49" s="28"/>
      <c r="L49" s="29">
        <f>SUM(L44:L48)</f>
        <v>19.5</v>
      </c>
    </row>
    <row r="50" ht="15.6" spans="1:12">
      <c r="A50" s="3"/>
      <c r="B50" s="17"/>
      <c r="C50" s="13"/>
      <c r="D50" s="13"/>
      <c r="E50" s="23" t="s">
        <v>158</v>
      </c>
      <c r="F50" s="23"/>
      <c r="G50" s="23"/>
      <c r="H50" s="30"/>
      <c r="I50" s="13"/>
      <c r="J50" s="31"/>
      <c r="K50" s="23"/>
      <c r="L50" s="32"/>
    </row>
    <row r="51" ht="15" spans="1:12">
      <c r="A51" s="3"/>
      <c r="B51" s="17"/>
      <c r="C51" s="13"/>
      <c r="D51" s="13"/>
      <c r="E51" s="23"/>
      <c r="F51" s="23"/>
      <c r="G51" s="23"/>
      <c r="H51" s="14"/>
      <c r="I51" s="23"/>
      <c r="J51" s="31"/>
      <c r="K51" s="23"/>
      <c r="L51" s="32"/>
    </row>
  </sheetData>
  <mergeCells count="63">
    <mergeCell ref="E6:H6"/>
    <mergeCell ref="E10:H10"/>
    <mergeCell ref="E20:H20"/>
    <mergeCell ref="E26:H26"/>
    <mergeCell ref="E33:H33"/>
    <mergeCell ref="E41:H41"/>
    <mergeCell ref="E49:H49"/>
    <mergeCell ref="A2:A8"/>
    <mergeCell ref="A9:A12"/>
    <mergeCell ref="A13:A22"/>
    <mergeCell ref="A23:A28"/>
    <mergeCell ref="A29:A35"/>
    <mergeCell ref="A36:A43"/>
    <mergeCell ref="A44:A51"/>
    <mergeCell ref="B2:B8"/>
    <mergeCell ref="B9:B12"/>
    <mergeCell ref="B13:B22"/>
    <mergeCell ref="B23:B28"/>
    <mergeCell ref="B29:B35"/>
    <mergeCell ref="B36:B43"/>
    <mergeCell ref="B44:B51"/>
    <mergeCell ref="C2:C8"/>
    <mergeCell ref="C9:C12"/>
    <mergeCell ref="C13:C22"/>
    <mergeCell ref="C23:C28"/>
    <mergeCell ref="C29:C35"/>
    <mergeCell ref="C36:C43"/>
    <mergeCell ref="C44:C51"/>
    <mergeCell ref="D2:D8"/>
    <mergeCell ref="D9:D12"/>
    <mergeCell ref="D13:D22"/>
    <mergeCell ref="D23:D28"/>
    <mergeCell ref="D29:D35"/>
    <mergeCell ref="D36:D43"/>
    <mergeCell ref="D44:D51"/>
    <mergeCell ref="E2:E5"/>
    <mergeCell ref="E7:E8"/>
    <mergeCell ref="E11:E12"/>
    <mergeCell ref="E13:E19"/>
    <mergeCell ref="E21:E22"/>
    <mergeCell ref="E23:E25"/>
    <mergeCell ref="E27:E28"/>
    <mergeCell ref="E29:E32"/>
    <mergeCell ref="E34:E35"/>
    <mergeCell ref="E36:E40"/>
    <mergeCell ref="E42:E43"/>
    <mergeCell ref="E44:E48"/>
    <mergeCell ref="E50:E51"/>
    <mergeCell ref="F2:F5"/>
    <mergeCell ref="F7:F8"/>
    <mergeCell ref="F11:F12"/>
    <mergeCell ref="F13:F19"/>
    <mergeCell ref="F21:F22"/>
    <mergeCell ref="F23:F25"/>
    <mergeCell ref="F27:F28"/>
    <mergeCell ref="F29:F32"/>
    <mergeCell ref="F34:F35"/>
    <mergeCell ref="F36:F40"/>
    <mergeCell ref="F42:F43"/>
    <mergeCell ref="F44:F48"/>
    <mergeCell ref="F50:F51"/>
    <mergeCell ref="G36:G37"/>
    <mergeCell ref="I36:I3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0"/>
  <sheetViews>
    <sheetView workbookViewId="0">
      <pane ySplit="1" topLeftCell="A2" activePane="bottomLeft" state="frozen"/>
      <selection/>
      <selection pane="bottomLeft" activeCell="C8" sqref="C8:C15"/>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15.6" spans="1:26">
      <c r="A2" s="3" t="s">
        <v>226</v>
      </c>
      <c r="B2" s="17" t="s">
        <v>227</v>
      </c>
      <c r="C2" s="16">
        <v>0.98</v>
      </c>
      <c r="D2" s="13"/>
      <c r="E2" s="23" t="s">
        <v>138</v>
      </c>
      <c r="F2" s="13" t="s">
        <v>35</v>
      </c>
      <c r="G2" s="13">
        <v>1</v>
      </c>
      <c r="H2" s="14" t="s">
        <v>228</v>
      </c>
      <c r="I2" s="15"/>
      <c r="J2" s="16"/>
      <c r="K2" s="13"/>
      <c r="L2" s="17"/>
    </row>
    <row r="3" ht="28" customHeight="1" spans="1:26">
      <c r="A3" s="3"/>
      <c r="B3" s="17"/>
      <c r="C3" s="13"/>
      <c r="D3" s="13"/>
      <c r="E3" s="26" t="s">
        <v>157</v>
      </c>
      <c r="F3" s="26"/>
      <c r="G3" s="26"/>
      <c r="H3" s="26"/>
      <c r="I3" s="26"/>
      <c r="J3" s="27"/>
      <c r="K3" s="28"/>
      <c r="L3" s="29">
        <f>SUM(L2)</f>
        <v>0</v>
      </c>
    </row>
    <row r="4" ht="30" customHeight="1" spans="1:26">
      <c r="A4" s="3"/>
      <c r="B4" s="17"/>
      <c r="C4" s="13"/>
      <c r="D4" s="13"/>
      <c r="E4" s="23" t="s">
        <v>158</v>
      </c>
      <c r="F4" s="23" t="s">
        <v>35</v>
      </c>
      <c r="G4" s="23">
        <v>1</v>
      </c>
      <c r="H4" s="30" t="s">
        <v>228</v>
      </c>
      <c r="I4" s="13"/>
      <c r="J4" s="31"/>
      <c r="K4" s="23"/>
      <c r="L4" s="32"/>
    </row>
    <row r="5" ht="30" customHeight="1" spans="1:26">
      <c r="A5" s="3" t="s">
        <v>229</v>
      </c>
      <c r="B5" s="17" t="s">
        <v>56</v>
      </c>
      <c r="C5" s="16">
        <v>1</v>
      </c>
      <c r="D5" s="13"/>
      <c r="E5" s="23" t="s">
        <v>138</v>
      </c>
      <c r="F5" s="13" t="s">
        <v>172</v>
      </c>
      <c r="G5" s="13">
        <v>1</v>
      </c>
      <c r="H5" s="14" t="s">
        <v>230</v>
      </c>
      <c r="I5" s="15" t="s">
        <v>231</v>
      </c>
      <c r="J5" s="16">
        <v>0.9</v>
      </c>
      <c r="K5" s="23"/>
      <c r="L5" s="17">
        <v>15</v>
      </c>
    </row>
    <row r="6" ht="27" customHeight="1" spans="1:26">
      <c r="A6" s="3"/>
      <c r="B6" s="17"/>
      <c r="C6" s="13"/>
      <c r="D6" s="13"/>
      <c r="E6" s="26" t="s">
        <v>157</v>
      </c>
      <c r="F6" s="26"/>
      <c r="G6" s="26"/>
      <c r="H6" s="26"/>
      <c r="I6" s="26"/>
      <c r="J6" s="27"/>
      <c r="K6" s="28"/>
      <c r="L6" s="29">
        <f>SUM(L5)</f>
        <v>15</v>
      </c>
    </row>
    <row r="7" ht="46" customHeight="1" spans="1:26">
      <c r="A7" s="3"/>
      <c r="B7" s="17"/>
      <c r="C7" s="13"/>
      <c r="D7" s="13"/>
      <c r="E7" s="23" t="s">
        <v>158</v>
      </c>
      <c r="F7" s="23" t="s">
        <v>172</v>
      </c>
      <c r="G7" s="23">
        <v>1</v>
      </c>
      <c r="H7" s="30" t="s">
        <v>232</v>
      </c>
      <c r="I7" s="13" t="s">
        <v>231</v>
      </c>
      <c r="J7" s="31"/>
      <c r="K7" s="23"/>
      <c r="L7" s="32"/>
    </row>
    <row r="8" ht="15" spans="1:26">
      <c r="A8" s="9" t="s">
        <v>233</v>
      </c>
      <c r="B8" s="10" t="s">
        <v>58</v>
      </c>
      <c r="C8" s="154">
        <v>0.85</v>
      </c>
      <c r="D8" s="11"/>
      <c r="E8" s="12" t="s">
        <v>138</v>
      </c>
      <c r="F8" s="11" t="s">
        <v>35</v>
      </c>
      <c r="G8" s="13">
        <v>1</v>
      </c>
      <c r="H8" s="155" t="s">
        <v>234</v>
      </c>
      <c r="I8" s="15" t="s">
        <v>235</v>
      </c>
      <c r="J8" s="16">
        <v>0.95</v>
      </c>
      <c r="K8" s="23"/>
      <c r="L8" s="32">
        <v>7</v>
      </c>
    </row>
    <row r="9" ht="15" spans="1:26">
      <c r="A9" s="18"/>
      <c r="B9" s="19"/>
      <c r="C9" s="156"/>
      <c r="D9" s="20"/>
      <c r="E9" s="21"/>
      <c r="F9" s="20"/>
      <c r="G9" s="13">
        <v>2</v>
      </c>
      <c r="H9" s="155" t="s">
        <v>236</v>
      </c>
      <c r="I9" s="15" t="s">
        <v>237</v>
      </c>
      <c r="J9" s="16">
        <v>0.85</v>
      </c>
      <c r="K9" s="23"/>
      <c r="L9" s="32">
        <v>5</v>
      </c>
    </row>
    <row r="10" ht="15" spans="1:26">
      <c r="A10" s="18"/>
      <c r="B10" s="19"/>
      <c r="C10" s="156"/>
      <c r="D10" s="20"/>
      <c r="E10" s="21"/>
      <c r="F10" s="20"/>
      <c r="G10" s="13">
        <v>3</v>
      </c>
      <c r="H10" s="155" t="s">
        <v>238</v>
      </c>
      <c r="I10" s="15" t="s">
        <v>239</v>
      </c>
      <c r="J10" s="16">
        <v>0.98</v>
      </c>
      <c r="K10" s="23"/>
      <c r="L10" s="32">
        <v>2</v>
      </c>
    </row>
    <row r="11" ht="15" spans="1:26">
      <c r="A11" s="18"/>
      <c r="B11" s="19"/>
      <c r="C11" s="156"/>
      <c r="D11" s="20"/>
      <c r="E11" s="21"/>
      <c r="F11" s="20"/>
      <c r="G11" s="13">
        <v>4</v>
      </c>
      <c r="H11" s="155" t="s">
        <v>240</v>
      </c>
      <c r="I11" s="15" t="s">
        <v>241</v>
      </c>
      <c r="J11" s="16">
        <v>0.9</v>
      </c>
      <c r="K11" s="23"/>
      <c r="L11" s="32">
        <v>3.5</v>
      </c>
    </row>
    <row r="12" ht="15" spans="1:26">
      <c r="A12" s="18"/>
      <c r="B12" s="19"/>
      <c r="C12" s="156"/>
      <c r="D12" s="20"/>
      <c r="E12" s="24"/>
      <c r="F12" s="25"/>
      <c r="G12" s="13">
        <v>5</v>
      </c>
      <c r="H12" s="155" t="s">
        <v>242</v>
      </c>
      <c r="I12" s="15" t="s">
        <v>243</v>
      </c>
      <c r="J12" s="16">
        <v>0.9</v>
      </c>
      <c r="K12" s="23"/>
      <c r="L12" s="32">
        <v>5</v>
      </c>
    </row>
    <row r="13" ht="15" spans="1:26">
      <c r="A13" s="18"/>
      <c r="B13" s="19"/>
      <c r="C13" s="156"/>
      <c r="D13" s="20"/>
      <c r="E13" s="26" t="s">
        <v>157</v>
      </c>
      <c r="F13" s="26"/>
      <c r="G13" s="26"/>
      <c r="H13" s="26"/>
      <c r="I13" s="26"/>
      <c r="J13" s="27"/>
      <c r="K13" s="28"/>
      <c r="L13" s="29">
        <f>SUM(L8:L12)</f>
        <v>22.5</v>
      </c>
    </row>
    <row r="14" ht="18" customHeight="1" spans="1:26">
      <c r="A14" s="18"/>
      <c r="B14" s="19"/>
      <c r="C14" s="156"/>
      <c r="D14" s="20"/>
      <c r="E14" s="12" t="s">
        <v>158</v>
      </c>
      <c r="F14" s="11" t="s">
        <v>35</v>
      </c>
      <c r="G14" s="13">
        <v>1</v>
      </c>
      <c r="H14" s="155" t="s">
        <v>244</v>
      </c>
      <c r="I14" s="15" t="s">
        <v>235</v>
      </c>
      <c r="J14" s="157"/>
      <c r="K14" s="23"/>
      <c r="L14" s="32"/>
    </row>
    <row r="15" ht="15" spans="1:26">
      <c r="A15" s="18"/>
      <c r="B15" s="19"/>
      <c r="C15" s="156"/>
      <c r="D15" s="20"/>
      <c r="E15" s="21"/>
      <c r="F15" s="20"/>
      <c r="G15" s="13">
        <v>2</v>
      </c>
      <c r="H15" s="155" t="s">
        <v>245</v>
      </c>
      <c r="I15" s="15" t="s">
        <v>243</v>
      </c>
      <c r="J15" s="16"/>
      <c r="K15" s="23"/>
      <c r="L15" s="32"/>
    </row>
    <row r="16" ht="15" spans="1:26">
      <c r="A16" s="3" t="s">
        <v>246</v>
      </c>
      <c r="B16" s="17" t="s">
        <v>62</v>
      </c>
      <c r="C16" s="13"/>
      <c r="D16" s="13"/>
      <c r="E16" s="23" t="s">
        <v>138</v>
      </c>
      <c r="F16" s="13" t="s">
        <v>53</v>
      </c>
      <c r="G16" s="13">
        <v>1</v>
      </c>
      <c r="H16" s="155" t="s">
        <v>247</v>
      </c>
      <c r="I16" s="15" t="s">
        <v>56</v>
      </c>
      <c r="J16" s="16">
        <v>0.9</v>
      </c>
      <c r="K16" s="23"/>
      <c r="L16" s="32">
        <v>5</v>
      </c>
    </row>
    <row r="17" ht="30" spans="1:12">
      <c r="A17" s="3"/>
      <c r="B17" s="17"/>
      <c r="C17" s="13"/>
      <c r="D17" s="13"/>
      <c r="E17" s="23"/>
      <c r="F17" s="13"/>
      <c r="G17" s="13">
        <v>2</v>
      </c>
      <c r="H17" s="14" t="s">
        <v>248</v>
      </c>
      <c r="I17" s="15" t="s">
        <v>227</v>
      </c>
      <c r="J17" s="16">
        <v>0.8</v>
      </c>
      <c r="K17" s="23"/>
      <c r="L17" s="32">
        <v>5</v>
      </c>
    </row>
    <row r="18" ht="15" spans="1:12">
      <c r="A18" s="3"/>
      <c r="B18" s="17"/>
      <c r="C18" s="13"/>
      <c r="D18" s="13"/>
      <c r="E18" s="26" t="s">
        <v>157</v>
      </c>
      <c r="F18" s="26"/>
      <c r="G18" s="26"/>
      <c r="H18" s="26"/>
      <c r="I18" s="26"/>
      <c r="J18" s="27"/>
      <c r="K18" s="28"/>
      <c r="L18" s="29">
        <f>SUM(L16:L17)</f>
        <v>10</v>
      </c>
    </row>
    <row r="19" ht="15" spans="1:12">
      <c r="A19" s="3"/>
      <c r="B19" s="17"/>
      <c r="C19" s="13"/>
      <c r="D19" s="13"/>
      <c r="E19" s="23" t="s">
        <v>158</v>
      </c>
      <c r="F19" s="23" t="s">
        <v>53</v>
      </c>
      <c r="G19" s="13">
        <v>1</v>
      </c>
      <c r="H19" s="155" t="s">
        <v>249</v>
      </c>
      <c r="I19" s="15" t="s">
        <v>56</v>
      </c>
      <c r="J19" s="31"/>
      <c r="K19" s="23"/>
      <c r="L19" s="32"/>
    </row>
    <row r="20" ht="31" customHeight="1" spans="1:12">
      <c r="A20" s="3"/>
      <c r="B20" s="17"/>
      <c r="C20" s="13"/>
      <c r="D20" s="13"/>
      <c r="E20" s="23"/>
      <c r="F20" s="23"/>
      <c r="G20" s="13">
        <v>2</v>
      </c>
      <c r="H20" s="14" t="s">
        <v>250</v>
      </c>
      <c r="I20" s="15" t="s">
        <v>227</v>
      </c>
      <c r="J20" s="31"/>
      <c r="K20" s="23"/>
      <c r="L20" s="32"/>
    </row>
  </sheetData>
  <mergeCells count="28">
    <mergeCell ref="E3:H3"/>
    <mergeCell ref="E6:H6"/>
    <mergeCell ref="E13:H13"/>
    <mergeCell ref="E18:H18"/>
    <mergeCell ref="A2:A4"/>
    <mergeCell ref="A5:A7"/>
    <mergeCell ref="A8:A15"/>
    <mergeCell ref="A16:A20"/>
    <mergeCell ref="B2:B4"/>
    <mergeCell ref="B5:B7"/>
    <mergeCell ref="B8:B15"/>
    <mergeCell ref="B16:B20"/>
    <mergeCell ref="C2:C4"/>
    <mergeCell ref="C5:C7"/>
    <mergeCell ref="C8:C15"/>
    <mergeCell ref="C16:C20"/>
    <mergeCell ref="D2:D4"/>
    <mergeCell ref="D5:D7"/>
    <mergeCell ref="D8:D15"/>
    <mergeCell ref="D16:D20"/>
    <mergeCell ref="E8:E12"/>
    <mergeCell ref="E14:E15"/>
    <mergeCell ref="E16:E17"/>
    <mergeCell ref="E19:E20"/>
    <mergeCell ref="F8:F12"/>
    <mergeCell ref="F14:F15"/>
    <mergeCell ref="F16:F17"/>
    <mergeCell ref="F19:F20"/>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2" activePane="bottomLeft" state="frozen"/>
      <selection/>
      <selection pane="bottomLeft" activeCell="A16" sqref="A16:L22"/>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30" spans="1:26">
      <c r="A2" s="108" t="s">
        <v>251</v>
      </c>
      <c r="B2" s="109" t="s">
        <v>66</v>
      </c>
      <c r="C2" s="110"/>
      <c r="D2" s="110"/>
      <c r="E2" s="111" t="s">
        <v>138</v>
      </c>
      <c r="F2" s="110" t="s">
        <v>35</v>
      </c>
      <c r="G2" s="25">
        <v>1</v>
      </c>
      <c r="H2" s="112" t="s">
        <v>252</v>
      </c>
      <c r="I2" s="113" t="s">
        <v>156</v>
      </c>
      <c r="J2" s="114">
        <v>1</v>
      </c>
      <c r="K2" s="110"/>
      <c r="L2" s="115">
        <v>0.5</v>
      </c>
    </row>
    <row r="3" ht="15" spans="1:26">
      <c r="A3" s="116"/>
      <c r="B3" s="117"/>
      <c r="C3" s="118"/>
      <c r="D3" s="118"/>
      <c r="E3" s="119"/>
      <c r="F3" s="118"/>
      <c r="G3" s="13">
        <v>2</v>
      </c>
      <c r="H3" s="120"/>
      <c r="I3" s="121"/>
      <c r="J3" s="122"/>
      <c r="K3" s="118"/>
      <c r="L3" s="123"/>
    </row>
    <row r="4" ht="15" spans="1:26">
      <c r="A4" s="116"/>
      <c r="B4" s="117"/>
      <c r="C4" s="118"/>
      <c r="D4" s="118"/>
      <c r="E4" s="119"/>
      <c r="F4" s="118"/>
      <c r="G4" s="13">
        <v>3</v>
      </c>
      <c r="H4" s="120"/>
      <c r="I4" s="121"/>
      <c r="J4" s="122"/>
      <c r="K4" s="121"/>
      <c r="L4" s="123"/>
    </row>
    <row r="5" ht="15" spans="1:26">
      <c r="A5" s="116"/>
      <c r="B5" s="117"/>
      <c r="C5" s="118"/>
      <c r="D5" s="118"/>
      <c r="E5" s="124" t="s">
        <v>157</v>
      </c>
      <c r="F5" s="124"/>
      <c r="G5" s="13"/>
      <c r="H5" s="124"/>
      <c r="I5" s="125"/>
      <c r="J5" s="126"/>
      <c r="K5" s="127"/>
      <c r="L5" s="128">
        <f>SUM(L2:L4)</f>
        <v>0.5</v>
      </c>
    </row>
    <row r="6" ht="15.6" spans="1:26">
      <c r="A6" s="116"/>
      <c r="B6" s="117"/>
      <c r="C6" s="118"/>
      <c r="D6" s="118"/>
      <c r="E6" s="119" t="s">
        <v>158</v>
      </c>
      <c r="F6" s="129" t="s">
        <v>35</v>
      </c>
      <c r="G6" s="13">
        <v>1</v>
      </c>
      <c r="H6" s="130" t="s">
        <v>253</v>
      </c>
      <c r="I6" s="118"/>
      <c r="J6" s="131"/>
      <c r="K6" s="119"/>
      <c r="L6" s="123"/>
    </row>
    <row r="7" ht="15.6" spans="1:26">
      <c r="A7" s="116"/>
      <c r="B7" s="117"/>
      <c r="C7" s="118"/>
      <c r="D7" s="118"/>
      <c r="E7" s="119"/>
      <c r="F7" s="129"/>
      <c r="G7" s="13">
        <v>2</v>
      </c>
      <c r="H7" s="132"/>
      <c r="I7" s="119"/>
      <c r="J7" s="131"/>
      <c r="K7" s="119"/>
      <c r="L7" s="123"/>
    </row>
    <row r="8" ht="30" spans="1:26">
      <c r="A8" s="108" t="s">
        <v>254</v>
      </c>
      <c r="B8" s="109" t="s">
        <v>66</v>
      </c>
      <c r="C8" s="110"/>
      <c r="D8" s="110"/>
      <c r="E8" s="111" t="s">
        <v>138</v>
      </c>
      <c r="F8" s="110" t="s">
        <v>35</v>
      </c>
      <c r="G8" s="13">
        <v>1</v>
      </c>
      <c r="H8" s="133" t="s">
        <v>255</v>
      </c>
      <c r="I8" s="134" t="s">
        <v>66</v>
      </c>
      <c r="J8" s="122">
        <v>1</v>
      </c>
      <c r="K8" s="118"/>
      <c r="L8" s="123">
        <v>2</v>
      </c>
    </row>
    <row r="9" ht="15" spans="1:26">
      <c r="A9" s="108"/>
      <c r="B9" s="109"/>
      <c r="C9" s="110"/>
      <c r="D9" s="110"/>
      <c r="E9" s="111"/>
      <c r="F9" s="110"/>
      <c r="G9" s="13">
        <v>2</v>
      </c>
      <c r="H9" s="135" t="s">
        <v>256</v>
      </c>
      <c r="I9" s="134" t="s">
        <v>73</v>
      </c>
      <c r="J9" s="122">
        <v>1</v>
      </c>
      <c r="K9" s="118"/>
      <c r="L9" s="123">
        <v>0.5</v>
      </c>
    </row>
    <row r="10" ht="15" spans="1:26">
      <c r="A10" s="108"/>
      <c r="B10" s="109"/>
      <c r="C10" s="110"/>
      <c r="D10" s="110"/>
      <c r="E10" s="111"/>
      <c r="F10" s="110"/>
      <c r="G10" s="13">
        <v>3</v>
      </c>
      <c r="H10" s="136"/>
      <c r="I10" s="134" t="s">
        <v>257</v>
      </c>
      <c r="J10" s="122">
        <v>1</v>
      </c>
      <c r="K10" s="118"/>
      <c r="L10" s="123">
        <v>0.5</v>
      </c>
    </row>
    <row r="11" ht="15" spans="1:26">
      <c r="A11" s="108"/>
      <c r="B11" s="109"/>
      <c r="C11" s="110"/>
      <c r="D11" s="110"/>
      <c r="E11" s="111"/>
      <c r="F11" s="110"/>
      <c r="G11" s="13">
        <v>4</v>
      </c>
      <c r="H11" s="133"/>
      <c r="I11" s="134"/>
      <c r="J11" s="122"/>
      <c r="K11" s="118"/>
      <c r="L11" s="123"/>
    </row>
    <row r="12" ht="15" spans="1:26">
      <c r="A12" s="108"/>
      <c r="B12" s="109"/>
      <c r="C12" s="110"/>
      <c r="D12" s="110"/>
      <c r="E12" s="111"/>
      <c r="F12" s="110"/>
      <c r="G12" s="13">
        <v>5</v>
      </c>
      <c r="H12" s="137"/>
      <c r="I12" s="134"/>
      <c r="J12" s="122"/>
      <c r="K12" s="118"/>
      <c r="L12" s="123"/>
    </row>
    <row r="13" ht="15" spans="1:26">
      <c r="A13" s="108"/>
      <c r="B13" s="109"/>
      <c r="C13" s="110"/>
      <c r="D13" s="110"/>
      <c r="E13" s="124" t="s">
        <v>157</v>
      </c>
      <c r="F13" s="124"/>
      <c r="G13" s="124"/>
      <c r="H13" s="124"/>
      <c r="I13" s="124"/>
      <c r="J13" s="126"/>
      <c r="K13" s="127"/>
      <c r="L13" s="128">
        <f>SUM(L8:L12)</f>
        <v>3</v>
      </c>
    </row>
    <row r="14" ht="15" spans="1:26">
      <c r="A14" s="108"/>
      <c r="B14" s="109"/>
      <c r="C14" s="110"/>
      <c r="D14" s="110"/>
      <c r="E14" s="119" t="s">
        <v>158</v>
      </c>
      <c r="F14" s="119" t="s">
        <v>35</v>
      </c>
      <c r="G14" s="13">
        <v>1</v>
      </c>
      <c r="H14" s="138"/>
      <c r="I14" s="134"/>
      <c r="J14" s="139"/>
      <c r="K14" s="119"/>
      <c r="L14" s="123"/>
    </row>
    <row r="15" ht="15" spans="1:26">
      <c r="A15" s="108"/>
      <c r="B15" s="109"/>
      <c r="C15" s="110"/>
      <c r="D15" s="110"/>
      <c r="E15" s="119"/>
      <c r="F15" s="119"/>
      <c r="G15" s="13">
        <v>2</v>
      </c>
      <c r="H15" s="138"/>
      <c r="I15" s="134"/>
      <c r="J15" s="139"/>
      <c r="K15" s="119"/>
      <c r="L15" s="123"/>
    </row>
    <row r="16" ht="15" spans="1:26">
      <c r="A16" s="116" t="s">
        <v>258</v>
      </c>
      <c r="B16" s="117" t="s">
        <v>66</v>
      </c>
      <c r="C16" s="118"/>
      <c r="D16" s="118"/>
      <c r="E16" s="140" t="s">
        <v>138</v>
      </c>
      <c r="F16" s="141" t="s">
        <v>35</v>
      </c>
      <c r="G16" s="13">
        <v>1</v>
      </c>
      <c r="H16" s="142" t="s">
        <v>259</v>
      </c>
      <c r="I16" s="134" t="s">
        <v>66</v>
      </c>
      <c r="J16" s="122">
        <v>0.4</v>
      </c>
      <c r="K16" s="118"/>
      <c r="L16" s="123">
        <v>1</v>
      </c>
    </row>
    <row r="17" ht="15" spans="1:12">
      <c r="A17" s="116"/>
      <c r="B17" s="117"/>
      <c r="C17" s="118"/>
      <c r="D17" s="118"/>
      <c r="E17" s="140"/>
      <c r="F17" s="141"/>
      <c r="G17" s="13">
        <v>2</v>
      </c>
      <c r="H17" s="143"/>
      <c r="I17" s="134" t="s">
        <v>257</v>
      </c>
      <c r="J17" s="122">
        <v>0.4</v>
      </c>
      <c r="K17" s="118"/>
      <c r="L17" s="123">
        <v>4.5</v>
      </c>
    </row>
    <row r="18" ht="15" spans="1:12">
      <c r="A18" s="116"/>
      <c r="B18" s="117"/>
      <c r="C18" s="118"/>
      <c r="D18" s="118"/>
      <c r="E18" s="140"/>
      <c r="F18" s="141"/>
      <c r="G18" s="13">
        <v>3</v>
      </c>
      <c r="H18" s="143"/>
      <c r="I18" s="134" t="s">
        <v>260</v>
      </c>
      <c r="J18" s="122">
        <v>0.4</v>
      </c>
      <c r="K18" s="118"/>
      <c r="L18" s="123">
        <v>2</v>
      </c>
    </row>
    <row r="19" ht="30" spans="1:12">
      <c r="A19" s="116"/>
      <c r="B19" s="117"/>
      <c r="C19" s="118"/>
      <c r="D19" s="118"/>
      <c r="E19" s="140"/>
      <c r="F19" s="141"/>
      <c r="G19" s="13">
        <v>4</v>
      </c>
      <c r="H19" s="142" t="s">
        <v>261</v>
      </c>
      <c r="I19" s="134" t="s">
        <v>262</v>
      </c>
      <c r="J19" s="122">
        <v>0.7</v>
      </c>
      <c r="K19" s="118"/>
      <c r="L19" s="123">
        <v>5</v>
      </c>
    </row>
    <row r="20" ht="15" spans="1:12">
      <c r="A20" s="116"/>
      <c r="B20" s="117"/>
      <c r="C20" s="118"/>
      <c r="D20" s="118"/>
      <c r="E20" s="124" t="s">
        <v>157</v>
      </c>
      <c r="F20" s="124"/>
      <c r="G20" s="124"/>
      <c r="H20" s="124"/>
      <c r="I20" s="124"/>
      <c r="J20" s="126"/>
      <c r="K20" s="127"/>
      <c r="L20" s="128">
        <v>6</v>
      </c>
    </row>
    <row r="21" ht="15" spans="1:12">
      <c r="A21" s="116"/>
      <c r="B21" s="117"/>
      <c r="C21" s="118"/>
      <c r="D21" s="118"/>
      <c r="E21" s="119" t="s">
        <v>158</v>
      </c>
      <c r="F21" s="119" t="s">
        <v>35</v>
      </c>
      <c r="G21" s="13">
        <v>1</v>
      </c>
      <c r="H21" s="138"/>
      <c r="I21" s="134"/>
      <c r="J21" s="139"/>
      <c r="K21" s="119"/>
      <c r="L21" s="123"/>
    </row>
    <row r="22" ht="15" spans="1:12">
      <c r="A22" s="116"/>
      <c r="B22" s="117"/>
      <c r="C22" s="118"/>
      <c r="D22" s="118"/>
      <c r="E22" s="119"/>
      <c r="F22" s="119"/>
      <c r="G22" s="13">
        <v>2</v>
      </c>
      <c r="H22" s="120"/>
      <c r="I22" s="134"/>
      <c r="J22" s="139"/>
      <c r="K22" s="119"/>
      <c r="L22" s="123"/>
    </row>
    <row r="23" ht="15" spans="1:12">
      <c r="A23" s="144" t="s">
        <v>263</v>
      </c>
      <c r="B23" s="145" t="s">
        <v>73</v>
      </c>
      <c r="C23" s="146"/>
      <c r="D23" s="146"/>
      <c r="E23" s="147" t="s">
        <v>138</v>
      </c>
      <c r="F23" s="146" t="s">
        <v>35</v>
      </c>
      <c r="G23" s="13">
        <v>1</v>
      </c>
      <c r="H23" s="148"/>
      <c r="I23" s="15"/>
      <c r="J23" s="67"/>
      <c r="K23" s="149"/>
      <c r="L23" s="69"/>
    </row>
    <row r="24" ht="15" spans="1:12">
      <c r="A24" s="144"/>
      <c r="B24" s="145"/>
      <c r="C24" s="146"/>
      <c r="D24" s="146"/>
      <c r="E24" s="147"/>
      <c r="F24" s="146"/>
      <c r="G24" s="13">
        <v>2</v>
      </c>
      <c r="H24" s="150"/>
      <c r="I24" s="151"/>
      <c r="J24" s="67"/>
      <c r="K24" s="149"/>
      <c r="L24" s="69"/>
    </row>
    <row r="25" ht="15" spans="1:12">
      <c r="A25" s="144"/>
      <c r="B25" s="145"/>
      <c r="C25" s="146"/>
      <c r="D25" s="146"/>
      <c r="E25" s="152" t="s">
        <v>157</v>
      </c>
      <c r="F25" s="152"/>
      <c r="G25" s="13"/>
      <c r="H25" s="152"/>
      <c r="I25" s="152"/>
      <c r="J25" s="27"/>
      <c r="K25" s="153"/>
      <c r="L25" s="29">
        <v>0</v>
      </c>
    </row>
    <row r="26" ht="15" spans="1:12">
      <c r="A26" s="144"/>
      <c r="B26" s="145"/>
      <c r="C26" s="146"/>
      <c r="D26" s="146"/>
      <c r="E26" s="147" t="s">
        <v>158</v>
      </c>
      <c r="F26" s="147" t="s">
        <v>35</v>
      </c>
      <c r="G26" s="13">
        <v>1</v>
      </c>
      <c r="H26" s="148"/>
      <c r="I26" s="15"/>
      <c r="J26" s="67"/>
      <c r="K26" s="147"/>
      <c r="L26" s="69"/>
    </row>
    <row r="27" ht="15" spans="1:12">
      <c r="A27" s="144"/>
      <c r="B27" s="145"/>
      <c r="C27" s="146"/>
      <c r="D27" s="146"/>
      <c r="E27" s="147"/>
      <c r="F27" s="147"/>
      <c r="G27" s="13">
        <v>2</v>
      </c>
      <c r="H27" s="150"/>
      <c r="I27" s="151"/>
      <c r="J27" s="67"/>
      <c r="K27" s="147"/>
      <c r="L27" s="69"/>
    </row>
  </sheetData>
  <mergeCells count="36">
    <mergeCell ref="E13:H13"/>
    <mergeCell ref="E20:H20"/>
    <mergeCell ref="A2:A7"/>
    <mergeCell ref="A8:A15"/>
    <mergeCell ref="A16:A22"/>
    <mergeCell ref="A23:A27"/>
    <mergeCell ref="B2:B7"/>
    <mergeCell ref="B8:B15"/>
    <mergeCell ref="B16:B22"/>
    <mergeCell ref="B23:B27"/>
    <mergeCell ref="C2:C7"/>
    <mergeCell ref="C8:C15"/>
    <mergeCell ref="C16:C22"/>
    <mergeCell ref="C23:C27"/>
    <mergeCell ref="D2:D7"/>
    <mergeCell ref="D8:D15"/>
    <mergeCell ref="D16:D22"/>
    <mergeCell ref="D23:D27"/>
    <mergeCell ref="E2:E4"/>
    <mergeCell ref="E6:E7"/>
    <mergeCell ref="E8:E12"/>
    <mergeCell ref="E14:E15"/>
    <mergeCell ref="E16:E19"/>
    <mergeCell ref="E21:E22"/>
    <mergeCell ref="E23:E24"/>
    <mergeCell ref="E26:E27"/>
    <mergeCell ref="F2:F4"/>
    <mergeCell ref="F6:F7"/>
    <mergeCell ref="F8:F12"/>
    <mergeCell ref="F14:F15"/>
    <mergeCell ref="F16:F19"/>
    <mergeCell ref="F21:F22"/>
    <mergeCell ref="F23:F24"/>
    <mergeCell ref="F26:F27"/>
    <mergeCell ref="H9:H10"/>
    <mergeCell ref="H16:H18"/>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
  <sheetViews>
    <sheetView workbookViewId="0">
      <pane ySplit="1" topLeftCell="A2" activePane="bottomLeft" state="frozen"/>
      <selection/>
      <selection pane="bottomLeft" activeCell="A37" sqref="A37"/>
    </sheetView>
  </sheetViews>
  <sheetFormatPr defaultColWidth="9.16666666666667" defaultRowHeight="13.2" outlineLevelRow="7"/>
  <cols>
    <col min="1" max="1" width="22.4166666666667" style="98" customWidth="1"/>
    <col min="2" max="2" width="11.75" style="98" customWidth="1"/>
    <col min="3" max="7" width="9.16666666666667" style="98"/>
    <col min="8" max="8" width="59.75" style="98" customWidth="1"/>
    <col min="9" max="11" width="9.16666666666667" style="98"/>
    <col min="12" max="12" width="19.5833333333333" style="99" customWidth="1"/>
    <col min="13" max="16384" width="9.16666666666667" style="98"/>
  </cols>
  <sheetData>
    <row r="1" ht="69.6" spans="1:26">
      <c r="A1" s="37" t="s">
        <v>126</v>
      </c>
      <c r="B1" s="38" t="s">
        <v>6</v>
      </c>
      <c r="C1" s="37" t="s">
        <v>127</v>
      </c>
      <c r="D1" s="37" t="s">
        <v>128</v>
      </c>
      <c r="E1" s="38" t="s">
        <v>129</v>
      </c>
      <c r="F1" s="37" t="s">
        <v>130</v>
      </c>
      <c r="G1" s="37" t="s">
        <v>1</v>
      </c>
      <c r="H1" s="39" t="s">
        <v>131</v>
      </c>
      <c r="I1" s="37" t="s">
        <v>132</v>
      </c>
      <c r="J1" s="40" t="s">
        <v>133</v>
      </c>
      <c r="K1" s="37" t="s">
        <v>134</v>
      </c>
      <c r="L1" s="41" t="s">
        <v>135</v>
      </c>
      <c r="M1" s="42"/>
      <c r="N1" s="42"/>
      <c r="O1" s="42"/>
      <c r="P1" s="42"/>
      <c r="Q1" s="42"/>
      <c r="R1" s="42"/>
      <c r="S1" s="42"/>
      <c r="T1" s="42"/>
      <c r="U1" s="42"/>
      <c r="V1" s="42"/>
      <c r="W1" s="42"/>
      <c r="X1" s="42"/>
      <c r="Y1" s="42"/>
      <c r="Z1" s="42"/>
    </row>
    <row r="2" ht="30" customHeight="1" spans="1:26">
      <c r="A2" s="100" t="s">
        <v>78</v>
      </c>
      <c r="B2" s="101" t="s">
        <v>77</v>
      </c>
      <c r="C2" s="44"/>
      <c r="D2" s="45"/>
      <c r="E2" s="102" t="s">
        <v>138</v>
      </c>
      <c r="F2" s="47" t="s">
        <v>172</v>
      </c>
      <c r="G2" s="45">
        <v>1</v>
      </c>
      <c r="H2" s="103" t="s">
        <v>264</v>
      </c>
      <c r="I2" s="104" t="s">
        <v>77</v>
      </c>
      <c r="J2" s="44">
        <v>0.7</v>
      </c>
      <c r="K2" s="46"/>
      <c r="L2" s="43">
        <v>4</v>
      </c>
    </row>
    <row r="3" ht="30" customHeight="1" spans="1:26">
      <c r="A3" s="100"/>
      <c r="B3" s="101"/>
      <c r="C3" s="44"/>
      <c r="D3" s="45"/>
      <c r="E3" s="105"/>
      <c r="F3" s="106" t="s">
        <v>53</v>
      </c>
      <c r="G3" s="45">
        <v>2</v>
      </c>
      <c r="H3" s="103" t="s">
        <v>265</v>
      </c>
      <c r="I3" s="104" t="s">
        <v>77</v>
      </c>
      <c r="J3" s="44">
        <v>1</v>
      </c>
      <c r="K3" s="46"/>
      <c r="L3" s="43">
        <v>4</v>
      </c>
    </row>
    <row r="4" ht="27" customHeight="1" spans="1:26">
      <c r="A4" s="37"/>
      <c r="B4" s="43"/>
      <c r="C4" s="45"/>
      <c r="D4" s="45"/>
      <c r="E4" s="26" t="s">
        <v>157</v>
      </c>
      <c r="F4" s="26"/>
      <c r="G4" s="26"/>
      <c r="H4" s="26"/>
      <c r="I4" s="26"/>
      <c r="J4" s="27"/>
      <c r="K4" s="28"/>
      <c r="L4" s="29">
        <f>SUM(L2)</f>
        <v>4</v>
      </c>
    </row>
    <row r="5" ht="46" customHeight="1" spans="1:26">
      <c r="A5" s="37"/>
      <c r="B5" s="43"/>
      <c r="C5" s="45"/>
      <c r="D5" s="45"/>
      <c r="E5" s="46" t="s">
        <v>158</v>
      </c>
      <c r="F5" s="46" t="s">
        <v>172</v>
      </c>
      <c r="G5" s="46">
        <v>1</v>
      </c>
      <c r="H5" s="103" t="s">
        <v>264</v>
      </c>
      <c r="I5" s="106" t="s">
        <v>77</v>
      </c>
      <c r="J5" s="67">
        <v>1</v>
      </c>
      <c r="K5" s="46"/>
      <c r="L5" s="69"/>
    </row>
    <row r="6" ht="26" customHeight="1" spans="1:26">
      <c r="A6" s="100" t="s">
        <v>266</v>
      </c>
      <c r="B6" s="101" t="s">
        <v>77</v>
      </c>
      <c r="C6" s="45"/>
      <c r="D6" s="45"/>
      <c r="E6" s="46" t="s">
        <v>138</v>
      </c>
      <c r="F6" s="45" t="s">
        <v>53</v>
      </c>
      <c r="G6" s="45">
        <v>1</v>
      </c>
      <c r="H6" s="107" t="s">
        <v>267</v>
      </c>
      <c r="I6" s="104" t="s">
        <v>268</v>
      </c>
      <c r="J6" s="44"/>
      <c r="K6" s="46"/>
      <c r="L6" s="69">
        <v>5</v>
      </c>
    </row>
    <row r="7" ht="15" spans="1:26">
      <c r="A7" s="37"/>
      <c r="B7" s="43"/>
      <c r="C7" s="45"/>
      <c r="D7" s="45"/>
      <c r="E7" s="26" t="s">
        <v>157</v>
      </c>
      <c r="F7" s="26"/>
      <c r="G7" s="26"/>
      <c r="H7" s="26"/>
      <c r="I7" s="26"/>
      <c r="J7" s="27"/>
      <c r="K7" s="28"/>
      <c r="L7" s="29">
        <f>SUM(L6:L6)</f>
        <v>5</v>
      </c>
    </row>
    <row r="8" ht="22.5" customHeight="1" spans="1:26">
      <c r="A8" s="37"/>
      <c r="B8" s="43"/>
      <c r="C8" s="45"/>
      <c r="D8" s="45"/>
      <c r="E8" s="46" t="s">
        <v>158</v>
      </c>
      <c r="F8" s="46" t="s">
        <v>53</v>
      </c>
      <c r="G8" s="45">
        <v>1</v>
      </c>
      <c r="H8" s="107" t="s">
        <v>267</v>
      </c>
      <c r="I8" s="104" t="s">
        <v>268</v>
      </c>
      <c r="J8" s="67"/>
      <c r="K8" s="46"/>
      <c r="L8" s="69"/>
    </row>
  </sheetData>
  <mergeCells count="11">
    <mergeCell ref="E4:H4"/>
    <mergeCell ref="E7:H7"/>
    <mergeCell ref="A2:A5"/>
    <mergeCell ref="A6:A8"/>
    <mergeCell ref="B2:B5"/>
    <mergeCell ref="B6:B8"/>
    <mergeCell ref="C2:C5"/>
    <mergeCell ref="C6:C8"/>
    <mergeCell ref="D2:D5"/>
    <mergeCell ref="D6:D8"/>
    <mergeCell ref="E2:E3"/>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3"/>
  <sheetViews>
    <sheetView workbookViewId="0">
      <pane ySplit="1" topLeftCell="A2" activePane="bottomLeft" state="frozen"/>
      <selection/>
      <selection pane="bottomLeft" activeCell="B9" sqref="B9:B14"/>
    </sheetView>
  </sheetViews>
  <sheetFormatPr defaultColWidth="9.13888888888889" defaultRowHeight="13.2"/>
  <cols>
    <col min="1" max="1" width="22.4259259259259" style="75" customWidth="1"/>
    <col min="2" max="2" width="11.712962962963" style="75" customWidth="1"/>
    <col min="3" max="5" width="9.13888888888889" style="75"/>
    <col min="6" max="6" width="23.287037037037" style="75" customWidth="1"/>
    <col min="7" max="7" width="9.13888888888889" style="75"/>
    <col min="8" max="8" width="59.712962962963" style="75" customWidth="1"/>
    <col min="9" max="11" width="9.13888888888889" style="75"/>
    <col min="12" max="12" width="19.5740740740741" style="76" customWidth="1"/>
    <col min="13" max="16384" width="9.13888888888889" style="75"/>
  </cols>
  <sheetData>
    <row r="1" ht="62.4" spans="1:26">
      <c r="A1" s="77" t="s">
        <v>126</v>
      </c>
      <c r="B1" s="78" t="s">
        <v>6</v>
      </c>
      <c r="C1" s="77" t="s">
        <v>127</v>
      </c>
      <c r="D1" s="77" t="s">
        <v>128</v>
      </c>
      <c r="E1" s="78" t="s">
        <v>129</v>
      </c>
      <c r="F1" s="77" t="s">
        <v>130</v>
      </c>
      <c r="G1" s="77" t="s">
        <v>1</v>
      </c>
      <c r="H1" s="79" t="s">
        <v>131</v>
      </c>
      <c r="I1" s="77" t="s">
        <v>132</v>
      </c>
      <c r="J1" s="80" t="s">
        <v>133</v>
      </c>
      <c r="K1" s="77" t="s">
        <v>134</v>
      </c>
      <c r="L1" s="81" t="s">
        <v>135</v>
      </c>
      <c r="M1" s="82"/>
      <c r="N1" s="82"/>
      <c r="O1" s="82"/>
      <c r="P1" s="82"/>
      <c r="Q1" s="82"/>
      <c r="R1" s="82"/>
      <c r="S1" s="82"/>
      <c r="T1" s="82"/>
      <c r="U1" s="82"/>
      <c r="V1" s="82"/>
      <c r="W1" s="82"/>
      <c r="X1" s="82"/>
      <c r="Y1" s="82"/>
      <c r="Z1" s="82"/>
    </row>
    <row r="2" spans="1:26">
      <c r="A2" s="77" t="s">
        <v>269</v>
      </c>
      <c r="B2" s="83" t="s">
        <v>270</v>
      </c>
      <c r="C2" s="84" t="s">
        <v>271</v>
      </c>
      <c r="D2" s="84"/>
      <c r="E2" s="85" t="s">
        <v>138</v>
      </c>
      <c r="F2" s="84" t="s">
        <v>35</v>
      </c>
      <c r="G2" s="84">
        <v>1</v>
      </c>
      <c r="H2" s="86" t="s">
        <v>272</v>
      </c>
      <c r="I2" s="84" t="s">
        <v>270</v>
      </c>
      <c r="J2" s="87">
        <v>1</v>
      </c>
      <c r="K2" s="84"/>
      <c r="L2" s="88">
        <v>0.25</v>
      </c>
    </row>
    <row r="3" ht="12.75" customHeight="1" spans="1:26">
      <c r="A3" s="77"/>
      <c r="B3" s="83"/>
      <c r="C3" s="84"/>
      <c r="D3" s="84"/>
      <c r="E3" s="85"/>
      <c r="F3" s="84"/>
      <c r="G3" s="85">
        <v>2</v>
      </c>
      <c r="H3" s="89" t="s">
        <v>273</v>
      </c>
      <c r="I3" s="84" t="s">
        <v>270</v>
      </c>
      <c r="J3" s="87">
        <v>0.1</v>
      </c>
      <c r="K3" s="84"/>
      <c r="L3" s="88">
        <v>0.75</v>
      </c>
    </row>
    <row r="4" ht="12.75" customHeight="1" spans="1:26">
      <c r="A4" s="77"/>
      <c r="B4" s="83"/>
      <c r="C4" s="84"/>
      <c r="D4" s="84"/>
      <c r="E4" s="85"/>
      <c r="F4" s="84"/>
      <c r="G4" s="84">
        <v>3</v>
      </c>
      <c r="H4" s="90"/>
      <c r="I4" s="84"/>
      <c r="J4" s="87"/>
      <c r="K4" s="84"/>
      <c r="L4" s="88"/>
    </row>
    <row r="5" ht="12.75" customHeight="1" spans="1:26">
      <c r="A5" s="77"/>
      <c r="B5" s="83"/>
      <c r="C5" s="84"/>
      <c r="D5" s="84"/>
      <c r="E5" s="85"/>
      <c r="F5" s="84"/>
      <c r="G5" s="84">
        <v>4</v>
      </c>
      <c r="H5" s="90"/>
      <c r="I5" s="84"/>
      <c r="J5" s="87"/>
      <c r="K5" s="84"/>
      <c r="L5" s="88"/>
    </row>
    <row r="6" ht="12.75" customHeight="1" spans="1:26">
      <c r="A6" s="77"/>
      <c r="B6" s="83"/>
      <c r="C6" s="84"/>
      <c r="D6" s="84"/>
      <c r="E6" s="91" t="s">
        <v>157</v>
      </c>
      <c r="F6" s="91"/>
      <c r="G6" s="91"/>
      <c r="H6" s="91"/>
      <c r="I6" s="91"/>
      <c r="J6" s="92"/>
      <c r="K6" s="93"/>
      <c r="L6" s="94">
        <v>1</v>
      </c>
    </row>
    <row r="7" ht="12.75" customHeight="1" spans="1:26">
      <c r="A7" s="77"/>
      <c r="B7" s="83"/>
      <c r="C7" s="84"/>
      <c r="D7" s="84"/>
      <c r="E7" s="85" t="s">
        <v>158</v>
      </c>
      <c r="F7" s="85" t="s">
        <v>35</v>
      </c>
      <c r="G7" s="85">
        <v>1</v>
      </c>
      <c r="H7" s="95"/>
      <c r="I7" s="84"/>
      <c r="J7" s="96"/>
      <c r="K7" s="85"/>
      <c r="L7" s="88"/>
    </row>
    <row r="8" ht="14.25" customHeight="1" spans="1:26">
      <c r="A8" s="77"/>
      <c r="B8" s="83"/>
      <c r="C8" s="84"/>
      <c r="D8" s="84"/>
      <c r="E8" s="85"/>
      <c r="F8" s="85"/>
      <c r="G8" s="85">
        <v>2</v>
      </c>
      <c r="H8" s="97"/>
      <c r="I8" s="85"/>
      <c r="J8" s="96"/>
      <c r="K8" s="85"/>
      <c r="L8" s="88"/>
    </row>
    <row r="9" ht="12.75" customHeight="1" spans="1:26">
      <c r="A9" s="77" t="s">
        <v>274</v>
      </c>
      <c r="B9" s="83"/>
      <c r="C9" s="84"/>
      <c r="D9" s="84"/>
      <c r="E9" s="85" t="s">
        <v>138</v>
      </c>
      <c r="F9" s="84" t="s">
        <v>35</v>
      </c>
      <c r="G9" s="85">
        <v>1</v>
      </c>
      <c r="H9" s="86" t="s">
        <v>275</v>
      </c>
      <c r="I9" s="84" t="s">
        <v>276</v>
      </c>
      <c r="J9" s="87">
        <v>1</v>
      </c>
      <c r="K9" s="84"/>
      <c r="L9" s="88">
        <v>2</v>
      </c>
    </row>
    <row r="10" ht="12.75" customHeight="1" spans="1:26">
      <c r="A10" s="77"/>
      <c r="B10" s="83"/>
      <c r="C10" s="84"/>
      <c r="D10" s="84"/>
      <c r="E10" s="85"/>
      <c r="F10" s="84"/>
      <c r="G10" s="85">
        <v>2</v>
      </c>
      <c r="H10" s="86" t="s">
        <v>277</v>
      </c>
      <c r="I10" s="84" t="s">
        <v>276</v>
      </c>
      <c r="J10" s="87">
        <v>1</v>
      </c>
      <c r="K10" s="84"/>
      <c r="L10" s="88">
        <v>0.5</v>
      </c>
    </row>
    <row r="11" ht="12.75" customHeight="1" spans="1:26">
      <c r="A11" s="77"/>
      <c r="B11" s="83"/>
      <c r="C11" s="84"/>
      <c r="D11" s="84"/>
      <c r="E11" s="85"/>
      <c r="F11" s="84"/>
      <c r="G11" s="85">
        <v>3</v>
      </c>
      <c r="H11" s="86" t="s">
        <v>278</v>
      </c>
      <c r="I11" s="84" t="s">
        <v>33</v>
      </c>
      <c r="J11" s="87">
        <v>1</v>
      </c>
      <c r="K11" s="84"/>
      <c r="L11" s="88">
        <v>0.5</v>
      </c>
    </row>
    <row r="12" ht="12.75" customHeight="1" spans="1:26">
      <c r="A12" s="77"/>
      <c r="B12" s="83"/>
      <c r="C12" s="84"/>
      <c r="D12" s="84"/>
      <c r="E12" s="85"/>
      <c r="F12" s="84"/>
      <c r="G12" s="85">
        <v>4</v>
      </c>
      <c r="H12" s="90"/>
      <c r="I12" s="84"/>
      <c r="J12" s="87"/>
      <c r="K12" s="84"/>
      <c r="L12" s="88"/>
    </row>
    <row r="13" ht="12.75" customHeight="1" spans="1:26">
      <c r="A13" s="77"/>
      <c r="B13" s="83"/>
      <c r="C13" s="84"/>
      <c r="D13" s="84"/>
      <c r="E13" s="91" t="s">
        <v>157</v>
      </c>
      <c r="F13" s="91"/>
      <c r="G13" s="91"/>
      <c r="H13" s="91"/>
      <c r="I13" s="91"/>
      <c r="J13" s="92"/>
      <c r="K13" s="93"/>
      <c r="L13" s="94">
        <v>3</v>
      </c>
    </row>
    <row r="14" ht="12.75" customHeight="1" spans="1:26">
      <c r="A14" s="77"/>
      <c r="B14" s="83"/>
      <c r="C14" s="84"/>
      <c r="D14" s="84"/>
      <c r="E14" s="85" t="s">
        <v>158</v>
      </c>
      <c r="F14" s="85" t="s">
        <v>35</v>
      </c>
      <c r="G14" s="85">
        <v>1</v>
      </c>
      <c r="H14" s="97"/>
      <c r="I14" s="84"/>
      <c r="J14" s="96"/>
      <c r="K14" s="85"/>
      <c r="L14" s="88"/>
    </row>
    <row r="15" ht="12.75" customHeight="1" spans="1:26">
      <c r="A15" s="77" t="s">
        <v>279</v>
      </c>
      <c r="B15" s="83"/>
      <c r="C15" s="84"/>
      <c r="D15" s="84"/>
      <c r="E15" s="85" t="s">
        <v>138</v>
      </c>
      <c r="F15" s="84" t="s">
        <v>35</v>
      </c>
      <c r="G15" s="85">
        <v>1</v>
      </c>
      <c r="H15" s="86" t="s">
        <v>280</v>
      </c>
      <c r="I15" s="84" t="s">
        <v>156</v>
      </c>
      <c r="J15" s="87">
        <v>1</v>
      </c>
      <c r="K15" s="84"/>
      <c r="L15" s="88">
        <v>0.4</v>
      </c>
    </row>
    <row r="16" ht="12.75" customHeight="1" spans="1:26">
      <c r="A16" s="77"/>
      <c r="B16" s="83"/>
      <c r="C16" s="84"/>
      <c r="D16" s="84"/>
      <c r="E16" s="85"/>
      <c r="F16" s="84"/>
      <c r="G16" s="85">
        <v>2</v>
      </c>
      <c r="H16" s="86" t="s">
        <v>281</v>
      </c>
      <c r="I16" s="84" t="s">
        <v>156</v>
      </c>
      <c r="J16" s="87">
        <v>1</v>
      </c>
      <c r="K16" s="84"/>
      <c r="L16" s="88">
        <v>0.6</v>
      </c>
    </row>
    <row r="17" ht="12.75" customHeight="1" spans="1:12">
      <c r="A17" s="77"/>
      <c r="B17" s="83"/>
      <c r="C17" s="84"/>
      <c r="D17" s="84"/>
      <c r="E17" s="85"/>
      <c r="F17" s="84"/>
      <c r="G17" s="85">
        <v>3</v>
      </c>
      <c r="H17" s="86" t="s">
        <v>282</v>
      </c>
      <c r="I17" s="84" t="s">
        <v>283</v>
      </c>
      <c r="J17" s="87">
        <v>1</v>
      </c>
      <c r="K17" s="84"/>
      <c r="L17" s="88">
        <v>0.5</v>
      </c>
    </row>
    <row r="18" ht="12.75" customHeight="1" spans="1:12">
      <c r="A18" s="77"/>
      <c r="B18" s="83"/>
      <c r="C18" s="84"/>
      <c r="D18" s="84"/>
      <c r="E18" s="85"/>
      <c r="F18" s="84"/>
      <c r="G18" s="85">
        <v>4</v>
      </c>
      <c r="H18" s="89" t="s">
        <v>284</v>
      </c>
      <c r="I18" s="84" t="s">
        <v>283</v>
      </c>
      <c r="J18" s="87">
        <v>0.5</v>
      </c>
      <c r="K18" s="84" t="s">
        <v>285</v>
      </c>
      <c r="L18" s="88">
        <v>0.5</v>
      </c>
    </row>
    <row r="19" ht="24" spans="1:12">
      <c r="A19" s="77"/>
      <c r="B19" s="83"/>
      <c r="C19" s="84"/>
      <c r="D19" s="84"/>
      <c r="E19" s="85"/>
      <c r="F19" s="84"/>
      <c r="G19" s="85">
        <v>5</v>
      </c>
      <c r="H19" s="86" t="s">
        <v>286</v>
      </c>
      <c r="I19" s="84" t="s">
        <v>243</v>
      </c>
      <c r="J19" s="87">
        <v>1</v>
      </c>
      <c r="K19" s="84"/>
      <c r="L19" s="88">
        <v>0.4</v>
      </c>
    </row>
    <row r="20" ht="36" spans="1:12">
      <c r="A20" s="77"/>
      <c r="B20" s="83"/>
      <c r="C20" s="84"/>
      <c r="D20" s="84"/>
      <c r="E20" s="85"/>
      <c r="F20" s="84"/>
      <c r="G20" s="85">
        <v>6</v>
      </c>
      <c r="H20" s="86" t="s">
        <v>287</v>
      </c>
      <c r="I20" s="84" t="s">
        <v>288</v>
      </c>
      <c r="J20" s="87">
        <v>1</v>
      </c>
      <c r="K20" s="84"/>
      <c r="L20" s="88">
        <v>0.8</v>
      </c>
    </row>
    <row r="21" ht="48" spans="1:12">
      <c r="A21" s="77"/>
      <c r="B21" s="83"/>
      <c r="C21" s="84"/>
      <c r="D21" s="84"/>
      <c r="E21" s="85"/>
      <c r="F21" s="84"/>
      <c r="G21" s="85">
        <v>7</v>
      </c>
      <c r="H21" s="86" t="s">
        <v>289</v>
      </c>
      <c r="I21" s="84" t="s">
        <v>288</v>
      </c>
      <c r="J21" s="87">
        <v>0.1</v>
      </c>
      <c r="K21" s="84" t="s">
        <v>290</v>
      </c>
      <c r="L21" s="88">
        <v>0.2</v>
      </c>
    </row>
    <row r="22" spans="1:12">
      <c r="A22" s="77"/>
      <c r="B22" s="83"/>
      <c r="C22" s="84"/>
      <c r="D22" s="84"/>
      <c r="E22" s="91" t="s">
        <v>157</v>
      </c>
      <c r="F22" s="91"/>
      <c r="G22" s="91"/>
      <c r="H22" s="91"/>
      <c r="I22" s="91"/>
      <c r="J22" s="92"/>
      <c r="K22" s="93"/>
      <c r="L22" s="94">
        <v>3.4</v>
      </c>
    </row>
    <row r="23" spans="1:12">
      <c r="A23" s="77"/>
      <c r="B23" s="83"/>
      <c r="C23" s="84"/>
      <c r="D23" s="84"/>
      <c r="E23" s="85" t="s">
        <v>158</v>
      </c>
      <c r="F23" s="85" t="s">
        <v>35</v>
      </c>
      <c r="G23" s="85">
        <v>1</v>
      </c>
      <c r="H23" s="97"/>
      <c r="I23" s="84"/>
      <c r="J23" s="96"/>
      <c r="K23" s="85"/>
      <c r="L23" s="88"/>
    </row>
  </sheetData>
  <mergeCells count="23">
    <mergeCell ref="E6:H6"/>
    <mergeCell ref="E13:H13"/>
    <mergeCell ref="E22:H22"/>
    <mergeCell ref="A2:A8"/>
    <mergeCell ref="A9:A14"/>
    <mergeCell ref="A15:A23"/>
    <mergeCell ref="B2:B8"/>
    <mergeCell ref="B9:B14"/>
    <mergeCell ref="B15:B23"/>
    <mergeCell ref="C2:C8"/>
    <mergeCell ref="C9:C14"/>
    <mergeCell ref="C15:C23"/>
    <mergeCell ref="D2:D8"/>
    <mergeCell ref="D9:D14"/>
    <mergeCell ref="D15:D23"/>
    <mergeCell ref="E2:E5"/>
    <mergeCell ref="E7:E8"/>
    <mergeCell ref="E9:E12"/>
    <mergeCell ref="E15:E21"/>
    <mergeCell ref="F2:F5"/>
    <mergeCell ref="F7:F8"/>
    <mergeCell ref="F9:F12"/>
    <mergeCell ref="F15:F21"/>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1"/>
  <sheetViews>
    <sheetView workbookViewId="0">
      <pane ySplit="1" topLeftCell="A50" activePane="bottomLeft" state="frozen"/>
      <selection/>
      <selection pane="bottomLeft" activeCell="A70" sqref="A70:L81"/>
    </sheetView>
  </sheetViews>
  <sheetFormatPr defaultColWidth="9.13888888888889" defaultRowHeight="13.8"/>
  <cols>
    <col min="1" max="1" width="22.4259259259259" style="34" customWidth="1"/>
    <col min="2" max="2" width="11.712962962963" style="34" customWidth="1"/>
    <col min="3" max="7" width="9.13888888888889" style="34"/>
    <col min="8" max="8" width="59.712962962963" style="34" customWidth="1"/>
    <col min="9" max="11" width="9.13888888888889" style="34"/>
    <col min="12" max="12" width="19.5740740740741" style="35" customWidth="1"/>
    <col min="13" max="26" width="9.13888888888889" style="34"/>
    <col min="27" max="16384" width="9.13888888888889" style="36"/>
  </cols>
  <sheetData>
    <row r="1" ht="69.6" spans="1:26">
      <c r="A1" s="37" t="s">
        <v>126</v>
      </c>
      <c r="B1" s="38" t="s">
        <v>6</v>
      </c>
      <c r="C1" s="37" t="s">
        <v>127</v>
      </c>
      <c r="D1" s="37" t="s">
        <v>128</v>
      </c>
      <c r="E1" s="38" t="s">
        <v>129</v>
      </c>
      <c r="F1" s="37" t="s">
        <v>130</v>
      </c>
      <c r="G1" s="37" t="s">
        <v>1</v>
      </c>
      <c r="H1" s="39" t="s">
        <v>131</v>
      </c>
      <c r="I1" s="37" t="s">
        <v>132</v>
      </c>
      <c r="J1" s="40" t="s">
        <v>133</v>
      </c>
      <c r="K1" s="37" t="s">
        <v>134</v>
      </c>
      <c r="L1" s="41" t="s">
        <v>135</v>
      </c>
      <c r="M1" s="42"/>
      <c r="N1" s="42"/>
      <c r="O1" s="42"/>
      <c r="P1" s="42"/>
      <c r="Q1" s="42"/>
      <c r="R1" s="42"/>
      <c r="S1" s="42"/>
      <c r="T1" s="42"/>
      <c r="U1" s="42"/>
      <c r="V1" s="42"/>
      <c r="W1" s="42"/>
      <c r="X1" s="42"/>
      <c r="Y1" s="42"/>
      <c r="Z1" s="42"/>
    </row>
    <row r="2" ht="180" spans="1:26">
      <c r="A2" s="37" t="s">
        <v>291</v>
      </c>
      <c r="B2" s="43" t="s">
        <v>104</v>
      </c>
      <c r="C2" s="44">
        <v>0.92</v>
      </c>
      <c r="D2" s="45"/>
      <c r="E2" s="46" t="s">
        <v>138</v>
      </c>
      <c r="F2" s="47" t="s">
        <v>35</v>
      </c>
      <c r="G2" s="45">
        <v>1</v>
      </c>
      <c r="H2" s="48" t="s">
        <v>292</v>
      </c>
      <c r="I2" s="15" t="s">
        <v>293</v>
      </c>
      <c r="J2" s="44">
        <v>1</v>
      </c>
      <c r="K2" s="46"/>
      <c r="L2" s="49">
        <v>4.9</v>
      </c>
    </row>
    <row r="3" ht="45" spans="1:26">
      <c r="A3" s="37"/>
      <c r="B3" s="43"/>
      <c r="C3" s="45"/>
      <c r="D3" s="45"/>
      <c r="E3" s="46"/>
      <c r="F3" s="50"/>
      <c r="G3" s="51">
        <v>2</v>
      </c>
      <c r="H3" s="52" t="s">
        <v>294</v>
      </c>
      <c r="I3" s="15" t="s">
        <v>295</v>
      </c>
      <c r="J3" s="53">
        <v>0.9</v>
      </c>
      <c r="K3" s="54"/>
      <c r="L3" s="49">
        <v>4.4</v>
      </c>
    </row>
    <row r="4" ht="45" spans="1:26">
      <c r="A4" s="37"/>
      <c r="B4" s="43"/>
      <c r="C4" s="45"/>
      <c r="D4" s="45"/>
      <c r="E4" s="46"/>
      <c r="F4" s="50"/>
      <c r="G4" s="51">
        <v>3</v>
      </c>
      <c r="H4" s="52" t="s">
        <v>296</v>
      </c>
      <c r="I4" s="51" t="s">
        <v>297</v>
      </c>
      <c r="J4" s="53">
        <v>0.6</v>
      </c>
      <c r="K4" s="54"/>
      <c r="L4" s="49">
        <v>3.25</v>
      </c>
    </row>
    <row r="5" ht="30" spans="1:26">
      <c r="A5" s="37"/>
      <c r="B5" s="43"/>
      <c r="C5" s="45"/>
      <c r="D5" s="45"/>
      <c r="E5" s="46"/>
      <c r="F5" s="50"/>
      <c r="G5" s="51">
        <v>4</v>
      </c>
      <c r="H5" s="52" t="s">
        <v>298</v>
      </c>
      <c r="I5" s="51" t="s">
        <v>260</v>
      </c>
      <c r="J5" s="53">
        <v>0.9</v>
      </c>
      <c r="K5" s="54"/>
      <c r="L5" s="49">
        <v>3</v>
      </c>
    </row>
    <row r="6" ht="60" spans="1:26">
      <c r="A6" s="37"/>
      <c r="B6" s="43"/>
      <c r="C6" s="45"/>
      <c r="D6" s="45"/>
      <c r="E6" s="46"/>
      <c r="F6" s="50"/>
      <c r="G6" s="51">
        <v>5</v>
      </c>
      <c r="H6" s="52" t="s">
        <v>299</v>
      </c>
      <c r="I6" s="51" t="s">
        <v>283</v>
      </c>
      <c r="J6" s="53">
        <v>1</v>
      </c>
      <c r="K6" s="54"/>
      <c r="L6" s="49">
        <v>2.5</v>
      </c>
    </row>
    <row r="7" ht="15" spans="1:26">
      <c r="A7" s="37"/>
      <c r="B7" s="43"/>
      <c r="C7" s="45"/>
      <c r="D7" s="45"/>
      <c r="E7" s="46"/>
      <c r="F7" s="50"/>
      <c r="G7" s="51">
        <v>6</v>
      </c>
      <c r="H7" s="55" t="s">
        <v>300</v>
      </c>
      <c r="I7" s="51" t="s">
        <v>301</v>
      </c>
      <c r="J7" s="53">
        <v>1</v>
      </c>
      <c r="K7" s="54"/>
      <c r="L7" s="49">
        <v>2</v>
      </c>
    </row>
    <row r="8" ht="15" spans="1:26">
      <c r="A8" s="37"/>
      <c r="B8" s="43"/>
      <c r="C8" s="45"/>
      <c r="D8" s="45"/>
      <c r="E8" s="46"/>
      <c r="F8" s="50"/>
      <c r="G8" s="51">
        <v>7</v>
      </c>
      <c r="H8" s="52" t="s">
        <v>302</v>
      </c>
      <c r="I8" s="15" t="s">
        <v>303</v>
      </c>
      <c r="J8" s="53">
        <v>1</v>
      </c>
      <c r="K8" s="54"/>
      <c r="L8" s="49">
        <v>2</v>
      </c>
    </row>
    <row r="9" ht="15" spans="1:26">
      <c r="A9" s="37"/>
      <c r="B9" s="43"/>
      <c r="C9" s="45"/>
      <c r="D9" s="45"/>
      <c r="E9" s="46"/>
      <c r="F9" s="50"/>
      <c r="G9" s="51">
        <v>8</v>
      </c>
      <c r="H9" s="52" t="s">
        <v>304</v>
      </c>
      <c r="I9" s="51" t="s">
        <v>305</v>
      </c>
      <c r="J9" s="53">
        <v>1</v>
      </c>
      <c r="K9" s="54"/>
      <c r="L9" s="49">
        <v>2</v>
      </c>
    </row>
    <row r="10" ht="120" spans="1:26">
      <c r="A10" s="37"/>
      <c r="B10" s="43"/>
      <c r="C10" s="45"/>
      <c r="D10" s="45"/>
      <c r="E10" s="46"/>
      <c r="F10" s="50"/>
      <c r="G10" s="51">
        <v>9</v>
      </c>
      <c r="H10" s="56" t="s">
        <v>306</v>
      </c>
      <c r="I10" s="51" t="s">
        <v>307</v>
      </c>
      <c r="J10" s="53">
        <v>1</v>
      </c>
      <c r="K10" s="54"/>
      <c r="L10" s="49">
        <v>1</v>
      </c>
    </row>
    <row r="11" ht="15" spans="1:26">
      <c r="A11" s="37"/>
      <c r="B11" s="43"/>
      <c r="C11" s="45"/>
      <c r="D11" s="45"/>
      <c r="E11" s="46"/>
      <c r="F11" s="50"/>
      <c r="G11" s="57">
        <v>10</v>
      </c>
      <c r="H11" s="58" t="s">
        <v>308</v>
      </c>
      <c r="I11" s="59" t="s">
        <v>276</v>
      </c>
      <c r="J11" s="53">
        <v>1</v>
      </c>
      <c r="K11" s="54"/>
      <c r="L11" s="49">
        <v>1</v>
      </c>
    </row>
    <row r="12" ht="84" customHeight="1" spans="1:26">
      <c r="A12" s="37"/>
      <c r="B12" s="43"/>
      <c r="C12" s="45"/>
      <c r="D12" s="45"/>
      <c r="E12" s="46"/>
      <c r="F12" s="50"/>
      <c r="G12" s="57">
        <v>11</v>
      </c>
      <c r="H12" s="60" t="s">
        <v>309</v>
      </c>
      <c r="I12" s="59" t="s">
        <v>104</v>
      </c>
      <c r="J12" s="61">
        <v>1</v>
      </c>
      <c r="K12" s="54"/>
      <c r="L12" s="49">
        <v>5</v>
      </c>
    </row>
    <row r="13" ht="15" spans="1:26">
      <c r="A13" s="37"/>
      <c r="B13" s="43"/>
      <c r="C13" s="45"/>
      <c r="D13" s="45"/>
      <c r="E13" s="46"/>
      <c r="F13" s="62"/>
      <c r="G13" s="57">
        <v>12</v>
      </c>
      <c r="H13" s="63"/>
      <c r="I13" s="59" t="s">
        <v>106</v>
      </c>
      <c r="J13" s="64"/>
      <c r="K13" s="54"/>
      <c r="L13" s="49">
        <v>1.5</v>
      </c>
    </row>
    <row r="14" ht="15" spans="1:26">
      <c r="A14" s="37"/>
      <c r="B14" s="43"/>
      <c r="C14" s="45"/>
      <c r="D14" s="45"/>
      <c r="E14" s="26" t="s">
        <v>157</v>
      </c>
      <c r="F14" s="26"/>
      <c r="G14" s="26"/>
      <c r="H14" s="65"/>
      <c r="I14" s="26"/>
      <c r="J14" s="27"/>
      <c r="K14" s="28"/>
      <c r="L14" s="29">
        <f>SUM(L2:L13)</f>
        <v>32.55</v>
      </c>
    </row>
    <row r="15" ht="15.6" spans="1:26">
      <c r="A15" s="37"/>
      <c r="B15" s="43"/>
      <c r="C15" s="45"/>
      <c r="D15" s="45"/>
      <c r="E15" s="46" t="s">
        <v>158</v>
      </c>
      <c r="F15" s="46" t="s">
        <v>35</v>
      </c>
      <c r="G15" s="46">
        <v>1</v>
      </c>
      <c r="H15" s="66"/>
      <c r="I15" s="45"/>
      <c r="J15" s="67"/>
      <c r="K15" s="46"/>
      <c r="L15" s="49"/>
    </row>
    <row r="16" ht="15" spans="1:26">
      <c r="A16" s="37"/>
      <c r="B16" s="43"/>
      <c r="C16" s="45"/>
      <c r="D16" s="45"/>
      <c r="E16" s="46"/>
      <c r="F16" s="46"/>
      <c r="G16" s="46">
        <v>2</v>
      </c>
      <c r="H16" s="48"/>
      <c r="I16" s="46"/>
      <c r="J16" s="67"/>
      <c r="K16" s="46"/>
      <c r="L16" s="49"/>
    </row>
    <row r="17" ht="330" spans="1:12">
      <c r="A17" s="37" t="s">
        <v>310</v>
      </c>
      <c r="B17" s="43" t="s">
        <v>106</v>
      </c>
      <c r="C17" s="44">
        <v>0.95</v>
      </c>
      <c r="D17" s="45"/>
      <c r="E17" s="46" t="s">
        <v>138</v>
      </c>
      <c r="F17" s="45" t="s">
        <v>35</v>
      </c>
      <c r="G17" s="45">
        <v>1</v>
      </c>
      <c r="H17" s="48" t="s">
        <v>311</v>
      </c>
      <c r="I17" s="15" t="s">
        <v>307</v>
      </c>
      <c r="J17" s="44">
        <v>0.9</v>
      </c>
      <c r="K17" s="45"/>
      <c r="L17" s="49">
        <v>4</v>
      </c>
    </row>
    <row r="18" ht="45" spans="1:12">
      <c r="A18" s="37"/>
      <c r="B18" s="43"/>
      <c r="C18" s="45"/>
      <c r="D18" s="45"/>
      <c r="E18" s="46"/>
      <c r="F18" s="45"/>
      <c r="G18" s="45">
        <v>2</v>
      </c>
      <c r="H18" s="48" t="s">
        <v>312</v>
      </c>
      <c r="I18" s="15" t="s">
        <v>305</v>
      </c>
      <c r="J18" s="44">
        <v>0.9</v>
      </c>
      <c r="K18" s="45"/>
      <c r="L18" s="49">
        <v>3</v>
      </c>
    </row>
    <row r="19" ht="15" spans="1:12">
      <c r="A19" s="37"/>
      <c r="B19" s="43"/>
      <c r="C19" s="45"/>
      <c r="D19" s="45"/>
      <c r="E19" s="46"/>
      <c r="F19" s="45"/>
      <c r="G19" s="45">
        <v>3</v>
      </c>
      <c r="H19" s="48"/>
      <c r="I19" s="15"/>
      <c r="J19" s="44"/>
      <c r="K19" s="45"/>
      <c r="L19" s="49"/>
    </row>
    <row r="20" ht="15" spans="1:12">
      <c r="A20" s="37"/>
      <c r="B20" s="43"/>
      <c r="C20" s="45"/>
      <c r="D20" s="45"/>
      <c r="E20" s="46"/>
      <c r="F20" s="45"/>
      <c r="G20" s="45"/>
      <c r="H20" s="48"/>
      <c r="I20" s="15"/>
      <c r="J20" s="44"/>
      <c r="K20" s="45"/>
      <c r="L20" s="49"/>
    </row>
    <row r="21" ht="15" spans="1:12">
      <c r="A21" s="37"/>
      <c r="B21" s="43"/>
      <c r="C21" s="45"/>
      <c r="D21" s="45"/>
      <c r="E21" s="46"/>
      <c r="F21" s="45"/>
      <c r="G21" s="45"/>
      <c r="H21" s="48"/>
      <c r="I21" s="15"/>
      <c r="J21" s="44"/>
      <c r="K21" s="45"/>
      <c r="L21" s="49"/>
    </row>
    <row r="22" ht="15" spans="1:12">
      <c r="A22" s="37"/>
      <c r="B22" s="43"/>
      <c r="C22" s="45"/>
      <c r="D22" s="45"/>
      <c r="E22" s="46"/>
      <c r="F22" s="45"/>
      <c r="G22" s="45"/>
      <c r="H22" s="68"/>
      <c r="I22" s="45"/>
      <c r="J22" s="44"/>
      <c r="K22" s="45"/>
      <c r="L22" s="49"/>
    </row>
    <row r="23" ht="15" spans="1:12">
      <c r="A23" s="37"/>
      <c r="B23" s="43"/>
      <c r="C23" s="45"/>
      <c r="D23" s="45"/>
      <c r="E23" s="46"/>
      <c r="F23" s="45"/>
      <c r="G23" s="46"/>
      <c r="H23" s="48"/>
      <c r="I23" s="45"/>
      <c r="J23" s="44"/>
      <c r="K23" s="45"/>
      <c r="L23" s="49"/>
    </row>
    <row r="24" ht="15" spans="1:12">
      <c r="A24" s="37"/>
      <c r="B24" s="43"/>
      <c r="C24" s="45"/>
      <c r="D24" s="45"/>
      <c r="E24" s="46"/>
      <c r="F24" s="45"/>
      <c r="G24" s="45"/>
      <c r="H24" s="48"/>
      <c r="I24" s="45"/>
      <c r="J24" s="44"/>
      <c r="K24" s="45"/>
      <c r="L24" s="49"/>
    </row>
    <row r="25" ht="15" spans="1:12">
      <c r="A25" s="37"/>
      <c r="B25" s="43"/>
      <c r="C25" s="45"/>
      <c r="D25" s="45"/>
      <c r="E25" s="46"/>
      <c r="F25" s="45"/>
      <c r="G25" s="45"/>
      <c r="H25" s="48"/>
      <c r="I25" s="45"/>
      <c r="J25" s="44"/>
      <c r="K25" s="45"/>
      <c r="L25" s="49"/>
    </row>
    <row r="26" ht="15" spans="1:12">
      <c r="A26" s="37"/>
      <c r="B26" s="43"/>
      <c r="C26" s="45"/>
      <c r="D26" s="45"/>
      <c r="E26" s="26" t="s">
        <v>157</v>
      </c>
      <c r="F26" s="26"/>
      <c r="G26" s="26"/>
      <c r="H26" s="26"/>
      <c r="I26" s="26"/>
      <c r="J26" s="27"/>
      <c r="K26" s="28"/>
      <c r="L26" s="29">
        <f>SUM(L17:L25)</f>
        <v>7</v>
      </c>
    </row>
    <row r="27" ht="15.6" spans="1:12">
      <c r="A27" s="37"/>
      <c r="B27" s="43"/>
      <c r="C27" s="45"/>
      <c r="D27" s="45"/>
      <c r="E27" s="46" t="s">
        <v>158</v>
      </c>
      <c r="F27" s="46" t="s">
        <v>35</v>
      </c>
      <c r="G27" s="46">
        <v>1</v>
      </c>
      <c r="H27" s="66"/>
      <c r="I27" s="45"/>
      <c r="J27" s="67"/>
      <c r="K27" s="46"/>
      <c r="L27" s="69"/>
    </row>
    <row r="28" ht="15.6" spans="1:12">
      <c r="A28" s="37"/>
      <c r="B28" s="43"/>
      <c r="C28" s="45"/>
      <c r="D28" s="45"/>
      <c r="E28" s="46"/>
      <c r="F28" s="46"/>
      <c r="G28" s="46">
        <v>2</v>
      </c>
      <c r="H28" s="66"/>
      <c r="I28" s="46"/>
      <c r="J28" s="67"/>
      <c r="K28" s="46"/>
      <c r="L28" s="69"/>
    </row>
    <row r="29" ht="15.6" spans="1:12">
      <c r="A29" s="37" t="s">
        <v>313</v>
      </c>
      <c r="B29" s="43" t="s">
        <v>106</v>
      </c>
      <c r="C29" s="45" t="s">
        <v>137</v>
      </c>
      <c r="D29" s="45"/>
      <c r="E29" s="46" t="s">
        <v>138</v>
      </c>
      <c r="F29" s="45" t="s">
        <v>35</v>
      </c>
      <c r="G29" s="45">
        <v>1</v>
      </c>
      <c r="H29" s="48"/>
      <c r="I29" s="15"/>
      <c r="J29" s="44"/>
      <c r="K29" s="45"/>
      <c r="L29" s="43"/>
    </row>
    <row r="30" ht="15.6" spans="1:12">
      <c r="A30" s="37"/>
      <c r="B30" s="43"/>
      <c r="C30" s="45"/>
      <c r="D30" s="45"/>
      <c r="E30" s="46"/>
      <c r="F30" s="45"/>
      <c r="G30" s="45">
        <v>2</v>
      </c>
      <c r="H30" s="68"/>
      <c r="I30" s="15"/>
      <c r="J30" s="44"/>
      <c r="K30" s="45"/>
      <c r="L30" s="43"/>
    </row>
    <row r="31" ht="15" spans="1:12">
      <c r="A31" s="37"/>
      <c r="B31" s="43"/>
      <c r="C31" s="45"/>
      <c r="D31" s="45"/>
      <c r="E31" s="26" t="s">
        <v>157</v>
      </c>
      <c r="F31" s="26"/>
      <c r="G31" s="26"/>
      <c r="H31" s="26"/>
      <c r="I31" s="26"/>
      <c r="J31" s="27"/>
      <c r="K31" s="28"/>
      <c r="L31" s="29">
        <f>SUM(L29:L30)</f>
        <v>0</v>
      </c>
    </row>
    <row r="32" ht="15.6" spans="1:12">
      <c r="A32" s="37"/>
      <c r="B32" s="43"/>
      <c r="C32" s="45"/>
      <c r="D32" s="45"/>
      <c r="E32" s="46" t="s">
        <v>158</v>
      </c>
      <c r="F32" s="46" t="s">
        <v>35</v>
      </c>
      <c r="G32" s="46">
        <v>1</v>
      </c>
      <c r="H32" s="66"/>
      <c r="I32" s="45"/>
      <c r="J32" s="67"/>
      <c r="K32" s="46"/>
      <c r="L32" s="69"/>
    </row>
    <row r="33" ht="15.6" spans="1:12">
      <c r="A33" s="37"/>
      <c r="B33" s="43"/>
      <c r="C33" s="45"/>
      <c r="D33" s="45"/>
      <c r="E33" s="46"/>
      <c r="F33" s="46"/>
      <c r="G33" s="46">
        <v>2</v>
      </c>
      <c r="H33" s="66"/>
      <c r="I33" s="46"/>
      <c r="J33" s="67"/>
      <c r="K33" s="46"/>
      <c r="L33" s="49"/>
    </row>
    <row r="34" ht="15" spans="1:12">
      <c r="A34" s="37" t="s">
        <v>314</v>
      </c>
      <c r="B34" s="43" t="s">
        <v>106</v>
      </c>
      <c r="C34" s="44">
        <v>0.95</v>
      </c>
      <c r="D34" s="45"/>
      <c r="E34" s="46" t="s">
        <v>138</v>
      </c>
      <c r="F34" s="47" t="s">
        <v>35</v>
      </c>
      <c r="G34" s="45">
        <v>1</v>
      </c>
      <c r="H34" s="48" t="s">
        <v>315</v>
      </c>
      <c r="I34" s="48" t="s">
        <v>316</v>
      </c>
      <c r="J34" s="44">
        <v>0.96</v>
      </c>
      <c r="K34" s="45"/>
      <c r="L34" s="49">
        <v>5</v>
      </c>
    </row>
    <row r="35" ht="15" spans="1:12">
      <c r="A35" s="37"/>
      <c r="B35" s="43"/>
      <c r="C35" s="45"/>
      <c r="D35" s="45"/>
      <c r="E35" s="46"/>
      <c r="F35" s="50"/>
      <c r="G35" s="45">
        <v>2</v>
      </c>
      <c r="H35" s="55" t="s">
        <v>317</v>
      </c>
      <c r="I35" s="68" t="s">
        <v>297</v>
      </c>
      <c r="J35" s="44">
        <v>0.9</v>
      </c>
      <c r="K35" s="45"/>
      <c r="L35" s="49">
        <v>0.8</v>
      </c>
    </row>
    <row r="36" ht="15" spans="1:12">
      <c r="A36" s="37"/>
      <c r="B36" s="43"/>
      <c r="C36" s="45"/>
      <c r="D36" s="45"/>
      <c r="E36" s="46"/>
      <c r="F36" s="50"/>
      <c r="G36" s="45">
        <v>3</v>
      </c>
      <c r="H36" s="48" t="s">
        <v>318</v>
      </c>
      <c r="I36" s="48" t="s">
        <v>276</v>
      </c>
      <c r="J36" s="44">
        <v>1</v>
      </c>
      <c r="K36" s="45"/>
      <c r="L36" s="49">
        <v>1.5</v>
      </c>
    </row>
    <row r="37" ht="30" spans="1:12">
      <c r="A37" s="37"/>
      <c r="B37" s="43"/>
      <c r="C37" s="45"/>
      <c r="D37" s="45"/>
      <c r="E37" s="46"/>
      <c r="F37" s="50"/>
      <c r="G37" s="45">
        <v>3</v>
      </c>
      <c r="H37" s="48" t="s">
        <v>319</v>
      </c>
      <c r="I37" s="48" t="s">
        <v>106</v>
      </c>
      <c r="J37" s="44">
        <v>1</v>
      </c>
      <c r="K37" s="45"/>
      <c r="L37" s="49">
        <v>1.5</v>
      </c>
    </row>
    <row r="38" ht="15" spans="1:12">
      <c r="A38" s="37"/>
      <c r="B38" s="43"/>
      <c r="C38" s="45"/>
      <c r="D38" s="45"/>
      <c r="E38" s="46"/>
      <c r="F38" s="50"/>
      <c r="G38" s="45">
        <v>4</v>
      </c>
      <c r="H38" s="48" t="s">
        <v>320</v>
      </c>
      <c r="I38" s="48" t="s">
        <v>301</v>
      </c>
      <c r="J38" s="44">
        <v>0.9</v>
      </c>
      <c r="K38" s="45"/>
      <c r="L38" s="49">
        <v>3</v>
      </c>
    </row>
    <row r="39" ht="15" spans="1:12">
      <c r="A39" s="37"/>
      <c r="B39" s="43"/>
      <c r="C39" s="45"/>
      <c r="D39" s="45"/>
      <c r="E39" s="46"/>
      <c r="F39" s="62"/>
      <c r="G39" s="45">
        <v>5</v>
      </c>
      <c r="H39" s="68"/>
      <c r="I39" s="68"/>
      <c r="J39" s="44"/>
      <c r="K39" s="45"/>
      <c r="L39" s="49"/>
    </row>
    <row r="40" ht="15" spans="1:12">
      <c r="A40" s="37"/>
      <c r="B40" s="43"/>
      <c r="C40" s="45"/>
      <c r="D40" s="45"/>
      <c r="E40" s="46"/>
      <c r="F40" s="47" t="s">
        <v>321</v>
      </c>
      <c r="G40" s="46">
        <v>1</v>
      </c>
      <c r="H40" s="70" t="s">
        <v>322</v>
      </c>
      <c r="I40" s="48" t="s">
        <v>323</v>
      </c>
      <c r="J40" s="71">
        <v>0.8</v>
      </c>
      <c r="K40" s="45"/>
      <c r="L40" s="49">
        <v>5</v>
      </c>
    </row>
    <row r="41" ht="15" spans="1:12">
      <c r="A41" s="37"/>
      <c r="B41" s="43"/>
      <c r="C41" s="45"/>
      <c r="D41" s="45"/>
      <c r="E41" s="46"/>
      <c r="F41" s="50"/>
      <c r="G41" s="45">
        <v>2</v>
      </c>
      <c r="H41" s="72"/>
      <c r="I41" s="48" t="s">
        <v>324</v>
      </c>
      <c r="J41" s="73"/>
      <c r="K41" s="45"/>
      <c r="L41" s="49">
        <v>5</v>
      </c>
    </row>
    <row r="42" ht="15" spans="1:12">
      <c r="A42" s="37"/>
      <c r="B42" s="43"/>
      <c r="C42" s="45"/>
      <c r="D42" s="45"/>
      <c r="E42" s="46"/>
      <c r="F42" s="62"/>
      <c r="G42" s="45">
        <v>3</v>
      </c>
      <c r="H42" s="48"/>
      <c r="I42" s="45"/>
      <c r="J42" s="44"/>
      <c r="K42" s="45"/>
      <c r="L42" s="49"/>
    </row>
    <row r="43" ht="15" spans="1:12">
      <c r="A43" s="37"/>
      <c r="B43" s="43"/>
      <c r="C43" s="45"/>
      <c r="D43" s="45"/>
      <c r="E43" s="26" t="s">
        <v>157</v>
      </c>
      <c r="F43" s="26"/>
      <c r="G43" s="26"/>
      <c r="H43" s="26"/>
      <c r="I43" s="26"/>
      <c r="J43" s="27"/>
      <c r="K43" s="28"/>
      <c r="L43" s="29">
        <f>SUM(L34:L42)</f>
        <v>21.8</v>
      </c>
    </row>
    <row r="44" ht="15.6" spans="1:12">
      <c r="A44" s="37"/>
      <c r="B44" s="43"/>
      <c r="C44" s="45"/>
      <c r="D44" s="45"/>
      <c r="E44" s="46" t="s">
        <v>158</v>
      </c>
      <c r="F44" s="46" t="s">
        <v>35</v>
      </c>
      <c r="G44" s="46">
        <v>1</v>
      </c>
      <c r="H44" s="66"/>
      <c r="I44" s="45"/>
      <c r="J44" s="67"/>
      <c r="K44" s="46"/>
      <c r="L44" s="69"/>
    </row>
    <row r="45" ht="15.6" spans="1:12">
      <c r="A45" s="37"/>
      <c r="B45" s="43"/>
      <c r="C45" s="45"/>
      <c r="D45" s="45"/>
      <c r="E45" s="46"/>
      <c r="F45" s="46"/>
      <c r="G45" s="46">
        <v>2</v>
      </c>
      <c r="H45" s="66"/>
      <c r="I45" s="46"/>
      <c r="J45" s="67"/>
      <c r="K45" s="46"/>
      <c r="L45" s="69"/>
    </row>
    <row r="46" ht="15" spans="1:12">
      <c r="A46" s="37" t="s">
        <v>325</v>
      </c>
      <c r="B46" s="43" t="s">
        <v>106</v>
      </c>
      <c r="C46" s="45" t="s">
        <v>137</v>
      </c>
      <c r="D46" s="45"/>
      <c r="E46" s="46" t="s">
        <v>138</v>
      </c>
      <c r="F46" s="45" t="s">
        <v>35</v>
      </c>
      <c r="G46" s="45">
        <v>1</v>
      </c>
      <c r="H46" s="48"/>
      <c r="I46" s="15"/>
      <c r="J46" s="44"/>
      <c r="K46" s="45"/>
      <c r="L46" s="49"/>
    </row>
    <row r="47" ht="15" spans="1:12">
      <c r="A47" s="37"/>
      <c r="B47" s="43"/>
      <c r="C47" s="45"/>
      <c r="D47" s="45"/>
      <c r="E47" s="46"/>
      <c r="F47" s="45"/>
      <c r="G47" s="45">
        <v>2</v>
      </c>
      <c r="H47" s="68"/>
      <c r="I47" s="15"/>
      <c r="J47" s="44"/>
      <c r="K47" s="45"/>
      <c r="L47" s="49"/>
    </row>
    <row r="48" ht="15" spans="1:12">
      <c r="A48" s="37"/>
      <c r="B48" s="43"/>
      <c r="C48" s="45"/>
      <c r="D48" s="45"/>
      <c r="E48" s="46"/>
      <c r="F48" s="45"/>
      <c r="G48" s="45">
        <v>3</v>
      </c>
      <c r="H48" s="48"/>
      <c r="I48" s="15"/>
      <c r="J48" s="44"/>
      <c r="K48" s="45"/>
      <c r="L48" s="49"/>
    </row>
    <row r="49" ht="15" spans="1:12">
      <c r="A49" s="37"/>
      <c r="B49" s="43"/>
      <c r="C49" s="45"/>
      <c r="D49" s="45"/>
      <c r="E49" s="46"/>
      <c r="F49" s="45"/>
      <c r="G49" s="45"/>
      <c r="H49" s="48"/>
      <c r="I49" s="15"/>
      <c r="J49" s="44"/>
      <c r="K49" s="45"/>
      <c r="L49" s="49"/>
    </row>
    <row r="50" ht="15" spans="1:12">
      <c r="A50" s="37"/>
      <c r="B50" s="43"/>
      <c r="C50" s="45"/>
      <c r="D50" s="45"/>
      <c r="E50" s="46"/>
      <c r="F50" s="45"/>
      <c r="G50" s="45"/>
      <c r="H50" s="48"/>
      <c r="I50" s="15"/>
      <c r="J50" s="44"/>
      <c r="K50" s="45"/>
      <c r="L50" s="49"/>
    </row>
    <row r="51" ht="15" spans="1:12">
      <c r="A51" s="37"/>
      <c r="B51" s="43"/>
      <c r="C51" s="45"/>
      <c r="D51" s="45"/>
      <c r="E51" s="46"/>
      <c r="F51" s="45"/>
      <c r="G51" s="45"/>
      <c r="H51" s="68"/>
      <c r="I51" s="45"/>
      <c r="J51" s="44"/>
      <c r="K51" s="45"/>
      <c r="L51" s="49"/>
    </row>
    <row r="52" ht="15" spans="1:12">
      <c r="A52" s="37"/>
      <c r="B52" s="43"/>
      <c r="C52" s="45"/>
      <c r="D52" s="45"/>
      <c r="E52" s="46"/>
      <c r="F52" s="45"/>
      <c r="G52" s="46"/>
      <c r="H52" s="48"/>
      <c r="I52" s="45"/>
      <c r="J52" s="44"/>
      <c r="K52" s="45"/>
      <c r="L52" s="49"/>
    </row>
    <row r="53" ht="15" spans="1:12">
      <c r="A53" s="37"/>
      <c r="B53" s="43"/>
      <c r="C53" s="45"/>
      <c r="D53" s="45"/>
      <c r="E53" s="46"/>
      <c r="F53" s="45"/>
      <c r="G53" s="45"/>
      <c r="H53" s="48"/>
      <c r="I53" s="45"/>
      <c r="J53" s="44"/>
      <c r="K53" s="45"/>
      <c r="L53" s="49"/>
    </row>
    <row r="54" ht="15" spans="1:12">
      <c r="A54" s="37"/>
      <c r="B54" s="43"/>
      <c r="C54" s="45"/>
      <c r="D54" s="45"/>
      <c r="E54" s="46"/>
      <c r="F54" s="45"/>
      <c r="G54" s="45"/>
      <c r="H54" s="48"/>
      <c r="I54" s="45"/>
      <c r="J54" s="44"/>
      <c r="K54" s="45"/>
      <c r="L54" s="49"/>
    </row>
    <row r="55" ht="15" spans="1:12">
      <c r="A55" s="37"/>
      <c r="B55" s="43"/>
      <c r="C55" s="45"/>
      <c r="D55" s="45"/>
      <c r="E55" s="26" t="s">
        <v>157</v>
      </c>
      <c r="F55" s="26"/>
      <c r="G55" s="26"/>
      <c r="H55" s="26"/>
      <c r="I55" s="26"/>
      <c r="J55" s="27"/>
      <c r="K55" s="28"/>
      <c r="L55" s="29">
        <f>SUM(L46:L54)</f>
        <v>0</v>
      </c>
    </row>
    <row r="56" ht="15.6" spans="1:12">
      <c r="A56" s="37"/>
      <c r="B56" s="43"/>
      <c r="C56" s="45"/>
      <c r="D56" s="45"/>
      <c r="E56" s="46" t="s">
        <v>158</v>
      </c>
      <c r="F56" s="46" t="s">
        <v>35</v>
      </c>
      <c r="G56" s="46">
        <v>1</v>
      </c>
      <c r="H56" s="66"/>
      <c r="I56" s="45"/>
      <c r="J56" s="67"/>
      <c r="K56" s="46"/>
      <c r="L56" s="49"/>
    </row>
    <row r="57" ht="15.6" spans="1:12">
      <c r="A57" s="37"/>
      <c r="B57" s="43"/>
      <c r="C57" s="45"/>
      <c r="D57" s="45"/>
      <c r="E57" s="46"/>
      <c r="F57" s="46"/>
      <c r="G57" s="46">
        <v>2</v>
      </c>
      <c r="H57" s="66"/>
      <c r="I57" s="46"/>
      <c r="J57" s="67"/>
      <c r="K57" s="46"/>
      <c r="L57" s="49"/>
    </row>
    <row r="58" ht="15" spans="1:12">
      <c r="A58" s="37" t="s">
        <v>326</v>
      </c>
      <c r="B58" s="43" t="s">
        <v>316</v>
      </c>
      <c r="C58" s="45" t="s">
        <v>137</v>
      </c>
      <c r="D58" s="45"/>
      <c r="E58" s="46" t="s">
        <v>138</v>
      </c>
      <c r="F58" s="45" t="s">
        <v>35</v>
      </c>
      <c r="G58" s="45">
        <v>1</v>
      </c>
      <c r="H58" s="48"/>
      <c r="I58" s="15"/>
      <c r="J58" s="44"/>
      <c r="K58" s="45"/>
      <c r="L58" s="49"/>
    </row>
    <row r="59" ht="15" spans="1:12">
      <c r="A59" s="37"/>
      <c r="B59" s="43"/>
      <c r="C59" s="45"/>
      <c r="D59" s="45"/>
      <c r="E59" s="46"/>
      <c r="F59" s="45"/>
      <c r="G59" s="45">
        <v>2</v>
      </c>
      <c r="H59" s="68"/>
      <c r="I59" s="15"/>
      <c r="J59" s="44"/>
      <c r="K59" s="45"/>
      <c r="L59" s="49"/>
    </row>
    <row r="60" ht="15" spans="1:12">
      <c r="A60" s="37"/>
      <c r="B60" s="43"/>
      <c r="C60" s="45"/>
      <c r="D60" s="45"/>
      <c r="E60" s="46"/>
      <c r="F60" s="45"/>
      <c r="G60" s="45">
        <v>3</v>
      </c>
      <c r="H60" s="48"/>
      <c r="I60" s="15"/>
      <c r="J60" s="44"/>
      <c r="K60" s="45"/>
      <c r="L60" s="49"/>
    </row>
    <row r="61" ht="15" spans="1:12">
      <c r="A61" s="37"/>
      <c r="B61" s="43"/>
      <c r="C61" s="45"/>
      <c r="D61" s="45"/>
      <c r="E61" s="46"/>
      <c r="F61" s="45"/>
      <c r="G61" s="45"/>
      <c r="H61" s="48"/>
      <c r="I61" s="15"/>
      <c r="J61" s="44"/>
      <c r="K61" s="45"/>
      <c r="L61" s="49"/>
    </row>
    <row r="62" ht="15" spans="1:12">
      <c r="A62" s="37"/>
      <c r="B62" s="43"/>
      <c r="C62" s="45"/>
      <c r="D62" s="45"/>
      <c r="E62" s="46"/>
      <c r="F62" s="45"/>
      <c r="G62" s="45"/>
      <c r="H62" s="48"/>
      <c r="I62" s="15"/>
      <c r="J62" s="44"/>
      <c r="K62" s="45"/>
      <c r="L62" s="49"/>
    </row>
    <row r="63" ht="15" spans="1:12">
      <c r="A63" s="37"/>
      <c r="B63" s="43"/>
      <c r="C63" s="45"/>
      <c r="D63" s="45"/>
      <c r="E63" s="46"/>
      <c r="F63" s="45"/>
      <c r="G63" s="45"/>
      <c r="H63" s="68"/>
      <c r="I63" s="45"/>
      <c r="J63" s="44"/>
      <c r="K63" s="45"/>
      <c r="L63" s="49"/>
    </row>
    <row r="64" ht="15" spans="1:12">
      <c r="A64" s="37"/>
      <c r="B64" s="43"/>
      <c r="C64" s="45"/>
      <c r="D64" s="45"/>
      <c r="E64" s="46"/>
      <c r="F64" s="45"/>
      <c r="G64" s="46"/>
      <c r="H64" s="48"/>
      <c r="I64" s="45"/>
      <c r="J64" s="44"/>
      <c r="K64" s="45"/>
      <c r="L64" s="49"/>
    </row>
    <row r="65" ht="15" spans="1:12">
      <c r="A65" s="37"/>
      <c r="B65" s="43"/>
      <c r="C65" s="45"/>
      <c r="D65" s="45"/>
      <c r="E65" s="46"/>
      <c r="F65" s="45"/>
      <c r="G65" s="45"/>
      <c r="H65" s="48"/>
      <c r="I65" s="45"/>
      <c r="J65" s="44"/>
      <c r="K65" s="45"/>
      <c r="L65" s="49"/>
    </row>
    <row r="66" ht="15" spans="1:12">
      <c r="A66" s="37"/>
      <c r="B66" s="43"/>
      <c r="C66" s="45"/>
      <c r="D66" s="45"/>
      <c r="E66" s="46"/>
      <c r="F66" s="45"/>
      <c r="G66" s="45"/>
      <c r="H66" s="48"/>
      <c r="I66" s="45"/>
      <c r="J66" s="44"/>
      <c r="K66" s="45"/>
      <c r="L66" s="49"/>
    </row>
    <row r="67" ht="15" spans="1:12">
      <c r="A67" s="37"/>
      <c r="B67" s="43"/>
      <c r="C67" s="45"/>
      <c r="D67" s="45"/>
      <c r="E67" s="26" t="s">
        <v>157</v>
      </c>
      <c r="F67" s="26"/>
      <c r="G67" s="26"/>
      <c r="H67" s="26"/>
      <c r="I67" s="26"/>
      <c r="J67" s="27"/>
      <c r="K67" s="28"/>
      <c r="L67" s="29">
        <f>SUM(L58:L66)</f>
        <v>0</v>
      </c>
    </row>
    <row r="68" ht="15.6" spans="1:12">
      <c r="A68" s="37"/>
      <c r="B68" s="43"/>
      <c r="C68" s="45"/>
      <c r="D68" s="45"/>
      <c r="E68" s="46" t="s">
        <v>158</v>
      </c>
      <c r="F68" s="46" t="s">
        <v>35</v>
      </c>
      <c r="G68" s="46">
        <v>1</v>
      </c>
      <c r="H68" s="66"/>
      <c r="I68" s="45"/>
      <c r="J68" s="67"/>
      <c r="K68" s="46"/>
      <c r="L68" s="69"/>
    </row>
    <row r="69" ht="15.6" spans="1:12">
      <c r="A69" s="37"/>
      <c r="B69" s="43"/>
      <c r="C69" s="45"/>
      <c r="D69" s="45"/>
      <c r="E69" s="46"/>
      <c r="F69" s="46"/>
      <c r="G69" s="46">
        <v>2</v>
      </c>
      <c r="H69" s="66"/>
      <c r="I69" s="46"/>
      <c r="J69" s="67"/>
      <c r="K69" s="46"/>
      <c r="L69" s="69"/>
    </row>
    <row r="70" ht="15" spans="1:12">
      <c r="A70" s="3" t="s">
        <v>327</v>
      </c>
      <c r="B70" s="17"/>
      <c r="C70" s="13" t="s">
        <v>137</v>
      </c>
      <c r="D70" s="13"/>
      <c r="E70" s="23" t="s">
        <v>138</v>
      </c>
      <c r="F70" s="13" t="s">
        <v>35</v>
      </c>
      <c r="G70" s="13">
        <v>1</v>
      </c>
      <c r="H70" s="74" t="s">
        <v>328</v>
      </c>
      <c r="I70" s="15" t="s">
        <v>303</v>
      </c>
      <c r="J70" s="16">
        <v>1</v>
      </c>
      <c r="K70" s="13"/>
      <c r="L70" s="49">
        <v>3</v>
      </c>
    </row>
    <row r="71" ht="15" spans="1:12">
      <c r="A71" s="3"/>
      <c r="B71" s="17"/>
      <c r="C71" s="13"/>
      <c r="D71" s="13"/>
      <c r="E71" s="23"/>
      <c r="F71" s="13"/>
      <c r="G71" s="13">
        <v>2</v>
      </c>
      <c r="H71" s="64"/>
      <c r="I71" s="15" t="s">
        <v>301</v>
      </c>
      <c r="J71" s="16">
        <v>1</v>
      </c>
      <c r="K71" s="13"/>
      <c r="L71" s="49">
        <v>2</v>
      </c>
    </row>
    <row r="72" ht="15" spans="1:12">
      <c r="A72" s="3"/>
      <c r="B72" s="17"/>
      <c r="C72" s="13"/>
      <c r="D72" s="13"/>
      <c r="E72" s="23"/>
      <c r="F72" s="13"/>
      <c r="G72" s="13">
        <v>3</v>
      </c>
      <c r="H72" s="14"/>
      <c r="I72" s="15"/>
      <c r="J72" s="16"/>
      <c r="K72" s="13"/>
      <c r="L72" s="49"/>
    </row>
    <row r="73" ht="15" spans="1:12">
      <c r="A73" s="3"/>
      <c r="B73" s="17"/>
      <c r="C73" s="13"/>
      <c r="D73" s="13"/>
      <c r="E73" s="23"/>
      <c r="F73" s="13"/>
      <c r="G73" s="13"/>
      <c r="H73" s="14"/>
      <c r="I73" s="15"/>
      <c r="J73" s="16"/>
      <c r="K73" s="13"/>
      <c r="L73" s="49"/>
    </row>
    <row r="74" ht="15" spans="1:12">
      <c r="A74" s="3"/>
      <c r="B74" s="17"/>
      <c r="C74" s="13"/>
      <c r="D74" s="13"/>
      <c r="E74" s="23"/>
      <c r="F74" s="13"/>
      <c r="G74" s="13"/>
      <c r="H74" s="14"/>
      <c r="I74" s="15"/>
      <c r="J74" s="16"/>
      <c r="K74" s="13"/>
      <c r="L74" s="49"/>
    </row>
    <row r="75" ht="15" spans="1:12">
      <c r="A75" s="3"/>
      <c r="B75" s="17"/>
      <c r="C75" s="13"/>
      <c r="D75" s="13"/>
      <c r="E75" s="23"/>
      <c r="F75" s="13"/>
      <c r="G75" s="13"/>
      <c r="H75" s="22"/>
      <c r="I75" s="13"/>
      <c r="J75" s="16"/>
      <c r="K75" s="13"/>
      <c r="L75" s="49"/>
    </row>
    <row r="76" ht="15" spans="1:12">
      <c r="A76" s="3"/>
      <c r="B76" s="17"/>
      <c r="C76" s="13"/>
      <c r="D76" s="13"/>
      <c r="E76" s="23"/>
      <c r="F76" s="13"/>
      <c r="G76" s="23"/>
      <c r="H76" s="14"/>
      <c r="I76" s="13"/>
      <c r="J76" s="16"/>
      <c r="K76" s="13"/>
      <c r="L76" s="49"/>
    </row>
    <row r="77" ht="15" spans="1:12">
      <c r="A77" s="3"/>
      <c r="B77" s="17"/>
      <c r="C77" s="13"/>
      <c r="D77" s="13"/>
      <c r="E77" s="23"/>
      <c r="F77" s="13"/>
      <c r="G77" s="13"/>
      <c r="H77" s="14"/>
      <c r="I77" s="13"/>
      <c r="J77" s="16"/>
      <c r="K77" s="13"/>
      <c r="L77" s="49"/>
    </row>
    <row r="78" ht="15" spans="1:12">
      <c r="A78" s="3"/>
      <c r="B78" s="17"/>
      <c r="C78" s="13"/>
      <c r="D78" s="13"/>
      <c r="E78" s="23"/>
      <c r="F78" s="13"/>
      <c r="G78" s="13"/>
      <c r="H78" s="14"/>
      <c r="I78" s="13"/>
      <c r="J78" s="16"/>
      <c r="K78" s="13"/>
      <c r="L78" s="49"/>
    </row>
    <row r="79" ht="15" spans="1:12">
      <c r="A79" s="3"/>
      <c r="B79" s="17"/>
      <c r="C79" s="13"/>
      <c r="D79" s="13"/>
      <c r="E79" s="26" t="s">
        <v>157</v>
      </c>
      <c r="F79" s="26"/>
      <c r="G79" s="26"/>
      <c r="H79" s="26"/>
      <c r="I79" s="26"/>
      <c r="J79" s="27"/>
      <c r="K79" s="28"/>
      <c r="L79" s="29">
        <f>SUM(L70:L78)</f>
        <v>5</v>
      </c>
    </row>
    <row r="80" ht="15.6" spans="1:12">
      <c r="A80" s="3"/>
      <c r="B80" s="17"/>
      <c r="C80" s="13"/>
      <c r="D80" s="13"/>
      <c r="E80" s="23" t="s">
        <v>158</v>
      </c>
      <c r="F80" s="23" t="s">
        <v>35</v>
      </c>
      <c r="G80" s="23">
        <v>1</v>
      </c>
      <c r="H80" s="30"/>
      <c r="I80" s="13"/>
      <c r="J80" s="31"/>
      <c r="K80" s="23"/>
      <c r="L80" s="32"/>
    </row>
    <row r="81" ht="15.6" spans="1:12">
      <c r="A81" s="3"/>
      <c r="B81" s="17"/>
      <c r="C81" s="13"/>
      <c r="D81" s="13"/>
      <c r="E81" s="23"/>
      <c r="F81" s="23"/>
      <c r="G81" s="23">
        <v>2</v>
      </c>
      <c r="H81" s="30"/>
      <c r="I81" s="23"/>
      <c r="J81" s="31"/>
      <c r="K81" s="23"/>
      <c r="L81" s="32"/>
    </row>
  </sheetData>
  <mergeCells count="69">
    <mergeCell ref="E14:H14"/>
    <mergeCell ref="E26:H26"/>
    <mergeCell ref="E31:H31"/>
    <mergeCell ref="E43:H43"/>
    <mergeCell ref="E55:H55"/>
    <mergeCell ref="E67:H67"/>
    <mergeCell ref="E79:H79"/>
    <mergeCell ref="A2:A16"/>
    <mergeCell ref="A17:A28"/>
    <mergeCell ref="A29:A33"/>
    <mergeCell ref="A34:A45"/>
    <mergeCell ref="A46:A57"/>
    <mergeCell ref="A58:A69"/>
    <mergeCell ref="A70:A81"/>
    <mergeCell ref="B2:B16"/>
    <mergeCell ref="B17:B28"/>
    <mergeCell ref="B29:B33"/>
    <mergeCell ref="B34:B45"/>
    <mergeCell ref="B46:B57"/>
    <mergeCell ref="B58:B69"/>
    <mergeCell ref="B70:B81"/>
    <mergeCell ref="C2:C16"/>
    <mergeCell ref="C17:C28"/>
    <mergeCell ref="C29:C33"/>
    <mergeCell ref="C34:C45"/>
    <mergeCell ref="C46:C57"/>
    <mergeCell ref="C58:C69"/>
    <mergeCell ref="C70:C81"/>
    <mergeCell ref="D2:D16"/>
    <mergeCell ref="D17:D28"/>
    <mergeCell ref="D29:D33"/>
    <mergeCell ref="D34:D45"/>
    <mergeCell ref="D46:D57"/>
    <mergeCell ref="D58:D69"/>
    <mergeCell ref="D70:D81"/>
    <mergeCell ref="E2:E13"/>
    <mergeCell ref="E15:E16"/>
    <mergeCell ref="E17:E25"/>
    <mergeCell ref="E27:E28"/>
    <mergeCell ref="E29:E30"/>
    <mergeCell ref="E32:E33"/>
    <mergeCell ref="E34:E42"/>
    <mergeCell ref="E44:E45"/>
    <mergeCell ref="E46:E54"/>
    <mergeCell ref="E56:E57"/>
    <mergeCell ref="E58:E66"/>
    <mergeCell ref="E68:E69"/>
    <mergeCell ref="E70:E78"/>
    <mergeCell ref="E80:E81"/>
    <mergeCell ref="F2:F13"/>
    <mergeCell ref="F15:F16"/>
    <mergeCell ref="F17:F25"/>
    <mergeCell ref="F27:F28"/>
    <mergeCell ref="F29:F30"/>
    <mergeCell ref="F32:F33"/>
    <mergeCell ref="F34:F39"/>
    <mergeCell ref="F40:F42"/>
    <mergeCell ref="F44:F45"/>
    <mergeCell ref="F46:F54"/>
    <mergeCell ref="F56:F57"/>
    <mergeCell ref="F58:F66"/>
    <mergeCell ref="F68:F69"/>
    <mergeCell ref="F70:F78"/>
    <mergeCell ref="F80:F81"/>
    <mergeCell ref="H12:H13"/>
    <mergeCell ref="H40:H41"/>
    <mergeCell ref="H70:H71"/>
    <mergeCell ref="J12:J13"/>
    <mergeCell ref="J40:J41"/>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9"/>
  <sheetViews>
    <sheetView workbookViewId="0">
      <pane ySplit="1" topLeftCell="A9" activePane="bottomLeft" state="frozen"/>
      <selection/>
      <selection pane="bottomLeft" activeCell="H17" sqref="H17"/>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15.6" spans="1:26">
      <c r="A2" s="9" t="s">
        <v>329</v>
      </c>
      <c r="B2" s="10" t="s">
        <v>56</v>
      </c>
      <c r="C2" s="261" t="s">
        <v>137</v>
      </c>
      <c r="D2" s="11"/>
      <c r="E2" s="12" t="s">
        <v>138</v>
      </c>
      <c r="F2" s="11" t="s">
        <v>35</v>
      </c>
      <c r="G2" s="13">
        <v>1</v>
      </c>
      <c r="H2" s="14" t="s">
        <v>330</v>
      </c>
      <c r="I2" s="15" t="s">
        <v>331</v>
      </c>
      <c r="J2" s="16">
        <v>1</v>
      </c>
      <c r="K2" s="13"/>
      <c r="L2" s="17"/>
    </row>
    <row r="3" ht="15.6" spans="1:26">
      <c r="A3" s="18"/>
      <c r="B3" s="19"/>
      <c r="C3" s="20"/>
      <c r="D3" s="20"/>
      <c r="E3" s="21"/>
      <c r="F3" s="20"/>
      <c r="G3" s="13">
        <v>2</v>
      </c>
      <c r="H3" s="22" t="s">
        <v>332</v>
      </c>
      <c r="I3" s="15" t="s">
        <v>333</v>
      </c>
      <c r="J3" s="16">
        <v>1</v>
      </c>
      <c r="K3" s="13" t="s">
        <v>334</v>
      </c>
      <c r="L3" s="17">
        <v>0.5</v>
      </c>
    </row>
    <row r="4" ht="24" customHeight="1" spans="1:26">
      <c r="A4" s="18"/>
      <c r="B4" s="19"/>
      <c r="C4" s="20"/>
      <c r="D4" s="20"/>
      <c r="E4" s="21"/>
      <c r="F4" s="20"/>
      <c r="G4" s="13">
        <v>3</v>
      </c>
      <c r="H4" s="14" t="s">
        <v>335</v>
      </c>
      <c r="I4" s="15" t="s">
        <v>331</v>
      </c>
      <c r="J4" s="16">
        <v>0.75</v>
      </c>
      <c r="K4" s="13" t="s">
        <v>336</v>
      </c>
      <c r="L4" s="17">
        <v>8</v>
      </c>
    </row>
    <row r="5" ht="22" customHeight="1" spans="1:26">
      <c r="A5" s="18"/>
      <c r="B5" s="19"/>
      <c r="C5" s="20"/>
      <c r="D5" s="20"/>
      <c r="E5" s="21"/>
      <c r="F5" s="20"/>
      <c r="G5" s="13">
        <v>4</v>
      </c>
      <c r="H5" s="14" t="s">
        <v>337</v>
      </c>
      <c r="I5" s="15" t="s">
        <v>338</v>
      </c>
      <c r="J5" s="16">
        <v>0.9</v>
      </c>
      <c r="K5" s="13" t="s">
        <v>334</v>
      </c>
      <c r="L5" s="17">
        <v>2</v>
      </c>
    </row>
    <row r="6" ht="30" spans="1:26">
      <c r="A6" s="18"/>
      <c r="B6" s="19"/>
      <c r="C6" s="20"/>
      <c r="D6" s="20"/>
      <c r="E6" s="21"/>
      <c r="F6" s="20"/>
      <c r="G6" s="13">
        <v>5</v>
      </c>
      <c r="H6" s="14" t="s">
        <v>339</v>
      </c>
      <c r="I6" s="15" t="s">
        <v>340</v>
      </c>
      <c r="J6" s="16">
        <v>0.9</v>
      </c>
      <c r="K6" s="13" t="s">
        <v>336</v>
      </c>
      <c r="L6" s="17">
        <v>6</v>
      </c>
    </row>
    <row r="7" ht="15.6" spans="1:26">
      <c r="A7" s="18"/>
      <c r="B7" s="19"/>
      <c r="C7" s="20"/>
      <c r="D7" s="20"/>
      <c r="E7" s="21"/>
      <c r="F7" s="20"/>
      <c r="G7" s="13">
        <v>6</v>
      </c>
      <c r="H7" s="22" t="s">
        <v>341</v>
      </c>
      <c r="I7" s="13" t="s">
        <v>331</v>
      </c>
      <c r="J7" s="16">
        <v>1</v>
      </c>
      <c r="K7" s="13"/>
      <c r="L7" s="17"/>
    </row>
    <row r="8" ht="30" spans="1:26">
      <c r="A8" s="18"/>
      <c r="B8" s="19"/>
      <c r="C8" s="20"/>
      <c r="D8" s="20"/>
      <c r="E8" s="21"/>
      <c r="F8" s="20"/>
      <c r="G8" s="23">
        <v>7</v>
      </c>
      <c r="H8" s="14" t="s">
        <v>342</v>
      </c>
      <c r="I8" s="13" t="s">
        <v>340</v>
      </c>
      <c r="J8" s="16">
        <v>1</v>
      </c>
      <c r="K8" s="13" t="s">
        <v>343</v>
      </c>
      <c r="L8" s="17">
        <v>2</v>
      </c>
    </row>
    <row r="9" ht="33" customHeight="1" spans="1:26">
      <c r="A9" s="18"/>
      <c r="B9" s="19"/>
      <c r="C9" s="20"/>
      <c r="D9" s="20"/>
      <c r="E9" s="21"/>
      <c r="F9" s="20"/>
      <c r="G9" s="13">
        <v>8</v>
      </c>
      <c r="H9" s="14" t="s">
        <v>344</v>
      </c>
      <c r="I9" s="13" t="s">
        <v>333</v>
      </c>
      <c r="J9" s="16">
        <v>0.95</v>
      </c>
      <c r="K9" s="13" t="s">
        <v>345</v>
      </c>
      <c r="L9" s="17">
        <v>0.5</v>
      </c>
    </row>
    <row r="10" ht="25" customHeight="1" spans="1:26">
      <c r="A10" s="18"/>
      <c r="B10" s="19"/>
      <c r="C10" s="20"/>
      <c r="D10" s="20"/>
      <c r="E10" s="21"/>
      <c r="F10" s="20"/>
      <c r="G10" s="13">
        <v>9</v>
      </c>
      <c r="H10" s="14" t="s">
        <v>346</v>
      </c>
      <c r="I10" s="13" t="s">
        <v>340</v>
      </c>
      <c r="J10" s="16">
        <v>0.6</v>
      </c>
      <c r="K10" s="13" t="s">
        <v>347</v>
      </c>
      <c r="L10" s="17">
        <v>5</v>
      </c>
    </row>
    <row r="11" ht="23" customHeight="1" spans="1:26">
      <c r="A11" s="18"/>
      <c r="B11" s="19"/>
      <c r="C11" s="20"/>
      <c r="D11" s="20"/>
      <c r="E11" s="21"/>
      <c r="F11" s="20" t="s">
        <v>112</v>
      </c>
      <c r="G11" s="13">
        <v>10</v>
      </c>
      <c r="H11" s="14" t="s">
        <v>348</v>
      </c>
      <c r="I11" s="13" t="s">
        <v>56</v>
      </c>
      <c r="J11" s="16">
        <v>0.05</v>
      </c>
      <c r="K11" s="13" t="s">
        <v>349</v>
      </c>
      <c r="L11" s="17">
        <v>1</v>
      </c>
    </row>
    <row r="12" ht="23" customHeight="1" spans="1:26">
      <c r="A12" s="18"/>
      <c r="B12" s="19"/>
      <c r="C12" s="20"/>
      <c r="D12" s="20"/>
      <c r="E12" s="21"/>
      <c r="F12" s="20"/>
      <c r="G12" s="13">
        <v>11</v>
      </c>
      <c r="H12" s="14" t="s">
        <v>350</v>
      </c>
      <c r="I12" s="13" t="s">
        <v>331</v>
      </c>
      <c r="J12" s="16">
        <v>0.05</v>
      </c>
      <c r="K12" s="13" t="s">
        <v>349</v>
      </c>
      <c r="L12" s="17">
        <v>1</v>
      </c>
    </row>
    <row r="13" ht="24" customHeight="1" spans="1:26">
      <c r="A13" s="18"/>
      <c r="B13" s="19"/>
      <c r="C13" s="20"/>
      <c r="D13" s="20"/>
      <c r="E13" s="24"/>
      <c r="F13" s="25"/>
      <c r="G13" s="13">
        <v>12</v>
      </c>
      <c r="H13" s="14" t="s">
        <v>351</v>
      </c>
      <c r="I13" s="13" t="s">
        <v>56</v>
      </c>
      <c r="J13" s="16">
        <v>0.05</v>
      </c>
      <c r="K13" s="13" t="s">
        <v>349</v>
      </c>
      <c r="L13" s="17">
        <v>1</v>
      </c>
    </row>
    <row r="14" ht="15" spans="1:26">
      <c r="A14" s="18"/>
      <c r="B14" s="19"/>
      <c r="C14" s="20"/>
      <c r="D14" s="20"/>
      <c r="E14" s="26" t="s">
        <v>157</v>
      </c>
      <c r="F14" s="26"/>
      <c r="G14" s="26"/>
      <c r="H14" s="26"/>
      <c r="I14" s="26"/>
      <c r="J14" s="27"/>
      <c r="K14" s="28"/>
      <c r="L14" s="29">
        <f>SUM(L2:L13)</f>
        <v>27</v>
      </c>
    </row>
    <row r="15" ht="31.2" spans="1:26">
      <c r="A15" s="18"/>
      <c r="B15" s="19"/>
      <c r="C15" s="20"/>
      <c r="D15" s="20"/>
      <c r="E15" s="12" t="s">
        <v>158</v>
      </c>
      <c r="F15" s="12" t="s">
        <v>35</v>
      </c>
      <c r="G15" s="23">
        <v>1</v>
      </c>
      <c r="H15" s="30" t="s">
        <v>339</v>
      </c>
      <c r="I15" s="13" t="s">
        <v>340</v>
      </c>
      <c r="J15" s="31">
        <v>1</v>
      </c>
      <c r="K15" s="23"/>
      <c r="L15" s="32"/>
    </row>
    <row r="16" ht="17" customHeight="1" spans="1:26">
      <c r="A16" s="18"/>
      <c r="B16" s="19"/>
      <c r="C16" s="20"/>
      <c r="D16" s="20"/>
      <c r="E16" s="21"/>
      <c r="F16" s="21"/>
      <c r="G16" s="23">
        <v>2</v>
      </c>
      <c r="H16" s="30" t="s">
        <v>335</v>
      </c>
      <c r="I16" s="23" t="s">
        <v>331</v>
      </c>
      <c r="J16" s="31">
        <v>0.9</v>
      </c>
      <c r="K16" s="23"/>
      <c r="L16" s="32"/>
    </row>
    <row r="17" ht="15.6" spans="1:12">
      <c r="A17" s="18"/>
      <c r="B17" s="19"/>
      <c r="C17" s="20"/>
      <c r="D17" s="20"/>
      <c r="E17" s="21"/>
      <c r="F17" s="24"/>
      <c r="G17" s="23">
        <v>3</v>
      </c>
      <c r="H17" s="30" t="s">
        <v>346</v>
      </c>
      <c r="I17" s="13" t="s">
        <v>340</v>
      </c>
      <c r="J17" s="31">
        <v>0.75</v>
      </c>
      <c r="K17" s="23"/>
      <c r="L17" s="32"/>
    </row>
    <row r="18" ht="15.6" spans="1:12">
      <c r="A18" s="18"/>
      <c r="B18" s="19"/>
      <c r="C18" s="20"/>
      <c r="D18" s="20"/>
      <c r="E18" s="21"/>
      <c r="F18" s="33" t="s">
        <v>112</v>
      </c>
      <c r="G18" s="23">
        <v>4</v>
      </c>
      <c r="H18" s="30" t="s">
        <v>350</v>
      </c>
      <c r="I18" s="13" t="s">
        <v>331</v>
      </c>
      <c r="J18" s="31">
        <v>0.08</v>
      </c>
      <c r="K18" s="23"/>
      <c r="L18" s="32"/>
    </row>
    <row r="19" ht="15.6" spans="1:12">
      <c r="A19" s="18"/>
      <c r="B19" s="19"/>
      <c r="C19" s="20"/>
      <c r="D19" s="20"/>
      <c r="E19" s="21"/>
      <c r="F19" s="33"/>
      <c r="G19" s="23">
        <v>5</v>
      </c>
      <c r="H19" s="30" t="s">
        <v>351</v>
      </c>
      <c r="I19" s="13" t="s">
        <v>56</v>
      </c>
      <c r="J19" s="31">
        <v>0.08</v>
      </c>
      <c r="K19" s="23"/>
      <c r="L19" s="32"/>
    </row>
  </sheetData>
  <mergeCells count="11">
    <mergeCell ref="E14:H14"/>
    <mergeCell ref="A2:A19"/>
    <mergeCell ref="B2:B19"/>
    <mergeCell ref="C2:C19"/>
    <mergeCell ref="D2:D19"/>
    <mergeCell ref="E2:E13"/>
    <mergeCell ref="E15:E19"/>
    <mergeCell ref="F2:F10"/>
    <mergeCell ref="F11:F13"/>
    <mergeCell ref="F15:F17"/>
    <mergeCell ref="F18:F19"/>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2026-02-28T13:39:57Z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