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30720" windowHeight="13644" tabRatio="905" activeTab="8"/>
  </bookViews>
  <sheets>
    <sheet name="项目汇总" sheetId="1" r:id="rId1"/>
    <sheet name="交付-不动产组" sheetId="2" r:id="rId2"/>
    <sheet name="交付-房产组" sheetId="3" r:id="rId3"/>
    <sheet name="交付-物业组" sheetId="4" r:id="rId4"/>
    <sheet name="交付-AI大数据组" sheetId="5" r:id="rId5"/>
    <sheet name="交付-JD组" sheetId="6" r:id="rId6"/>
    <sheet name="产品研发部" sheetId="7" r:id="rId7"/>
    <sheet name="汇房智选部" sheetId="8" r:id="rId8"/>
    <sheet name="软件项目部" sheetId="9" r:id="rId9"/>
  </sheets>
  <externalReferences>
    <externalReference r:id="rId10"/>
  </externalReferences>
  <definedNames>
    <definedName name="_xlnm._FilterDatabase" localSheetId="1" hidden="1">'交付-不动产组'!$A$1:$L$29</definedName>
    <definedName name="_xlnm._FilterDatabase" localSheetId="7" hidden="1">汇房智选部!$I$1:$I$56</definedName>
    <definedName name="_xlnm._FilterDatabase" localSheetId="8" hidden="1">软件项目部!$A$1:$Z$41</definedName>
    <definedName name="_xlnm._FilterDatabase" localSheetId="2" hidden="1">#REF!</definedName>
    <definedName name="_xlnm._FilterDatabase" localSheetId="3" hidden="1">#REF!</definedName>
    <definedName name="_xlnm._FilterDatabase" localSheetId="4" hidden="1">#REF!</definedName>
    <definedName name="_xlnm._FilterDatabase" localSheetId="5" hidden="1">#REF!</definedName>
    <definedName name="_xlnm._FilterDatabase" localSheetId="6" hidden="1">产品研发部!#REF!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王壮-leo</author>
  </authors>
  <commentList>
    <comment ref="M2" authorId="0">
      <text>
        <r>
          <rPr>
            <b/>
            <sz val="9"/>
            <rFont val="宋体"/>
            <charset val="134"/>
          </rPr>
          <t>王壮-leo:</t>
        </r>
        <r>
          <rPr>
            <sz val="9"/>
            <rFont val="宋体"/>
            <charset val="134"/>
          </rPr>
          <t xml:space="preserve">
按照每周各项目成员填报工时累计之和除以8计算</t>
        </r>
      </text>
    </comment>
  </commentList>
</comments>
</file>

<file path=xl/sharedStrings.xml><?xml version="1.0" encoding="utf-8"?>
<sst xmlns="http://schemas.openxmlformats.org/spreadsheetml/2006/main" count="922" uniqueCount="385">
  <si>
    <t>项目周报汇总（2026.5.6-2025.5.9）</t>
  </si>
  <si>
    <t>序号</t>
  </si>
  <si>
    <t>隶属部门</t>
  </si>
  <si>
    <t>项目类型</t>
  </si>
  <si>
    <t>项目编号</t>
  </si>
  <si>
    <t>项目名称</t>
  </si>
  <si>
    <t>项目经理</t>
  </si>
  <si>
    <t>立项情况</t>
  </si>
  <si>
    <t>当前阶段</t>
  </si>
  <si>
    <t>进度情况</t>
  </si>
  <si>
    <t>总体完成进度</t>
  </si>
  <si>
    <t>合同状态</t>
  </si>
  <si>
    <t>回款情况</t>
  </si>
  <si>
    <t>上周人力投入(人天)</t>
  </si>
  <si>
    <t>本周人力投入(人天)</t>
  </si>
  <si>
    <t>人力较上周</t>
  </si>
  <si>
    <t>重大问题和风险</t>
  </si>
  <si>
    <t>待协调资源</t>
  </si>
  <si>
    <t>备注</t>
  </si>
  <si>
    <t>交付中心
（王壮）</t>
  </si>
  <si>
    <t>不动产组
（宋义振）</t>
  </si>
  <si>
    <t>济南市不动产登记系统功能拓展</t>
  </si>
  <si>
    <t>宋义振</t>
  </si>
  <si>
    <t>长期项目</t>
  </si>
  <si>
    <t>上线运行</t>
  </si>
  <si>
    <t>正常</t>
  </si>
  <si>
    <t>——</t>
  </si>
  <si>
    <t>已申报预算，未签订</t>
  </si>
  <si>
    <t>不动产登记信息平台信创升级改造项目</t>
  </si>
  <si>
    <t>已立项</t>
  </si>
  <si>
    <t>验收</t>
  </si>
  <si>
    <t>已签订</t>
  </si>
  <si>
    <t>完成初验，目前处于各子系统陆续切换过程中，分好多系统需要信创上线  最后一个系统上线是今年10月份；4.17那周电子监督和电子证照本周上线，4.24周云柜台、智能审核、律师查询系统上线，截止5月9号没有新进展，5月底会迁移网上抵押项目。</t>
  </si>
  <si>
    <t>济南市不动产登记云柜台（线上移动)系统</t>
  </si>
  <si>
    <t>陈一明</t>
  </si>
  <si>
    <t>未立项</t>
  </si>
  <si>
    <t>云柜台上线好几年了，之前不断增加新功能，今年基本没有新增需求，目前处于运维过程中，本月云柜台信创上线</t>
  </si>
  <si>
    <t>济南市不动产预受理系统</t>
  </si>
  <si>
    <t>2025年4月上线，一直保持运维过程中，项目运行文档，本周没有工作输出</t>
  </si>
  <si>
    <t>房产组
（刘存山）</t>
  </si>
  <si>
    <t>济南市房产交易管理平台拓展</t>
  </si>
  <si>
    <t>张大伟</t>
  </si>
  <si>
    <t>未签订</t>
  </si>
  <si>
    <t>济南房产交易与租赁服务平台</t>
  </si>
  <si>
    <t>李宪鹏</t>
  </si>
  <si>
    <t>严重延迟</t>
  </si>
  <si>
    <t>已签合同</t>
  </si>
  <si>
    <t>进度延迟严重</t>
  </si>
  <si>
    <t>2025年12月完成初验，目前调整及测试中，甲方暂定5月份上线，服务器资源预计5月中旬能够到位</t>
  </si>
  <si>
    <t>21250606J</t>
  </si>
  <si>
    <t>山东省机关事务局职工房改管理系统适配改造项目</t>
  </si>
  <si>
    <t>付艳芳</t>
  </si>
  <si>
    <t>维护</t>
  </si>
  <si>
    <t>2025年12月完成终验，现在处于3年免费运维中</t>
  </si>
  <si>
    <t>宿松房产一体化平台</t>
  </si>
  <si>
    <t>刘存山</t>
  </si>
  <si>
    <t>开发</t>
  </si>
  <si>
    <t>立项工作准备中，计划下周立项</t>
  </si>
  <si>
    <t>物业组
（袁畅）</t>
  </si>
  <si>
    <t>日照市三平台融合、智慧物业、住宅专项维修资金系统信创改造项目</t>
  </si>
  <si>
    <t>王成</t>
  </si>
  <si>
    <t>还没组织验收，现在是上线配合推广阶段</t>
  </si>
  <si>
    <t>滨州智慧物业</t>
  </si>
  <si>
    <t>王壮</t>
  </si>
  <si>
    <t>实施</t>
  </si>
  <si>
    <t>有合同</t>
  </si>
  <si>
    <t>下周客户演示，配合系统全市推广</t>
  </si>
  <si>
    <t>AI大数据组
（李朔刚）</t>
  </si>
  <si>
    <t>济南市不动产登记全量数据汇交及比对系统</t>
  </si>
  <si>
    <t>李朔刚</t>
  </si>
  <si>
    <t>一直有新需求，持续开发</t>
  </si>
  <si>
    <t>济南市不动产登记电子监督系统功能拓展</t>
  </si>
  <si>
    <t>一直有新需求，交房即办证也有合同，还在执行中</t>
  </si>
  <si>
    <t>不动产登记人工智能数字人(一期)项目</t>
  </si>
  <si>
    <t>延迟</t>
  </si>
  <si>
    <t>无合同</t>
  </si>
  <si>
    <t>1、大汉平台对接不动产接口有问题，大汉一直在解决，这个还影响进度
2、缺少中级以上开发人员，毕彦信技术能力不足</t>
  </si>
  <si>
    <t>21250313J</t>
  </si>
  <si>
    <t>电子监督系统标准化产品改造</t>
  </si>
  <si>
    <t>佟丽</t>
  </si>
  <si>
    <t>发布</t>
  </si>
  <si>
    <t>开发完成，有订单可上线运行，目前已申请专利过程中</t>
  </si>
  <si>
    <t>JD组
（王庆嵋）</t>
  </si>
  <si>
    <t>210123ZHJJ02</t>
  </si>
  <si>
    <t>基层经费监管系统升级研发（二期）</t>
  </si>
  <si>
    <t>王庆嵋</t>
  </si>
  <si>
    <t>2025年10月完成初验进行上线，客户一直未组织终验</t>
  </si>
  <si>
    <t>JD维护</t>
  </si>
  <si>
    <t>技术支持部
（王壮）</t>
  </si>
  <si>
    <t>运维项目</t>
  </si>
  <si>
    <t>不动产登记应用软件维护</t>
  </si>
  <si>
    <t>付蕾</t>
  </si>
  <si>
    <t>济南市房产交易部门运维</t>
  </si>
  <si>
    <t>本周完成实际工作量核实</t>
  </si>
  <si>
    <t>房产项目运维</t>
  </si>
  <si>
    <t>维修资金项目运维</t>
  </si>
  <si>
    <t>智慧物业运维</t>
  </si>
  <si>
    <t>人力小计：</t>
  </si>
  <si>
    <t>人力饱和度</t>
  </si>
  <si>
    <t>袁畅借调软件项目部</t>
  </si>
  <si>
    <t>产品研发部
（曹倩）</t>
  </si>
  <si>
    <t>研发项目</t>
  </si>
  <si>
    <t>21250925HF</t>
  </si>
  <si>
    <t>汇房智慧住房租赁综合管理与服务平台</t>
  </si>
  <si>
    <t>魏山明</t>
  </si>
  <si>
    <t>立项</t>
  </si>
  <si>
    <t>技术支撑平台</t>
  </si>
  <si>
    <t>石伟佳</t>
  </si>
  <si>
    <t>原基础平台更名为技术支撑平台</t>
  </si>
  <si>
    <t>智慧房产产品线项目</t>
  </si>
  <si>
    <t>曹倩</t>
  </si>
  <si>
    <t>数据治理平台</t>
  </si>
  <si>
    <t>4.30本周因二期功能有所增加，由原先20%进度调整为15%</t>
  </si>
  <si>
    <t>济南市不动产登记系统功能拓展(研发支持)</t>
  </si>
  <si>
    <t>不动产电子监督系统功能拓展(研发支持)</t>
  </si>
  <si>
    <t>汇房智选部
（任建伟）</t>
  </si>
  <si>
    <t>22250903HF</t>
  </si>
  <si>
    <t>济南市联合资产交易公示平台</t>
  </si>
  <si>
    <t>王帅</t>
  </si>
  <si>
    <t>一直有小范围需求增加，进度会出现未增长状态</t>
  </si>
  <si>
    <t>汇房云经纪人</t>
  </si>
  <si>
    <t>任建伟</t>
  </si>
  <si>
    <t>22250829HF</t>
  </si>
  <si>
    <t>车位使用权公证备案平台</t>
  </si>
  <si>
    <t>22251028HFJ</t>
  </si>
  <si>
    <t>卓识网安业务平台系统</t>
  </si>
  <si>
    <t>3月底左右验收</t>
  </si>
  <si>
    <t>21250516HF</t>
  </si>
  <si>
    <t>汇房云培训考试（汇房考试培训系统）</t>
  </si>
  <si>
    <t>21250801J</t>
  </si>
  <si>
    <t>公司内部系统维护升级项目</t>
  </si>
  <si>
    <t>房源超市SaaS产品化改造(新房超市SaaS)</t>
  </si>
  <si>
    <t>李昱江</t>
  </si>
  <si>
    <t>卓识网安业务平台系统-知识库</t>
  </si>
  <si>
    <t>售前</t>
  </si>
  <si>
    <t>价格未谈拢</t>
  </si>
  <si>
    <t>房屋租赁管理系统(汇房云租)</t>
  </si>
  <si>
    <t>待立项</t>
  </si>
  <si>
    <t>挂起</t>
  </si>
  <si>
    <t>阳信房产超市运维&amp;乐居乳山</t>
  </si>
  <si>
    <t>安震、王帅</t>
  </si>
  <si>
    <t>软件项目部
(王成)</t>
  </si>
  <si>
    <t>日照银行智慧社区维护与升级</t>
  </si>
  <si>
    <t>泉农通二期销售售前支持</t>
  </si>
  <si>
    <t>刘传祥</t>
  </si>
  <si>
    <t>销售立项</t>
  </si>
  <si>
    <t>项目信息</t>
  </si>
  <si>
    <t>当前进度</t>
  </si>
  <si>
    <t>合同回款情况</t>
  </si>
  <si>
    <t>工作/计划</t>
  </si>
  <si>
    <t>模块名称</t>
  </si>
  <si>
    <t>任务简述（多人完成可以合并单元格）</t>
  </si>
  <si>
    <t>责任人（只能填一个人）</t>
  </si>
  <si>
    <t>完成度</t>
  </si>
  <si>
    <t>未完成情况说明</t>
  </si>
  <si>
    <t>工作量（人日）</t>
  </si>
  <si>
    <t>济南市不动产登记系统功能拓展
项目编号：22220901</t>
  </si>
  <si>
    <t>统计任务：15条
1、统计给定单位名下所有有效登记信息。
2、根据26年4月云柜台业务明细补充权利人是否人脸识别字段及具体数值字段。
3、统计2026年4月1日至4月30日云柜台业务，申请人人脸识别相似度为0%或无相似度的业务明细。
4、更新统计附件中开发建设单位名称（抵押人）名下所有有效的抵押登记信息。
5、省厅反馈问题数据，数据分析工作。
6、济南市税务局提供数据补充相应开具房产证明内容信息。
7、根据国有建设用地使用权、宅基地、集所权表格挂接相关属性信息。
8、统计2026年1月到2026年5月7日企业购置不动产线上线下各相关业务办理量。
9、统计全市查封房屋套数、总面积，区分住宅、非住宅。
10、统计4月份受理量、退件量及明细。
11、网签自动生成预购商品房业务相关明细统计。
12、统计给定申请人相关信息查询某一时间段证明和业务的查询记录并形成文档说明。
13、统计邮政银行及下属支行在押数据增加字段重新统计。
14、渤海银行在押数据统计。
15、统计给定小区已办小证情况。</t>
  </si>
  <si>
    <t>李国强</t>
  </si>
  <si>
    <t>不动产登记系统：开发云柜台申请人相关人人像比对需求。</t>
  </si>
  <si>
    <t>张志鹏</t>
  </si>
  <si>
    <t>不动产登记系统-资源共享：法院接口数字化入库前台不显示问题，修改入库数字化目录。</t>
  </si>
  <si>
    <t>律师查询系统：查询入库登录校验问题修改，定位解决查询不出用户的问题，上传文件失败问题。</t>
  </si>
  <si>
    <t>智能审核系统：分析研究如何校验身份证明有效期问题。</t>
  </si>
  <si>
    <t>不动产登记系统：登记系统修改批量打印权属证明共有情况显示问题。</t>
  </si>
  <si>
    <t>李中正</t>
  </si>
  <si>
    <t>增量数据汇交问题统计+重新补报。</t>
  </si>
  <si>
    <t>（1）抵押系统对账单功能增加批号查询。
（2）抵押系统信创环境平台及系统更新调试。
（3）抵押系统银行问题处理。</t>
  </si>
  <si>
    <t>合计</t>
  </si>
  <si>
    <t>下周计划</t>
  </si>
  <si>
    <t xml:space="preserve">济南市不动产登记中心不动产登记信息平台信创升级改造项目
项目编号：22250226
</t>
  </si>
  <si>
    <t>本周工作</t>
  </si>
  <si>
    <t>信创-登记系统</t>
  </si>
  <si>
    <t>梳理登记系统受理业务过程调用外部接口情况。并形成文档</t>
  </si>
  <si>
    <t>（1）部署信创wiztek项目，支持IE环境https://59.206.138.72:8077 
（2）nginx代理集群机器  172.16.12.62:8077  
（3）部署集群  55 56 57 三台机器   tomcat证书增加 127.0.0.1信任  
       集群部署完成，处理信创线上问题
（4）机构行政区英文字母导致获取行政区报错，影响了申请人添加页面无法正常展示，功能优化。
（5）修改信创项目调用接口的信创地址。</t>
  </si>
  <si>
    <t>信创-云柜台</t>
  </si>
  <si>
    <t>信创-电子监督系统、数据汇聚分平台</t>
  </si>
  <si>
    <t>其他</t>
  </si>
  <si>
    <t>济南不动产登记平台运行维护
项目编号：41221101</t>
  </si>
  <si>
    <t>不动产软件运维</t>
  </si>
  <si>
    <t>处理登记系统、抵押系统等业务问题，共计 293 件，详情见附件1。
增量数据汇交每日巡检。</t>
  </si>
  <si>
    <t>李猛</t>
  </si>
  <si>
    <t>杨森</t>
  </si>
  <si>
    <t>不动产系统运维</t>
  </si>
  <si>
    <t>每日数据巡检问题数据汇交。 
每日不动产增量数据汇交系统查看。
登记系统信创tomcat机器生成172.16.12.55和56机器本机的127.0.0.1的https证书；
打通共享信创机器73到非税电子票据接口地址，以及不动产权籍调查系统地址，省大数据局一网通办法院总对总接口；打通不动产10多台信创机器到大数据接口平台信创地址。
信创机器内核都是4.19版本，涉及到一个linux内核漏洞，政务云的人说跟操作系统厂家联合修复。
信创互联网机器打通大数据电子签章地址，做代理，让信创政务外机器和互联网都能访问到。
登记信息系统信创数字化arcfiles不和https使用一个端口，单独用http的8080端口代理访问，并申请开放了59.206.138.72:8080的访问。
将信创机器60台的银河麒麟内核4.19漏洞进行加固，已完成。
将信创机器172.16.12.57上的tomcat复制到63上一份。
将93.139生产库wiztek重新同步表数据到瀚高库64上一份，oryx_user不同步。
关于不动产x86的8台was服务器和139以及130这10台服务器进两个月的cpu、内存、磁盘、网络等使用情况，联系政务云刘玉龙整理一份使用报告。</t>
  </si>
  <si>
    <t>杨真真</t>
  </si>
  <si>
    <t>祝席成</t>
  </si>
  <si>
    <t xml:space="preserve">济南市房产交易管理平台拓展项目编号:22221201
</t>
  </si>
  <si>
    <t>交易处理档案查询、测绘挂接、自助机证明问题</t>
  </si>
  <si>
    <t>学习使用CodeBuddy搭环境编写定时任务</t>
  </si>
  <si>
    <t xml:space="preserve">山东省机关事务局职工房改管理系统适配改造项目：21250606J
</t>
  </si>
  <si>
    <t>运维</t>
  </si>
  <si>
    <t>1.上市交易调用短信发送平台需要的短信使用情况说明文档编写                                                                                2.将上市交易确认表和已购公有住房确认表和优先购买权确认表交与史科长并说明需要确认的信息                            3.参加邵主任召开的租赁住房系统演示会议。                   4.省市上市交易根据最新确认表编写初审，初审详情页面以及查询功能                                                                     5.汉峪配租在租数据统计</t>
  </si>
  <si>
    <t>1.测试并修改公有住房系统标改成功能计算公式；
2.修改公有住房系统中老房改1A表计算公式；
3.测试房改和公房系统信创环境；
4.填写申请大数据局民政接口济南市公共数据资源申请表；
5.给张凤处理12345邱先生投诉房改系统办理工单；
6.给二楼勘误金玉荧处理省直勘误申请两条业务和省直系统不同，处理勘误申请查询不到问题；
7.给宋玉新处理省直勘误申请，受理后查询不到问题；
8.给董进处理婚姻登记信息无法核实，导致业务件无法审核通过问题；
9.和信息中心宫哲沟通申请省民政厅接口问题，沟通并申请大数据局民政接口；
10.和牛国聪沟通新用户登录信创智慧住建平台问题；</t>
  </si>
  <si>
    <t>宋雯雯</t>
  </si>
  <si>
    <t>济南房产交易运维</t>
  </si>
  <si>
    <t>房管监测平台维护:
更新26年4月实时表、变更表数据
统计26年4月二手房网签明细
更新26年4月份住建数据房产证号、是否贷款及渠道数据</t>
  </si>
  <si>
    <t>1.协调处理云网签下线事宜
2.按要求导出3个开发商的网签数据
3.协调资金监管及受理科单位及外国人限购证明开具等需求问题
4.补充旧服务器情况及回收期限</t>
  </si>
  <si>
    <t>1、资金监管系统增加对恒丰银行生产环境的相关配置(完成100%)
2、老系统修改网签合同pdf模板样式(完成90%)
3、存量房网签及资金监管日常运维问题处理
4、老系统资金监管系统优化云网签监管协议审核模块的功能，适配多种监管模式(完成100%)</t>
  </si>
  <si>
    <t>张杨</t>
  </si>
  <si>
    <t>处理测绘挂接、网签备案等业务问题，共计 24 件，详情件附件2。
检测平台每日巡检。
交易接口日志每日巡检。</t>
  </si>
  <si>
    <t>每日数据迁移的查看日志并删除多余备份。
房改和公房信创上线，关于tomcat部署项目，生产库重新迁移瀚高库。
在91.59还原最新日志的交易生产库。
迁移房改两个生产库到信创瀚高库。</t>
  </si>
  <si>
    <t>1.添加PC端经纪服务合同管理页面、移动端经纪服务合同授权功能，与后端接口联调；
2.新增房地产经纪居间服务合同模版；
3.根据测试问题清单优化系统：输入框添加脱敏、保存时添加校验等；</t>
  </si>
  <si>
    <t>董文超</t>
  </si>
  <si>
    <t>1、受理科问题台账中的问题处理（完成70%）
2、新增中介经纪服务合同相关接口功能并与前端完成联调测试（完成100%）
3、资金监管北京银行接口对接（完成20%）</t>
  </si>
  <si>
    <t>1.核对资金监管数据迁移情况，修改迁移程序，并补充2012年之前数据
协调三方协议功能开发
2.与嘉友沟通上线工作情况</t>
  </si>
  <si>
    <t>存量房资金监管系统开发</t>
  </si>
  <si>
    <t>郇正基</t>
  </si>
  <si>
    <t>存量房网签系统开发环境搭建</t>
  </si>
  <si>
    <t>维修资金迁移程序开发，环境搭建</t>
  </si>
  <si>
    <t>时守杰</t>
  </si>
  <si>
    <t>档案库导入本地</t>
  </si>
  <si>
    <t>房产一体化项目：阳信、滨州、无棣、沾化、乳山维护；</t>
  </si>
  <si>
    <t>万德跃</t>
  </si>
  <si>
    <t>房产一体化：安徽地区、五莲、诸城维护</t>
  </si>
  <si>
    <t>滨州销售统计查询优化</t>
  </si>
  <si>
    <t>景旭</t>
  </si>
  <si>
    <t>滨州房产一体化驻场维护</t>
  </si>
  <si>
    <t>吴胜傲</t>
  </si>
  <si>
    <t>维修资金系统维护：东营地区区、滨州地区维护；东营经开25年对账</t>
  </si>
  <si>
    <t>牛丽君</t>
  </si>
  <si>
    <t>1维修资金系统维护：高唐、滨州、东营、兖州、莱芜、潍坊滨海等地区维护
2 惠民维修资金网络调试</t>
  </si>
  <si>
    <t>赵衍峰</t>
  </si>
  <si>
    <t>日照维系资金驻场维护</t>
  </si>
  <si>
    <t>马睿</t>
  </si>
  <si>
    <t>无棣维修资金对账，惠民出差协调配置网络环境</t>
  </si>
  <si>
    <t>王德智</t>
  </si>
  <si>
    <t>无棣维修资金对账</t>
  </si>
  <si>
    <t>路红林</t>
  </si>
  <si>
    <t>阳信：小区库存房查询
东营区：查询维修资金在开发商名下的明细
滨城：附房房屋拆分
兖州：交存维修专户组件调整
东营区：对账</t>
  </si>
  <si>
    <t>孙达</t>
  </si>
  <si>
    <t>各地维修资金维护</t>
  </si>
  <si>
    <t>日照智慧物业维护</t>
  </si>
  <si>
    <t>日照市三平台融合、智慧物业、住宅专项维修资金系统信创改造项目
项目编号：22240822</t>
  </si>
  <si>
    <t>日照维修资金问题处理及测试</t>
  </si>
  <si>
    <t>潘春蕾</t>
  </si>
  <si>
    <t>生产环境发版</t>
  </si>
  <si>
    <t>许建飞</t>
  </si>
  <si>
    <t>智慧物业应用情况跟进</t>
  </si>
  <si>
    <t>袁畅</t>
  </si>
  <si>
    <t>日照维修资金运维</t>
  </si>
  <si>
    <t>应用情况跟进</t>
  </si>
  <si>
    <t>滨州智慧物业
项目编号：23251211</t>
  </si>
  <si>
    <t>业主房屋维修资金查询接口和物业区域数据同步开发、测试</t>
  </si>
  <si>
    <t>系统功能测试，操作手册编制</t>
  </si>
  <si>
    <t>段佑轩</t>
  </si>
  <si>
    <t>李淑英</t>
  </si>
  <si>
    <t>公积金对接测试</t>
  </si>
  <si>
    <t>试点推进工作文档及ppt编制</t>
  </si>
  <si>
    <t>业主房屋维修资金查询接口和物业区域数据同步上线</t>
  </si>
  <si>
    <t>小程序接口测试，上线</t>
  </si>
  <si>
    <t>系统测试和问题处理</t>
  </si>
  <si>
    <t>试点推进方案现场沟通汇报</t>
  </si>
  <si>
    <t>泉农通二期销售售前支持
项目编号：
121018</t>
  </si>
  <si>
    <t>网信办-前端开发</t>
  </si>
  <si>
    <t>王恒通</t>
  </si>
  <si>
    <t>网信办-招标内容推进</t>
  </si>
  <si>
    <t>农业局-扩展项目大数据局材料提交，获取批复</t>
  </si>
  <si>
    <t>农业局-泉农通小程序集成开发及测试</t>
  </si>
  <si>
    <t>王延磊</t>
  </si>
  <si>
    <t>韩华斌</t>
  </si>
  <si>
    <t>张金枝</t>
  </si>
  <si>
    <t>网信办-系统设计、前端大屏开发优化</t>
  </si>
  <si>
    <t>农业局-泉农通小程序集成优化</t>
  </si>
  <si>
    <t>济南市不动产登记全量数据汇交及比对系统
项目编号：222201001</t>
  </si>
  <si>
    <t>99%</t>
  </si>
  <si>
    <t>编写汇交原表数据同步程序</t>
  </si>
  <si>
    <t>济南市不动产登记电子监督系统功能拓展
项目编号：22220905</t>
  </si>
  <si>
    <t>90%</t>
  </si>
  <si>
    <t>1）新增功能：统计昨日窗口出具济南市不动产登记信息查询结果数据。
2）电子监督系统4.7启动报错，平台停了1天，问题排查、解决。
3）电子监督系统工作量导出文件报错问题排查、解决。
4）变更功能：智能审核日报银行分页调整。
5）导出26年4月行政服务事项统计表。
6）导出26年4月受理工作量统计表。
7）更新交房即办证手机端sql。</t>
  </si>
  <si>
    <t>毕彦信</t>
  </si>
  <si>
    <t>闫元泉</t>
  </si>
  <si>
    <t>不动产登记人工智能数字人(一期)项目
项目编号：21250326</t>
  </si>
  <si>
    <t>85%</t>
  </si>
  <si>
    <t>1）编写文档：数字政府建设一体化综合改革重点任务“揭榜挂帅”申报书。
2）新增功能：知识库构建及智能检索AI问答。
3）本地GPU服务器安装、部署、网络、系统恢复、大模型部署。</t>
  </si>
  <si>
    <t>电子监督系统标准化产品改造
项目编号：21250313J</t>
  </si>
  <si>
    <t>住房贷款项目验收材料-需规编写、总体技术方案</t>
  </si>
  <si>
    <t>住房贷款项目验收材料编写-软件设计说明</t>
  </si>
  <si>
    <t>基层经费监管系统升级研发（二期）
项目编号：
210123ZHJJ02</t>
  </si>
  <si>
    <t>系统运维管理</t>
  </si>
  <si>
    <t>王晓阳</t>
  </si>
  <si>
    <t>技术委员会、部门协调、工作汇报、技术支持协作规范、统一UI规范等</t>
  </si>
  <si>
    <t>智慧房产产品线项目
项目编号：21260422</t>
  </si>
  <si>
    <t>监管项目模块
1、监管项目申请功能后端接口完成
2、监管项目打印（商品房预售资金监管账户开户申请书+监管账户开户凭证+监管账户开户审批+监管协议）完成
3、监管银行管理后端接口完成
4、监管审核后端接口完成</t>
  </si>
  <si>
    <t>郭培培</t>
  </si>
  <si>
    <t>用款管理模块
1.进度填报:查询、详情查看、提交审核前后端完成
2.用款申请:新增、列表查询、详情查看、编辑保存、删除、提交审核前后端完成；</t>
  </si>
  <si>
    <t>卢波</t>
  </si>
  <si>
    <t>存量房网签模块：
1. 与相关开发对接需求细节
2. 需求文档补充</t>
  </si>
  <si>
    <t>张燕</t>
  </si>
  <si>
    <t>预售资金监管系统 - 监管项目
1、监管项目节点功能完善 - 后面郭培培负责梳理整个监管项目
2、监管项目审核-办理和查看页面 - 前端开发完成，下一步对接接口
3、监管项目查询 - 还剩打印接口未对接
4、监管项目申请打印- 接口对接完成
商品房网签系统 - 销售许可：
1、销售许可全模块接口后端调整 - 重新对接 进行中（80%）</t>
  </si>
  <si>
    <t>王光辉</t>
  </si>
  <si>
    <t>1.完善测绘成果提取功能
2.通用业务查询主体信息接口定义
3.销售许可联调测试</t>
  </si>
  <si>
    <t>彭步坤</t>
  </si>
  <si>
    <t>数据治理平台
项目编号：21260423</t>
  </si>
  <si>
    <t>回滚管理模块研发完成</t>
  </si>
  <si>
    <t>迁移历史模块研发完成</t>
  </si>
  <si>
    <t>失败续跑以及断点续传功能优化完成</t>
  </si>
  <si>
    <t>数据质量模块重构</t>
  </si>
  <si>
    <t>codebuddy重装、windserf配置，代码更新；
编号规则模块功能测试；</t>
  </si>
  <si>
    <t>提交编号规则测试用例、mock测试已通过</t>
  </si>
  <si>
    <t>任务编排中应用编号规则，执行迁移测试各种编号场景是否正常（不同分片规则、并发序列、序列刷盘、刷缓存）
屏蔽编号规则片段的target字段类型，添加字段填报说明；
序列号选择scope为天、月、年时设置缓存失效时间
测试字段字典转换</t>
  </si>
  <si>
    <t>1.土地量化不动产受理列表展示前后端完成，
2.土地量化查封登记登簿前后端完成，
3.土地量化查询吨查封登记后端代码完成</t>
  </si>
  <si>
    <t>窦延群</t>
  </si>
  <si>
    <t>1、土地预量化接收和预量化校验接口功能测试
2、土地量化业务与客体数据关联挂接功能开发
3、协助处理云网签线上生产问题和下线云网签业务处理</t>
  </si>
  <si>
    <t>需求对接、不动产登记系统软硬件诊断报告、需求文档</t>
  </si>
  <si>
    <t>电子监督系统无法启动、报数据库版本错误等线上问题排查</t>
  </si>
  <si>
    <t xml:space="preserve">济南市联合资产交易公示平台
项目编号：22250903HF
</t>
  </si>
  <si>
    <t>网站端增加历史业务办理展示查询接口，联调测试</t>
  </si>
  <si>
    <t>赵敬</t>
  </si>
  <si>
    <t>1.参与系统会议，根据会议方案同步开发演示核心需求功能 
2.特殊房产交易 PC 端： 完成查询网站需登录功能的登录状态校验改造，强化权限控制；移除抵押、查封标签信息；在详情页优化主房信息展示模块；增加金融服务模块展示。 
3.联合资产小程序： 新增个人房源发布环节的增值服务选择功能；完成从业人员记录接口对接，完善房源发布合规校验；优化联系人咨询列表展示逻辑。</t>
  </si>
  <si>
    <t>梁超</t>
  </si>
  <si>
    <t>编写企业与人员入驻前端功能并与后台联调；</t>
  </si>
  <si>
    <t>赵旺</t>
  </si>
  <si>
    <t>1.编写企业与人员入驻后台功能；
2.解决个人端各个接口登录权限限制问题；</t>
  </si>
  <si>
    <t>安震</t>
  </si>
  <si>
    <t>房源展厅PC端首页通知公告与成交记录公示UI设计</t>
  </si>
  <si>
    <t>冯庆召</t>
  </si>
  <si>
    <t>演示功能配合上线；</t>
  </si>
  <si>
    <t>蔡高情</t>
  </si>
  <si>
    <t>1. 齐鲁公证处现场演示车位备案平台并与法信、公证处沟通协议签订优化内容；
2. 现场沟通联合资产演示需求；
3. 车位备案功能优化进度推进，包含：车位备案导入审核逻辑调整、操作记录调整；
4. 整理联合资产演示需求清单并与客户确认改动事项；
5. 需求改动事项任务推进；
6. 总结不动产+住建+公证处会议纪要需求；
7. 演示数据准备与演示需求进度推进；
8. 寻找虚拟号码服务商并够用使用需求与方案
9. 齐鲁公证处现场演示联合资产交易平台，沟通并记录用户需求；
10. 联合资产交易公示平台需求分析会议；
11. 不动产交易公益性平台申请材料准备与讨论；</t>
  </si>
  <si>
    <t xml:space="preserve">车位使用权公证备案平台
项目编号：22250829HF
</t>
  </si>
  <si>
    <t>整个业务流程梳理，操作日志模版增加，调用端接口开发与测试</t>
  </si>
  <si>
    <t>许兴欣</t>
  </si>
  <si>
    <t>运营小区增加区位图，小区备件，车位备件，联调测试</t>
  </si>
  <si>
    <t>车位备案功能测试</t>
  </si>
  <si>
    <t>亓俣辰</t>
  </si>
  <si>
    <t>1.新增协议签署中转页面。
2.将用户服务协议及个人信息保护政策阅读升级为备案必读项；
3.解决驳回后的退款流程异常与后台联调修复。 
4.完成小区新建 / 编辑、车位新增 / 编辑功能页面开发。
5.同步完成车位审批详情模块静态页面搭建，实现页面布局与交互结构开发。</t>
  </si>
  <si>
    <t xml:space="preserve">汇房云经纪人
项目编号：21250418
</t>
  </si>
  <si>
    <t>--</t>
  </si>
  <si>
    <t>银联商务支付对接
合同流程变更（不需要审批），作废 解约协议功能，解约中提示已解约的bug</t>
  </si>
  <si>
    <t>app 合同详情调整 ios app离线打包熟悉
优化调整pc端 成交分佣相关页面</t>
  </si>
  <si>
    <t>汇房云财务需求沟通与梳理，对接银联、通联方案。
需求与业务场景与开发沟通，安排开发工作
交易整体流程梳理，参考巧房、小鹿</t>
  </si>
  <si>
    <t>设计</t>
  </si>
  <si>
    <t xml:space="preserve">汇房云培训考试
项目编号：
</t>
  </si>
  <si>
    <t>枣庄 考试报名费用对账
滨州，枣庄问题处理</t>
  </si>
  <si>
    <t>卓识网安业务平台系统
项目编号：22251028HFJ</t>
  </si>
  <si>
    <t>测试</t>
  </si>
  <si>
    <t>公司内部系统维护升级项目
项目编号：21250801J</t>
  </si>
  <si>
    <t>阳信房产超市运维</t>
  </si>
  <si>
    <t>优房优选小程序无备案证明增加二维码展示、二维码扫描访问功能
后端代码、小程序发布及上线</t>
  </si>
  <si>
    <t xml:space="preserve">日照银行智慧社区维护与升级
项目编号：22210906
</t>
  </si>
  <si>
    <t>橙e伴PC端对接智惠e家对客管理端</t>
  </si>
  <si>
    <t>纪立宁</t>
  </si>
  <si>
    <t>菜品优选支持餐补</t>
  </si>
  <si>
    <t>王玉莹</t>
  </si>
  <si>
    <t>优化</t>
  </si>
  <si>
    <t>宜当生活白鹭湾专区对接智惠e家部分功能</t>
  </si>
  <si>
    <t>王德贤</t>
  </si>
  <si>
    <t>优化调整</t>
  </si>
  <si>
    <t>孙丁华</t>
  </si>
  <si>
    <t>行内闲置资产共享平台前端配合改造项目</t>
  </si>
  <si>
    <t>智惠e家”智慧餐厅、智慧社区系统功能优化（智惠e家增加寻车功能及对接碳惠日照）</t>
  </si>
  <si>
    <t>菜品优选二期</t>
  </si>
  <si>
    <t>“智惠e家”智慧餐厅、智慧社区系统功能优化（即墨区机关事务服务中心智慧餐厅项目系统功能优化-第三批次）</t>
  </si>
  <si>
    <t>识别性能优化</t>
  </si>
  <si>
    <t>智慧场景优化项目群（日照市人民医院本部餐厅、莒县人民法院智慧餐厅功能优化）</t>
  </si>
  <si>
    <t>智惠e家社区对接大华ICC社区通行设备</t>
  </si>
  <si>
    <t>正常开发推进</t>
  </si>
  <si>
    <t>韩化斌</t>
  </si>
  <si>
    <t>智惠e家移动端备案漏洞修复整改</t>
  </si>
  <si>
    <t>配合银行扫码测试</t>
  </si>
  <si>
    <t>潘春雷</t>
  </si>
  <si>
    <t>智惠e家漏洞修复、测试、发版、数据运维</t>
  </si>
  <si>
    <t>三方复测</t>
  </si>
  <si>
    <t>智慧餐厅离线支付项目（先享后付）
“一家人大食堂”等智慧餐厅相关系统功能优化需求
智惠e家宜当生活物业缴费功能改造
社区访客通行以及押金缴费退款需求
济宁联民广场（浙江五联智能电力科技有限公司）智能电表对接</t>
  </si>
  <si>
    <t>正常开发
需求验收（新加需求加急）</t>
  </si>
  <si>
    <t>银行运营</t>
  </si>
  <si>
    <t>银行网络金融部驻场银行业务运营</t>
  </si>
  <si>
    <t>穆德坤</t>
  </si>
  <si>
    <t>银行场景金融中心驻场银行业务运营</t>
  </si>
  <si>
    <t>赵文斌</t>
  </si>
  <si>
    <t>郑家洋</t>
  </si>
  <si>
    <t>需求</t>
  </si>
  <si>
    <t>安全保卫部智慧园区功能优化、2026年行政管理部“行政后勤管理平台”（推进）</t>
  </si>
  <si>
    <t>需求推进</t>
  </si>
  <si>
    <t>智慧餐厅移动端全量接入宜当生活、智慧物业公共收益项目推进</t>
  </si>
  <si>
    <t>需求推进，部分功能集成</t>
  </si>
  <si>
    <t>运营中心需求方案对接工时推进、工单验收回款推进</t>
  </si>
  <si>
    <t>推进提报</t>
  </si>
  <si>
    <t>宜当生活白鹭湾专区对接智惠e家部分功能（配合业务验收）</t>
  </si>
  <si>
    <t>业务验收</t>
  </si>
  <si>
    <t>智惠e家社区对接大华ICC社区通行设备（完成对接）</t>
  </si>
  <si>
    <t>智慧餐厅移动端全量接入宜当生活（推进）</t>
  </si>
  <si>
    <t>安全保卫部智慧园区功能优化（推进需求提报）</t>
  </si>
  <si>
    <t>2026年行政管理部“行政后勤管理平台”（推进）</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</si>
</sst>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F800]dddd\,\ mmmm\ dd\,\ yyyy"/>
    <numFmt numFmtId="177" formatCode="0.00_);[Red]\(0.00\)"/>
  </numFmts>
  <fonts count="52">
    <font>
      <sz val="11"/>
      <color theme="1"/>
      <name val="等线"/>
      <charset val="134"/>
      <scheme val="minor"/>
    </font>
    <font>
      <sz val="10"/>
      <color theme="1"/>
      <name val="等线"/>
      <charset val="134"/>
      <scheme val="minor"/>
    </font>
    <font>
      <sz val="12"/>
      <color rgb="FF000000"/>
      <name val="微软雅黑"/>
      <charset val="134"/>
    </font>
    <font>
      <sz val="10"/>
      <color rgb="FF000000"/>
      <name val="等线"/>
      <charset val="134"/>
      <scheme val="minor"/>
    </font>
    <font>
      <sz val="11"/>
      <color rgb="FF000000"/>
      <name val="微软雅黑"/>
      <charset val="134"/>
    </font>
    <font>
      <sz val="10"/>
      <color rgb="FF000000"/>
      <name val="微软雅黑"/>
      <charset val="134"/>
    </font>
    <font>
      <sz val="10"/>
      <color theme="5" tint="0.4"/>
      <name val="微软雅黑"/>
      <charset val="134"/>
    </font>
    <font>
      <sz val="10"/>
      <color theme="1"/>
      <name val="等线"/>
      <charset val="134"/>
      <scheme val="minor"/>
    </font>
    <font>
      <sz val="12"/>
      <color rgb="FF000000"/>
      <name val="微软雅黑"/>
      <charset val="134"/>
    </font>
    <font>
      <sz val="10"/>
      <color rgb="FF000000"/>
      <name val="等线"/>
      <charset val="134"/>
      <scheme val="minor"/>
    </font>
    <font>
      <sz val="11"/>
      <color rgb="FF000000"/>
      <name val="微软雅黑"/>
      <charset val="134"/>
    </font>
    <font>
      <sz val="10"/>
      <color rgb="FF000000"/>
      <name val="微软雅黑"/>
      <charset val="134"/>
    </font>
    <font>
      <sz val="10"/>
      <color theme="1"/>
      <name val="等线"/>
      <charset val="134"/>
    </font>
    <font>
      <sz val="11"/>
      <color rgb="FF060A26"/>
      <name val="等线"/>
      <charset val="134"/>
    </font>
    <font>
      <sz val="10"/>
      <color theme="1"/>
      <name val="等线"/>
      <charset val="134"/>
      <scheme val="minor"/>
    </font>
    <font>
      <sz val="12"/>
      <color rgb="FF000000"/>
      <name val="等线"/>
      <charset val="134"/>
      <scheme val="minor"/>
    </font>
    <font>
      <sz val="10"/>
      <color rgb="FF000000"/>
      <name val="等线"/>
      <charset val="134"/>
      <scheme val="minor"/>
    </font>
    <font>
      <sz val="9"/>
      <color rgb="FF000000"/>
      <name val="等线"/>
      <charset val="134"/>
      <scheme val="minor"/>
    </font>
    <font>
      <sz val="10"/>
      <color rgb="FF000000"/>
      <name val="宋体"/>
      <charset val="134"/>
    </font>
    <font>
      <sz val="10"/>
      <color rgb="FF000000"/>
      <name val="SimSun"/>
      <charset val="134"/>
    </font>
    <font>
      <sz val="10"/>
      <color rgb="FFFF0000"/>
      <name val="等线"/>
      <charset val="134"/>
      <scheme val="minor"/>
    </font>
    <font>
      <sz val="12"/>
      <color rgb="FF000000"/>
      <name val="等线"/>
      <charset val="134"/>
      <scheme val="minor"/>
    </font>
    <font>
      <sz val="9"/>
      <color rgb="FF000000"/>
      <name val="等线"/>
      <charset val="134"/>
      <scheme val="minor"/>
    </font>
    <font>
      <b/>
      <sz val="14"/>
      <color theme="1"/>
      <name val="微软雅黑"/>
      <charset val="134"/>
    </font>
    <font>
      <sz val="12"/>
      <color theme="1"/>
      <name val="微软雅黑"/>
      <charset val="134"/>
    </font>
    <font>
      <sz val="11"/>
      <color theme="1"/>
      <name val="微软雅黑"/>
      <charset val="134"/>
    </font>
    <font>
      <sz val="11"/>
      <name val="微软雅黑"/>
      <charset val="134"/>
    </font>
    <font>
      <sz val="11"/>
      <color rgb="FFFF0000"/>
      <name val="微软雅黑"/>
      <charset val="134"/>
    </font>
    <font>
      <b/>
      <sz val="11"/>
      <color rgb="FFFF0000"/>
      <name val="微软雅黑"/>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1"/>
      <color theme="1"/>
      <name val="宋体"/>
      <charset val="134"/>
    </font>
    <font>
      <sz val="11"/>
      <name val="宋体"/>
      <charset val="134"/>
    </font>
    <font>
      <b/>
      <sz val="9"/>
      <name val="宋体"/>
      <charset val="134"/>
    </font>
    <font>
      <sz val="9"/>
      <name val="宋体"/>
      <charset val="134"/>
    </font>
  </fonts>
  <fills count="38">
    <fill>
      <patternFill patternType="none"/>
    </fill>
    <fill>
      <patternFill patternType="gray125"/>
    </fill>
    <fill>
      <patternFill patternType="solid">
        <fgColor indexed="65"/>
        <bgColor indexed="64"/>
      </patternFill>
    </fill>
    <fill>
      <patternFill patternType="solid">
        <fgColor rgb="FFFFFF00"/>
        <bgColor indexed="64"/>
      </patternFill>
    </fill>
    <fill>
      <patternFill patternType="solid">
        <fgColor theme="0"/>
        <bgColor indexed="64"/>
      </patternFill>
    </fill>
    <fill>
      <patternFill patternType="solid">
        <fgColor theme="0" tint="-0.149998474074526"/>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8">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diagonal/>
    </border>
    <border>
      <left/>
      <right style="thin">
        <color auto="1"/>
      </right>
      <top style="thin">
        <color auto="1"/>
      </top>
      <bottom/>
      <diagonal/>
    </border>
    <border>
      <left style="thin">
        <color auto="1"/>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top/>
      <bottom style="thin">
        <color auto="1"/>
      </bottom>
      <diagonal/>
    </border>
    <border>
      <left style="thin">
        <color auto="1"/>
      </left>
      <right/>
      <top/>
      <bottom style="thin">
        <color auto="1"/>
      </bottom>
      <diagonal/>
    </border>
    <border>
      <left style="thin">
        <color rgb="FF000000"/>
      </left>
      <right style="thin">
        <color rgb="FF000000"/>
      </right>
      <top/>
      <bottom/>
      <diagonal/>
    </border>
    <border>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bottom style="thin">
        <color rgb="FF000000"/>
      </bottom>
      <diagonal/>
    </border>
    <border>
      <left/>
      <right style="thin">
        <color rgb="FF000000"/>
      </right>
      <top style="thin">
        <color rgb="FF000000"/>
      </top>
      <bottom/>
      <diagonal/>
    </border>
    <border>
      <left style="thin">
        <color rgb="FF000000"/>
      </left>
      <right/>
      <top style="thin">
        <color auto="1"/>
      </top>
      <bottom style="thin">
        <color auto="1"/>
      </bottom>
      <diagonal/>
    </border>
    <border>
      <left/>
      <right style="thin">
        <color rgb="FF000000"/>
      </right>
      <top style="thin">
        <color auto="1"/>
      </top>
      <bottom style="thin">
        <color auto="1"/>
      </bottom>
      <diagonal/>
    </border>
    <border>
      <left style="thin">
        <color rgb="FF000000"/>
      </left>
      <right/>
      <top/>
      <bottom style="thin">
        <color rgb="FF000000"/>
      </bottom>
      <diagonal/>
    </border>
    <border>
      <left style="thin">
        <color auto="1"/>
      </left>
      <right style="thin">
        <color auto="1"/>
      </right>
      <top style="thin">
        <color rgb="FF000000"/>
      </top>
      <bottom/>
      <diagonal/>
    </border>
    <border>
      <left style="thin">
        <color auto="1"/>
      </left>
      <right style="thin">
        <color auto="1"/>
      </right>
      <top/>
      <bottom style="thin">
        <color rgb="FF000000"/>
      </bottom>
      <diagonal/>
    </border>
    <border>
      <left style="thin">
        <color auto="1"/>
      </left>
      <right style="thin">
        <color auto="1"/>
      </right>
      <top style="thin">
        <color auto="1"/>
      </top>
      <bottom style="medium">
        <color auto="1"/>
      </bottom>
      <diagonal/>
    </border>
    <border>
      <left style="thin">
        <color auto="1"/>
      </left>
      <right style="thin">
        <color auto="1"/>
      </right>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4">
    <xf numFmtId="176"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9"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0" fillId="7" borderId="30" applyNumberFormat="0" applyFont="0" applyAlignment="0" applyProtection="0">
      <alignment vertical="center"/>
    </xf>
    <xf numFmtId="0" fontId="31"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4" fillId="0" borderId="31" applyNumberFormat="0" applyFill="0" applyAlignment="0" applyProtection="0">
      <alignment vertical="center"/>
    </xf>
    <xf numFmtId="0" fontId="35" fillId="0" borderId="31" applyNumberFormat="0" applyFill="0" applyAlignment="0" applyProtection="0">
      <alignment vertical="center"/>
    </xf>
    <xf numFmtId="0" fontId="36" fillId="0" borderId="32" applyNumberFormat="0" applyFill="0" applyAlignment="0" applyProtection="0">
      <alignment vertical="center"/>
    </xf>
    <xf numFmtId="0" fontId="36" fillId="0" borderId="0" applyNumberFormat="0" applyFill="0" applyBorder="0" applyAlignment="0" applyProtection="0">
      <alignment vertical="center"/>
    </xf>
    <xf numFmtId="0" fontId="37" fillId="8" borderId="33" applyNumberFormat="0" applyAlignment="0" applyProtection="0">
      <alignment vertical="center"/>
    </xf>
    <xf numFmtId="0" fontId="38" fillId="9" borderId="34" applyNumberFormat="0" applyAlignment="0" applyProtection="0">
      <alignment vertical="center"/>
    </xf>
    <xf numFmtId="0" fontId="39" fillId="9" borderId="33" applyNumberFormat="0" applyAlignment="0" applyProtection="0">
      <alignment vertical="center"/>
    </xf>
    <xf numFmtId="0" fontId="40" fillId="10" borderId="35" applyNumberFormat="0" applyAlignment="0" applyProtection="0">
      <alignment vertical="center"/>
    </xf>
    <xf numFmtId="0" fontId="41" fillId="0" borderId="36" applyNumberFormat="0" applyFill="0" applyAlignment="0" applyProtection="0">
      <alignment vertical="center"/>
    </xf>
    <xf numFmtId="0" fontId="42" fillId="0" borderId="37" applyNumberFormat="0" applyFill="0" applyAlignment="0" applyProtection="0">
      <alignment vertical="center"/>
    </xf>
    <xf numFmtId="0" fontId="43" fillId="11" borderId="0" applyNumberFormat="0" applyBorder="0" applyAlignment="0" applyProtection="0">
      <alignment vertical="center"/>
    </xf>
    <xf numFmtId="0" fontId="44" fillId="12" borderId="0" applyNumberFormat="0" applyBorder="0" applyAlignment="0" applyProtection="0">
      <alignment vertical="center"/>
    </xf>
    <xf numFmtId="0" fontId="45" fillId="13" borderId="0" applyNumberFormat="0" applyBorder="0" applyAlignment="0" applyProtection="0">
      <alignment vertical="center"/>
    </xf>
    <xf numFmtId="0" fontId="46" fillId="14" borderId="0" applyNumberFormat="0" applyBorder="0" applyAlignment="0" applyProtection="0">
      <alignment vertical="center"/>
    </xf>
    <xf numFmtId="0" fontId="47" fillId="15" borderId="0" applyNumberFormat="0" applyBorder="0" applyAlignment="0" applyProtection="0">
      <alignment vertical="center"/>
    </xf>
    <xf numFmtId="0" fontId="47" fillId="16" borderId="0" applyNumberFormat="0" applyBorder="0" applyAlignment="0" applyProtection="0">
      <alignment vertical="center"/>
    </xf>
    <xf numFmtId="0" fontId="46" fillId="17" borderId="0" applyNumberFormat="0" applyBorder="0" applyAlignment="0" applyProtection="0">
      <alignment vertical="center"/>
    </xf>
    <xf numFmtId="0" fontId="46" fillId="18" borderId="0" applyNumberFormat="0" applyBorder="0" applyAlignment="0" applyProtection="0">
      <alignment vertical="center"/>
    </xf>
    <xf numFmtId="0" fontId="47" fillId="19" borderId="0" applyNumberFormat="0" applyBorder="0" applyAlignment="0" applyProtection="0">
      <alignment vertical="center"/>
    </xf>
    <xf numFmtId="0" fontId="47" fillId="20" borderId="0" applyNumberFormat="0" applyBorder="0" applyAlignment="0" applyProtection="0">
      <alignment vertical="center"/>
    </xf>
    <xf numFmtId="0" fontId="46" fillId="21" borderId="0" applyNumberFormat="0" applyBorder="0" applyAlignment="0" applyProtection="0">
      <alignment vertical="center"/>
    </xf>
    <xf numFmtId="0" fontId="46" fillId="22" borderId="0" applyNumberFormat="0" applyBorder="0" applyAlignment="0" applyProtection="0">
      <alignment vertical="center"/>
    </xf>
    <xf numFmtId="0" fontId="47" fillId="23" borderId="0" applyNumberFormat="0" applyBorder="0" applyAlignment="0" applyProtection="0">
      <alignment vertical="center"/>
    </xf>
    <xf numFmtId="0" fontId="47" fillId="24" borderId="0" applyNumberFormat="0" applyBorder="0" applyAlignment="0" applyProtection="0">
      <alignment vertical="center"/>
    </xf>
    <xf numFmtId="0" fontId="46" fillId="25" borderId="0" applyNumberFormat="0" applyBorder="0" applyAlignment="0" applyProtection="0">
      <alignment vertical="center"/>
    </xf>
    <xf numFmtId="0" fontId="46" fillId="26" borderId="0" applyNumberFormat="0" applyBorder="0" applyAlignment="0" applyProtection="0">
      <alignment vertical="center"/>
    </xf>
    <xf numFmtId="0" fontId="47" fillId="27" borderId="0" applyNumberFormat="0" applyBorder="0" applyAlignment="0" applyProtection="0">
      <alignment vertical="center"/>
    </xf>
    <xf numFmtId="0" fontId="47" fillId="28" borderId="0" applyNumberFormat="0" applyBorder="0" applyAlignment="0" applyProtection="0">
      <alignment vertical="center"/>
    </xf>
    <xf numFmtId="0" fontId="46" fillId="29" borderId="0" applyNumberFormat="0" applyBorder="0" applyAlignment="0" applyProtection="0">
      <alignment vertical="center"/>
    </xf>
    <xf numFmtId="0" fontId="46" fillId="30" borderId="0" applyNumberFormat="0" applyBorder="0" applyAlignment="0" applyProtection="0">
      <alignment vertical="center"/>
    </xf>
    <xf numFmtId="0" fontId="47" fillId="31" borderId="0" applyNumberFormat="0" applyBorder="0" applyAlignment="0" applyProtection="0">
      <alignment vertical="center"/>
    </xf>
    <xf numFmtId="0" fontId="47" fillId="32" borderId="0" applyNumberFormat="0" applyBorder="0" applyAlignment="0" applyProtection="0">
      <alignment vertical="center"/>
    </xf>
    <xf numFmtId="0" fontId="46" fillId="33" borderId="0" applyNumberFormat="0" applyBorder="0" applyAlignment="0" applyProtection="0">
      <alignment vertical="center"/>
    </xf>
    <xf numFmtId="0" fontId="46" fillId="34" borderId="0" applyNumberFormat="0" applyBorder="0" applyAlignment="0" applyProtection="0">
      <alignment vertical="center"/>
    </xf>
    <xf numFmtId="0" fontId="47" fillId="35" borderId="0" applyNumberFormat="0" applyBorder="0" applyAlignment="0" applyProtection="0">
      <alignment vertical="center"/>
    </xf>
    <xf numFmtId="0" fontId="47" fillId="36" borderId="0" applyNumberFormat="0" applyBorder="0" applyAlignment="0" applyProtection="0">
      <alignment vertical="center"/>
    </xf>
    <xf numFmtId="0" fontId="46" fillId="37" borderId="0" applyNumberFormat="0" applyBorder="0" applyAlignment="0" applyProtection="0">
      <alignment vertical="center"/>
    </xf>
    <xf numFmtId="9" fontId="48" fillId="0" borderId="0" applyFont="0" applyFill="0" applyBorder="0" applyAlignment="0" applyProtection="0">
      <alignment vertical="center"/>
    </xf>
    <xf numFmtId="9" fontId="0" fillId="0" borderId="0" applyFont="0" applyFill="0" applyBorder="0" applyAlignment="0" applyProtection="0">
      <alignment vertical="center"/>
    </xf>
    <xf numFmtId="176" fontId="48" fillId="0" borderId="0">
      <alignment vertical="center"/>
    </xf>
    <xf numFmtId="176" fontId="48" fillId="0" borderId="0">
      <alignment vertical="center"/>
    </xf>
    <xf numFmtId="176" fontId="1" fillId="0" borderId="0">
      <alignment vertical="center"/>
    </xf>
    <xf numFmtId="0" fontId="1" fillId="0" borderId="0">
      <alignment vertical="center"/>
    </xf>
    <xf numFmtId="0" fontId="48" fillId="0" borderId="0">
      <alignment vertical="center"/>
    </xf>
    <xf numFmtId="176" fontId="48" fillId="0" borderId="0">
      <alignment vertical="center"/>
    </xf>
    <xf numFmtId="176" fontId="48" fillId="0" borderId="0">
      <alignment vertical="center"/>
    </xf>
    <xf numFmtId="176" fontId="48" fillId="0" borderId="0">
      <alignment vertical="center"/>
    </xf>
    <xf numFmtId="176" fontId="49" fillId="0" borderId="0">
      <alignment vertical="center"/>
    </xf>
    <xf numFmtId="176" fontId="48" fillId="0" borderId="0">
      <alignment vertical="center"/>
    </xf>
    <xf numFmtId="176" fontId="48" fillId="0" borderId="0">
      <alignment vertical="center"/>
    </xf>
    <xf numFmtId="176" fontId="48" fillId="0" borderId="0">
      <alignment vertical="center"/>
    </xf>
    <xf numFmtId="176" fontId="48" fillId="0" borderId="0" applyBorder="0">
      <alignment vertical="center"/>
    </xf>
  </cellStyleXfs>
  <cellXfs count="387">
    <xf numFmtId="176" fontId="0" fillId="0" borderId="0" xfId="0"/>
    <xf numFmtId="0" fontId="1" fillId="0" borderId="0" xfId="0" applyNumberFormat="1" applyFont="1" applyFill="1" applyAlignment="1">
      <alignment vertical="center" wrapText="1"/>
    </xf>
    <xf numFmtId="0" fontId="1" fillId="0" borderId="0" xfId="0" applyNumberFormat="1" applyFont="1" applyFill="1" applyAlignment="1">
      <alignment horizontal="center" vertical="center" wrapText="1"/>
    </xf>
    <xf numFmtId="0" fontId="2" fillId="0" borderId="1" xfId="0" applyNumberFormat="1" applyFont="1" applyFill="1" applyBorder="1" applyAlignment="1">
      <alignment horizontal="center" vertical="center" wrapText="1"/>
    </xf>
    <xf numFmtId="0" fontId="2" fillId="0" borderId="1" xfId="0" applyNumberFormat="1" applyFont="1" applyFill="1" applyBorder="1" applyAlignment="1">
      <alignment horizontal="center" vertical="center"/>
    </xf>
    <xf numFmtId="0" fontId="2" fillId="0" borderId="1" xfId="0" applyNumberFormat="1" applyFont="1" applyFill="1" applyBorder="1" applyAlignment="1">
      <alignment horizontal="left" vertical="center" wrapText="1"/>
    </xf>
    <xf numFmtId="9" fontId="2" fillId="0" borderId="1" xfId="0" applyNumberFormat="1" applyFont="1" applyFill="1" applyBorder="1" applyAlignment="1">
      <alignment horizontal="center" vertical="center" wrapText="1"/>
    </xf>
    <xf numFmtId="177" fontId="2" fillId="0" borderId="1" xfId="0" applyNumberFormat="1" applyFont="1" applyFill="1" applyBorder="1" applyAlignment="1">
      <alignment horizontal="center" vertical="center"/>
    </xf>
    <xf numFmtId="0" fontId="3" fillId="0" borderId="0" xfId="0" applyNumberFormat="1" applyFont="1" applyFill="1" applyAlignment="1">
      <alignment vertical="center"/>
    </xf>
    <xf numFmtId="0" fontId="2" fillId="0" borderId="2" xfId="0" applyNumberFormat="1" applyFont="1" applyFill="1" applyBorder="1" applyAlignment="1">
      <alignment horizontal="center" vertical="center" wrapText="1"/>
    </xf>
    <xf numFmtId="0" fontId="4" fillId="0" borderId="2" xfId="0" applyNumberFormat="1" applyFont="1" applyFill="1" applyBorder="1" applyAlignment="1">
      <alignment horizontal="center" vertical="center"/>
    </xf>
    <xf numFmtId="0" fontId="5" fillId="0" borderId="2" xfId="0" applyNumberFormat="1" applyFont="1" applyFill="1" applyBorder="1" applyAlignment="1">
      <alignment horizontal="center" vertical="center" wrapText="1"/>
    </xf>
    <xf numFmtId="0" fontId="5" fillId="0" borderId="2" xfId="0" applyNumberFormat="1" applyFont="1" applyFill="1" applyBorder="1" applyAlignment="1">
      <alignment horizontal="center" vertical="center"/>
    </xf>
    <xf numFmtId="0" fontId="5" fillId="0" borderId="1" xfId="0" applyNumberFormat="1" applyFont="1" applyFill="1" applyBorder="1" applyAlignment="1">
      <alignment horizontal="center" vertical="center" wrapText="1"/>
    </xf>
    <xf numFmtId="0" fontId="5" fillId="0" borderId="1" xfId="0" applyNumberFormat="1" applyFont="1" applyFill="1" applyBorder="1" applyAlignment="1">
      <alignment horizontal="left" vertical="center" wrapText="1"/>
    </xf>
    <xf numFmtId="0" fontId="5" fillId="2" borderId="1" xfId="0" applyNumberFormat="1" applyFont="1" applyFill="1" applyBorder="1" applyAlignment="1">
      <alignment horizontal="center" vertical="center" wrapText="1"/>
    </xf>
    <xf numFmtId="9" fontId="5" fillId="0" borderId="1" xfId="0" applyNumberFormat="1" applyFont="1" applyFill="1" applyBorder="1" applyAlignment="1">
      <alignment horizontal="center" vertical="center" wrapText="1"/>
    </xf>
    <xf numFmtId="0" fontId="4" fillId="0" borderId="1" xfId="0" applyNumberFormat="1" applyFont="1" applyFill="1" applyBorder="1" applyAlignment="1">
      <alignment horizontal="center" vertical="center"/>
    </xf>
    <xf numFmtId="0" fontId="2" fillId="0" borderId="3" xfId="0" applyNumberFormat="1" applyFont="1" applyFill="1" applyBorder="1" applyAlignment="1">
      <alignment horizontal="center" vertical="center" wrapText="1"/>
    </xf>
    <xf numFmtId="0" fontId="4" fillId="0" borderId="3" xfId="0" applyNumberFormat="1" applyFont="1" applyFill="1" applyBorder="1" applyAlignment="1">
      <alignment horizontal="center" vertical="center"/>
    </xf>
    <xf numFmtId="0" fontId="5" fillId="0" borderId="3" xfId="0" applyNumberFormat="1" applyFont="1" applyFill="1" applyBorder="1" applyAlignment="1">
      <alignment horizontal="center" vertical="center" wrapText="1"/>
    </xf>
    <xf numFmtId="0" fontId="5" fillId="0" borderId="3" xfId="0" applyNumberFormat="1" applyFont="1" applyFill="1" applyBorder="1" applyAlignment="1">
      <alignment horizontal="center" vertical="center"/>
    </xf>
    <xf numFmtId="0" fontId="5" fillId="0" borderId="1" xfId="0" applyNumberFormat="1" applyFont="1" applyFill="1" applyBorder="1" applyAlignment="1">
      <alignment horizontal="left" vertical="center"/>
    </xf>
    <xf numFmtId="0" fontId="5" fillId="0" borderId="2" xfId="0" applyNumberFormat="1" applyFont="1" applyFill="1" applyBorder="1" applyAlignment="1">
      <alignment horizontal="left" vertical="center" wrapText="1"/>
    </xf>
    <xf numFmtId="9" fontId="5" fillId="0" borderId="2" xfId="0" applyNumberFormat="1" applyFont="1" applyFill="1" applyBorder="1" applyAlignment="1">
      <alignment horizontal="center" vertical="center" wrapText="1"/>
    </xf>
    <xf numFmtId="0" fontId="5" fillId="0" borderId="3" xfId="0" applyNumberFormat="1" applyFont="1" applyFill="1" applyBorder="1" applyAlignment="1">
      <alignment horizontal="left" vertical="center" wrapText="1"/>
    </xf>
    <xf numFmtId="9" fontId="5" fillId="0" borderId="3" xfId="0" applyNumberFormat="1" applyFont="1" applyFill="1" applyBorder="1" applyAlignment="1">
      <alignment horizontal="center" vertical="center" wrapText="1"/>
    </xf>
    <xf numFmtId="0" fontId="5" fillId="0" borderId="4" xfId="0" applyNumberFormat="1" applyFont="1" applyFill="1" applyBorder="1" applyAlignment="1">
      <alignment horizontal="center" vertical="center" wrapText="1"/>
    </xf>
    <xf numFmtId="0" fontId="5" fillId="0" borderId="4" xfId="0" applyNumberFormat="1" applyFont="1" applyFill="1" applyBorder="1" applyAlignment="1">
      <alignment horizontal="left" vertical="center" wrapText="1"/>
    </xf>
    <xf numFmtId="9" fontId="5" fillId="0" borderId="4" xfId="0" applyNumberFormat="1" applyFont="1" applyFill="1" applyBorder="1" applyAlignment="1">
      <alignment horizontal="center" vertical="center" wrapText="1"/>
    </xf>
    <xf numFmtId="0" fontId="5" fillId="0" borderId="1" xfId="0" applyNumberFormat="1" applyFont="1" applyFill="1" applyBorder="1" applyAlignment="1">
      <alignment horizontal="center" vertical="center"/>
    </xf>
    <xf numFmtId="0" fontId="6" fillId="0" borderId="3" xfId="0" applyNumberFormat="1" applyFont="1" applyFill="1" applyBorder="1" applyAlignment="1">
      <alignment horizontal="center" vertical="center" wrapText="1"/>
    </xf>
    <xf numFmtId="0" fontId="6" fillId="0" borderId="3" xfId="0" applyNumberFormat="1" applyFont="1" applyFill="1" applyBorder="1" applyAlignment="1">
      <alignment horizontal="left" vertical="center" wrapText="1"/>
    </xf>
    <xf numFmtId="0" fontId="6" fillId="0" borderId="1" xfId="0" applyNumberFormat="1" applyFont="1" applyFill="1" applyBorder="1" applyAlignment="1">
      <alignment horizontal="center" vertical="center" wrapText="1"/>
    </xf>
    <xf numFmtId="9" fontId="6" fillId="0" borderId="3" xfId="0" applyNumberFormat="1" applyFont="1" applyFill="1" applyBorder="1" applyAlignment="1">
      <alignment horizontal="center" vertical="center" wrapText="1"/>
    </xf>
    <xf numFmtId="0" fontId="6" fillId="0" borderId="4" xfId="0" applyNumberFormat="1" applyFont="1" applyFill="1" applyBorder="1" applyAlignment="1">
      <alignment horizontal="center" vertical="center" wrapText="1"/>
    </xf>
    <xf numFmtId="0" fontId="4" fillId="0" borderId="4" xfId="0" applyNumberFormat="1" applyFont="1" applyFill="1" applyBorder="1" applyAlignment="1">
      <alignment horizontal="center" vertical="center"/>
    </xf>
    <xf numFmtId="0" fontId="5" fillId="0" borderId="4" xfId="0" applyNumberFormat="1" applyFont="1" applyFill="1" applyBorder="1" applyAlignment="1">
      <alignment horizontal="center" vertical="center"/>
    </xf>
    <xf numFmtId="0" fontId="5" fillId="3" borderId="1" xfId="0" applyNumberFormat="1" applyFont="1" applyFill="1" applyBorder="1" applyAlignment="1">
      <alignment horizontal="center" vertical="center"/>
    </xf>
    <xf numFmtId="9" fontId="5" fillId="3" borderId="1" xfId="0" applyNumberFormat="1" applyFont="1" applyFill="1" applyBorder="1" applyAlignment="1">
      <alignment vertical="center"/>
    </xf>
    <xf numFmtId="0" fontId="5" fillId="3" borderId="1" xfId="0" applyNumberFormat="1" applyFont="1" applyFill="1" applyBorder="1" applyAlignment="1">
      <alignment vertical="center"/>
    </xf>
    <xf numFmtId="177" fontId="5" fillId="3" borderId="1" xfId="0" applyNumberFormat="1" applyFont="1" applyFill="1" applyBorder="1" applyAlignment="1">
      <alignment horizontal="center" vertical="center"/>
    </xf>
    <xf numFmtId="0" fontId="4" fillId="0" borderId="1" xfId="0" applyNumberFormat="1" applyFont="1" applyFill="1" applyBorder="1" applyAlignment="1">
      <alignment horizontal="left" vertical="center" wrapText="1"/>
    </xf>
    <xf numFmtId="9" fontId="5" fillId="0" borderId="1" xfId="0" applyNumberFormat="1" applyFont="1" applyFill="1" applyBorder="1" applyAlignment="1">
      <alignment horizontal="center" vertical="center"/>
    </xf>
    <xf numFmtId="177" fontId="5" fillId="0" borderId="1" xfId="0" applyNumberFormat="1" applyFont="1" applyFill="1" applyBorder="1" applyAlignment="1">
      <alignment horizontal="center" vertical="center"/>
    </xf>
    <xf numFmtId="0" fontId="1" fillId="0" borderId="3" xfId="0" applyNumberFormat="1" applyFont="1" applyFill="1" applyBorder="1" applyAlignment="1">
      <alignment horizontal="center" vertical="center" wrapText="1"/>
    </xf>
    <xf numFmtId="0" fontId="7" fillId="0" borderId="0" xfId="0" applyNumberFormat="1" applyFont="1" applyFill="1" applyAlignment="1">
      <alignment vertical="center" wrapText="1"/>
    </xf>
    <xf numFmtId="0" fontId="7" fillId="0" borderId="0" xfId="0" applyNumberFormat="1" applyFont="1" applyFill="1" applyAlignment="1">
      <alignment horizontal="center" vertical="center" wrapText="1"/>
    </xf>
    <xf numFmtId="0" fontId="0" fillId="0" borderId="0" xfId="0" applyNumberFormat="1" applyBorder="1" applyAlignment="1">
      <alignment vertical="center"/>
    </xf>
    <xf numFmtId="0" fontId="8" fillId="0" borderId="1" xfId="0" applyNumberFormat="1" applyFont="1" applyBorder="1" applyAlignment="1">
      <alignment horizontal="center" vertical="center" wrapText="1"/>
    </xf>
    <xf numFmtId="0" fontId="8" fillId="0" borderId="1" xfId="0" applyNumberFormat="1" applyFont="1" applyBorder="1" applyAlignment="1">
      <alignment horizontal="center" vertical="center"/>
    </xf>
    <xf numFmtId="0" fontId="8" fillId="0" borderId="1" xfId="0" applyNumberFormat="1" applyFont="1" applyBorder="1" applyAlignment="1">
      <alignment horizontal="left" vertical="center" wrapText="1"/>
    </xf>
    <xf numFmtId="9" fontId="8" fillId="0" borderId="1" xfId="0" applyNumberFormat="1" applyFont="1" applyBorder="1" applyAlignment="1">
      <alignment horizontal="center" vertical="center" wrapText="1"/>
    </xf>
    <xf numFmtId="177" fontId="8" fillId="0" borderId="1" xfId="0" applyNumberFormat="1" applyFont="1" applyBorder="1" applyAlignment="1">
      <alignment horizontal="center" vertical="center"/>
    </xf>
    <xf numFmtId="0" fontId="9" fillId="0" borderId="0" xfId="0" applyNumberFormat="1" applyFont="1" applyAlignment="1">
      <alignment vertical="center"/>
    </xf>
    <xf numFmtId="0" fontId="10" fillId="0" borderId="1" xfId="0" applyNumberFormat="1" applyFont="1" applyBorder="1" applyAlignment="1">
      <alignment horizontal="center" vertical="center"/>
    </xf>
    <xf numFmtId="9" fontId="11" fillId="0" borderId="1" xfId="0" applyNumberFormat="1" applyFont="1" applyBorder="1" applyAlignment="1">
      <alignment horizontal="center" vertical="center" wrapText="1"/>
    </xf>
    <xf numFmtId="0" fontId="11" fillId="0" borderId="1" xfId="0" applyNumberFormat="1" applyFont="1" applyBorder="1" applyAlignment="1">
      <alignment horizontal="center" vertical="center" wrapText="1"/>
    </xf>
    <xf numFmtId="0" fontId="11" fillId="0" borderId="1" xfId="0" applyNumberFormat="1" applyFont="1" applyBorder="1" applyAlignment="1">
      <alignment horizontal="center" vertical="center"/>
    </xf>
    <xf numFmtId="0" fontId="11" fillId="0" borderId="2" xfId="0" applyNumberFormat="1" applyFont="1" applyBorder="1" applyAlignment="1">
      <alignment horizontal="center" vertical="center" wrapText="1"/>
    </xf>
    <xf numFmtId="0" fontId="11" fillId="0" borderId="1" xfId="0" applyNumberFormat="1" applyFont="1" applyBorder="1" applyAlignment="1">
      <alignment horizontal="left" vertical="center" wrapText="1"/>
    </xf>
    <xf numFmtId="0" fontId="11" fillId="2" borderId="1" xfId="0" applyNumberFormat="1" applyFont="1" applyFill="1" applyBorder="1" applyAlignment="1">
      <alignment horizontal="center" vertical="center" wrapText="1"/>
    </xf>
    <xf numFmtId="177" fontId="11" fillId="2" borderId="1" xfId="0" applyNumberFormat="1" applyFont="1" applyFill="1" applyBorder="1" applyAlignment="1">
      <alignment horizontal="center" vertical="center"/>
    </xf>
    <xf numFmtId="0" fontId="11" fillId="0" borderId="3" xfId="0" applyNumberFormat="1" applyFont="1" applyBorder="1" applyAlignment="1">
      <alignment horizontal="center" vertical="center" wrapText="1"/>
    </xf>
    <xf numFmtId="0" fontId="11" fillId="2" borderId="1" xfId="0" applyNumberFormat="1" applyFont="1" applyFill="1" applyBorder="1" applyAlignment="1">
      <alignment horizontal="center" vertical="center"/>
    </xf>
    <xf numFmtId="0" fontId="11" fillId="2" borderId="1" xfId="0" applyNumberFormat="1" applyFont="1" applyFill="1" applyBorder="1" applyAlignment="1">
      <alignment horizontal="left" vertical="center" wrapText="1"/>
    </xf>
    <xf numFmtId="9" fontId="11" fillId="2" borderId="1" xfId="0" applyNumberFormat="1" applyFont="1" applyFill="1" applyBorder="1" applyAlignment="1">
      <alignment horizontal="center" vertical="center"/>
    </xf>
    <xf numFmtId="0" fontId="11" fillId="2" borderId="1" xfId="0" applyNumberFormat="1" applyFont="1" applyFill="1" applyBorder="1" applyAlignment="1">
      <alignment vertical="center"/>
    </xf>
    <xf numFmtId="0" fontId="11" fillId="2" borderId="2" xfId="0" applyNumberFormat="1" applyFont="1" applyFill="1" applyBorder="1" applyAlignment="1">
      <alignment horizontal="left" vertical="center" wrapText="1"/>
    </xf>
    <xf numFmtId="0" fontId="11" fillId="2" borderId="2" xfId="0" applyNumberFormat="1" applyFont="1" applyFill="1" applyBorder="1" applyAlignment="1">
      <alignment horizontal="center" vertical="center"/>
    </xf>
    <xf numFmtId="0" fontId="11" fillId="2" borderId="5" xfId="0" applyNumberFormat="1" applyFont="1" applyFill="1" applyBorder="1" applyAlignment="1">
      <alignment horizontal="left" vertical="center" wrapText="1"/>
    </xf>
    <xf numFmtId="0" fontId="11" fillId="2" borderId="6" xfId="0" applyNumberFormat="1" applyFont="1" applyFill="1" applyBorder="1" applyAlignment="1">
      <alignment horizontal="center" vertical="center"/>
    </xf>
    <xf numFmtId="9" fontId="11" fillId="2" borderId="2" xfId="0" applyNumberFormat="1" applyFont="1" applyFill="1" applyBorder="1" applyAlignment="1">
      <alignment horizontal="center" vertical="center"/>
    </xf>
    <xf numFmtId="0" fontId="11" fillId="2" borderId="2" xfId="0" applyNumberFormat="1" applyFont="1" applyFill="1" applyBorder="1" applyAlignment="1">
      <alignment vertical="center"/>
    </xf>
    <xf numFmtId="177" fontId="11" fillId="2" borderId="2" xfId="0" applyNumberFormat="1" applyFont="1" applyFill="1" applyBorder="1" applyAlignment="1">
      <alignment horizontal="center" vertical="center"/>
    </xf>
    <xf numFmtId="0" fontId="11" fillId="0" borderId="7" xfId="0" applyNumberFormat="1" applyFont="1" applyBorder="1" applyAlignment="1">
      <alignment horizontal="center" vertical="center" wrapText="1"/>
    </xf>
    <xf numFmtId="0" fontId="11" fillId="2" borderId="8" xfId="0" applyNumberFormat="1" applyFont="1" applyFill="1" applyBorder="1" applyAlignment="1">
      <alignment horizontal="center" vertical="center"/>
    </xf>
    <xf numFmtId="0" fontId="11" fillId="2" borderId="8" xfId="0" applyNumberFormat="1" applyFont="1" applyFill="1" applyBorder="1" applyAlignment="1">
      <alignment horizontal="left" vertical="center" wrapText="1"/>
    </xf>
    <xf numFmtId="9" fontId="11" fillId="2" borderId="8" xfId="0" applyNumberFormat="1" applyFont="1" applyFill="1" applyBorder="1" applyAlignment="1">
      <alignment horizontal="center" vertical="center"/>
    </xf>
    <xf numFmtId="0" fontId="11" fillId="2" borderId="8" xfId="0" applyNumberFormat="1" applyFont="1" applyFill="1" applyBorder="1" applyAlignment="1">
      <alignment vertical="center"/>
    </xf>
    <xf numFmtId="177" fontId="11" fillId="2" borderId="8" xfId="0" applyNumberFormat="1" applyFont="1" applyFill="1" applyBorder="1" applyAlignment="1">
      <alignment horizontal="center" vertical="center"/>
    </xf>
    <xf numFmtId="0" fontId="11" fillId="2" borderId="8" xfId="0" applyNumberFormat="1" applyFont="1" applyFill="1" applyBorder="1"/>
    <xf numFmtId="0" fontId="11" fillId="2" borderId="8" xfId="0" applyNumberFormat="1" applyFont="1" applyFill="1" applyBorder="1" applyAlignment="1">
      <alignment horizontal="center" vertical="center" wrapText="1"/>
    </xf>
    <xf numFmtId="0" fontId="12" fillId="0" borderId="8" xfId="0" applyNumberFormat="1" applyFont="1" applyFill="1" applyBorder="1" applyAlignment="1">
      <alignment vertical="center" wrapText="1"/>
    </xf>
    <xf numFmtId="0" fontId="12" fillId="0" borderId="8" xfId="0" applyNumberFormat="1" applyFont="1" applyFill="1" applyBorder="1" applyAlignment="1">
      <alignment horizontal="center" vertical="center" wrapText="1"/>
    </xf>
    <xf numFmtId="0" fontId="11" fillId="2" borderId="9" xfId="0" applyNumberFormat="1" applyFont="1" applyFill="1" applyBorder="1" applyAlignment="1">
      <alignment horizontal="left" vertical="center" wrapText="1"/>
    </xf>
    <xf numFmtId="0" fontId="11" fillId="2" borderId="10" xfId="0" applyNumberFormat="1" applyFont="1" applyFill="1" applyBorder="1" applyAlignment="1">
      <alignment horizontal="center" vertical="center"/>
    </xf>
    <xf numFmtId="9" fontId="12" fillId="0" borderId="8" xfId="0" applyNumberFormat="1" applyFont="1" applyFill="1" applyBorder="1" applyAlignment="1">
      <alignment horizontal="center" vertical="center" wrapText="1"/>
    </xf>
    <xf numFmtId="177" fontId="11" fillId="2" borderId="4" xfId="0" applyNumberFormat="1" applyFont="1" applyFill="1" applyBorder="1" applyAlignment="1">
      <alignment horizontal="center" vertical="center"/>
    </xf>
    <xf numFmtId="9" fontId="11" fillId="2" borderId="9" xfId="0" applyNumberFormat="1" applyFont="1" applyFill="1" applyBorder="1" applyAlignment="1">
      <alignment horizontal="center" vertical="center"/>
    </xf>
    <xf numFmtId="0" fontId="11" fillId="2" borderId="11" xfId="0" applyNumberFormat="1" applyFont="1" applyFill="1" applyBorder="1" applyAlignment="1">
      <alignment horizontal="center" vertical="center"/>
    </xf>
    <xf numFmtId="0" fontId="11" fillId="2" borderId="12" xfId="0" applyNumberFormat="1" applyFont="1" applyFill="1" applyBorder="1" applyAlignment="1">
      <alignment horizontal="left" vertical="center" wrapText="1"/>
    </xf>
    <xf numFmtId="0" fontId="11" fillId="2" borderId="13" xfId="0" applyNumberFormat="1" applyFont="1" applyFill="1" applyBorder="1" applyAlignment="1">
      <alignment vertical="center"/>
    </xf>
    <xf numFmtId="0" fontId="11" fillId="0" borderId="4" xfId="0" applyNumberFormat="1" applyFont="1" applyBorder="1" applyAlignment="1">
      <alignment horizontal="center" vertical="center" wrapText="1"/>
    </xf>
    <xf numFmtId="0" fontId="11" fillId="2" borderId="14" xfId="0" applyNumberFormat="1" applyFont="1" applyFill="1" applyBorder="1" applyAlignment="1">
      <alignment horizontal="center" vertical="center"/>
    </xf>
    <xf numFmtId="0" fontId="0" fillId="0" borderId="9" xfId="0" applyNumberFormat="1" applyBorder="1"/>
    <xf numFmtId="0" fontId="11" fillId="2" borderId="15" xfId="0" applyNumberFormat="1" applyFont="1" applyFill="1" applyBorder="1" applyAlignment="1">
      <alignment horizontal="center" vertical="center"/>
    </xf>
    <xf numFmtId="0" fontId="11" fillId="2" borderId="16" xfId="0" applyNumberFormat="1" applyFont="1" applyFill="1" applyBorder="1" applyAlignment="1">
      <alignment vertical="center"/>
    </xf>
    <xf numFmtId="0" fontId="11" fillId="3" borderId="1" xfId="0" applyNumberFormat="1" applyFont="1" applyFill="1" applyBorder="1" applyAlignment="1">
      <alignment horizontal="center" vertical="center"/>
    </xf>
    <xf numFmtId="0" fontId="11" fillId="3" borderId="4" xfId="0" applyNumberFormat="1" applyFont="1" applyFill="1" applyBorder="1" applyAlignment="1">
      <alignment horizontal="center" vertical="center"/>
    </xf>
    <xf numFmtId="9" fontId="11" fillId="3" borderId="4" xfId="0" applyNumberFormat="1" applyFont="1" applyFill="1" applyBorder="1" applyAlignment="1">
      <alignment vertical="center"/>
    </xf>
    <xf numFmtId="0" fontId="11" fillId="3" borderId="1" xfId="0" applyNumberFormat="1" applyFont="1" applyFill="1" applyBorder="1" applyAlignment="1">
      <alignment vertical="center"/>
    </xf>
    <xf numFmtId="177" fontId="11" fillId="3" borderId="1" xfId="0" applyNumberFormat="1" applyFont="1" applyFill="1" applyBorder="1" applyAlignment="1">
      <alignment horizontal="center" vertical="center"/>
    </xf>
    <xf numFmtId="0" fontId="10" fillId="0" borderId="1" xfId="0" applyNumberFormat="1" applyFont="1" applyBorder="1" applyAlignment="1">
      <alignment horizontal="left" vertical="center" wrapText="1"/>
    </xf>
    <xf numFmtId="9" fontId="11" fillId="0" borderId="1" xfId="0" applyNumberFormat="1" applyFont="1" applyBorder="1" applyAlignment="1">
      <alignment horizontal="center" vertical="center"/>
    </xf>
    <xf numFmtId="0" fontId="11" fillId="0" borderId="1" xfId="0" applyNumberFormat="1" applyFont="1" applyFill="1" applyBorder="1" applyAlignment="1">
      <alignment horizontal="left" vertical="center" wrapText="1"/>
    </xf>
    <xf numFmtId="0" fontId="11" fillId="0" borderId="1" xfId="0" applyNumberFormat="1" applyFont="1" applyBorder="1" applyAlignment="1">
      <alignment horizontal="left" vertical="center"/>
    </xf>
    <xf numFmtId="9" fontId="11" fillId="3" borderId="1" xfId="0" applyNumberFormat="1" applyFont="1" applyFill="1" applyBorder="1" applyAlignment="1">
      <alignment vertical="center"/>
    </xf>
    <xf numFmtId="177" fontId="11" fillId="0" borderId="1" xfId="0" applyNumberFormat="1" applyFont="1" applyBorder="1" applyAlignment="1">
      <alignment horizontal="center" vertical="center"/>
    </xf>
    <xf numFmtId="0" fontId="10" fillId="0" borderId="2" xfId="0" applyNumberFormat="1" applyFont="1" applyBorder="1" applyAlignment="1">
      <alignment horizontal="left" vertical="center" wrapText="1"/>
    </xf>
    <xf numFmtId="0" fontId="11" fillId="0" borderId="2" xfId="0" applyNumberFormat="1" applyFont="1" applyBorder="1" applyAlignment="1">
      <alignment horizontal="center" vertical="center"/>
    </xf>
    <xf numFmtId="9" fontId="11" fillId="0" borderId="2" xfId="0" applyNumberFormat="1" applyFont="1" applyBorder="1" applyAlignment="1">
      <alignment horizontal="center" vertical="center"/>
    </xf>
    <xf numFmtId="177" fontId="11" fillId="0" borderId="2" xfId="0" applyNumberFormat="1" applyFont="1" applyBorder="1" applyAlignment="1">
      <alignment horizontal="center" vertical="center"/>
    </xf>
    <xf numFmtId="0" fontId="11" fillId="0" borderId="14" xfId="0" applyNumberFormat="1" applyFont="1" applyBorder="1" applyAlignment="1">
      <alignment horizontal="center" vertical="center" wrapText="1"/>
    </xf>
    <xf numFmtId="9" fontId="11" fillId="0" borderId="1" xfId="0" applyNumberFormat="1" applyFont="1" applyFill="1" applyBorder="1" applyAlignment="1">
      <alignment horizontal="center" vertical="center" wrapText="1"/>
    </xf>
    <xf numFmtId="0" fontId="10" fillId="0" borderId="1" xfId="0" applyNumberFormat="1" applyFont="1" applyFill="1" applyBorder="1" applyAlignment="1">
      <alignment horizontal="center" vertical="center"/>
    </xf>
    <xf numFmtId="0" fontId="0" fillId="0" borderId="3" xfId="0" applyNumberFormat="1" applyBorder="1"/>
    <xf numFmtId="0" fontId="0" fillId="0" borderId="4" xfId="0" applyNumberFormat="1" applyBorder="1"/>
    <xf numFmtId="0" fontId="11" fillId="0" borderId="4" xfId="0" applyNumberFormat="1" applyFont="1" applyBorder="1" applyAlignment="1">
      <alignment wrapText="1"/>
    </xf>
    <xf numFmtId="0" fontId="11" fillId="0" borderId="2" xfId="0" applyNumberFormat="1" applyFont="1" applyBorder="1" applyAlignment="1">
      <alignment horizontal="left" vertical="center"/>
    </xf>
    <xf numFmtId="9" fontId="11" fillId="0" borderId="2" xfId="0" applyNumberFormat="1" applyFont="1" applyBorder="1" applyAlignment="1">
      <alignment horizontal="center" vertical="center" wrapText="1"/>
    </xf>
    <xf numFmtId="0" fontId="11" fillId="0" borderId="14" xfId="0" applyNumberFormat="1" applyFont="1" applyBorder="1" applyAlignment="1">
      <alignment horizontal="center" vertical="center"/>
    </xf>
    <xf numFmtId="0" fontId="11" fillId="0" borderId="8" xfId="0" applyNumberFormat="1" applyFont="1" applyBorder="1" applyAlignment="1">
      <alignment horizontal="left" vertical="center" wrapText="1"/>
    </xf>
    <xf numFmtId="0" fontId="11" fillId="2" borderId="16" xfId="0" applyNumberFormat="1" applyFont="1" applyFill="1" applyBorder="1" applyAlignment="1">
      <alignment horizontal="center" vertical="center" wrapText="1"/>
    </xf>
    <xf numFmtId="9" fontId="11" fillId="0" borderId="8" xfId="0" applyNumberFormat="1" applyFont="1" applyBorder="1" applyAlignment="1">
      <alignment horizontal="center" vertical="center" wrapText="1"/>
    </xf>
    <xf numFmtId="0" fontId="11" fillId="0" borderId="16" xfId="0" applyNumberFormat="1" applyFont="1" applyBorder="1" applyAlignment="1">
      <alignment horizontal="center" vertical="center" wrapText="1"/>
    </xf>
    <xf numFmtId="0" fontId="11" fillId="0" borderId="15" xfId="0" applyNumberFormat="1" applyFont="1" applyBorder="1" applyAlignment="1">
      <alignment horizontal="left" vertical="center" wrapText="1"/>
    </xf>
    <xf numFmtId="0" fontId="11" fillId="0" borderId="4" xfId="0" applyNumberFormat="1" applyFont="1" applyBorder="1" applyAlignment="1">
      <alignment horizontal="left" vertical="center" wrapText="1"/>
    </xf>
    <xf numFmtId="9" fontId="11" fillId="0" borderId="4" xfId="0" applyNumberFormat="1" applyFont="1" applyBorder="1" applyAlignment="1">
      <alignment horizontal="center" vertical="center" wrapText="1"/>
    </xf>
    <xf numFmtId="0" fontId="13" fillId="0" borderId="0" xfId="0" applyNumberFormat="1" applyFont="1" applyBorder="1" applyAlignment="1">
      <alignment wrapText="1"/>
    </xf>
    <xf numFmtId="0" fontId="14" fillId="0" borderId="0" xfId="0" applyNumberFormat="1" applyFont="1" applyFill="1" applyAlignment="1">
      <alignment vertical="center" wrapText="1"/>
    </xf>
    <xf numFmtId="0" fontId="14" fillId="0" borderId="0" xfId="0" applyNumberFormat="1" applyFont="1" applyFill="1" applyAlignment="1">
      <alignment horizontal="center" vertical="center" wrapText="1"/>
    </xf>
    <xf numFmtId="0" fontId="15" fillId="0" borderId="8" xfId="0" applyNumberFormat="1" applyFont="1" applyFill="1" applyBorder="1" applyAlignment="1">
      <alignment horizontal="center" vertical="center" wrapText="1"/>
    </xf>
    <xf numFmtId="0" fontId="16" fillId="0" borderId="8" xfId="0" applyNumberFormat="1" applyFont="1" applyFill="1" applyBorder="1" applyAlignment="1">
      <alignment horizontal="center" vertical="center"/>
    </xf>
    <xf numFmtId="0" fontId="16" fillId="0" borderId="8" xfId="0" applyNumberFormat="1" applyFont="1" applyFill="1" applyBorder="1" applyAlignment="1">
      <alignment horizontal="center" vertical="center" wrapText="1"/>
    </xf>
    <xf numFmtId="0" fontId="16" fillId="0" borderId="8" xfId="0" applyNumberFormat="1" applyFont="1" applyFill="1" applyBorder="1" applyAlignment="1">
      <alignment horizontal="left" vertical="center" wrapText="1"/>
    </xf>
    <xf numFmtId="9" fontId="16" fillId="0" borderId="8" xfId="0" applyNumberFormat="1" applyFont="1" applyFill="1" applyBorder="1" applyAlignment="1">
      <alignment horizontal="center" vertical="center" wrapText="1"/>
    </xf>
    <xf numFmtId="177" fontId="16" fillId="0" borderId="8" xfId="0" applyNumberFormat="1" applyFont="1" applyFill="1" applyBorder="1" applyAlignment="1">
      <alignment horizontal="center" vertical="center"/>
    </xf>
    <xf numFmtId="0" fontId="15" fillId="0" borderId="5" xfId="0" applyNumberFormat="1" applyFont="1" applyFill="1" applyBorder="1" applyAlignment="1">
      <alignment horizontal="center" vertical="center" wrapText="1"/>
    </xf>
    <xf numFmtId="0" fontId="17" fillId="0" borderId="5" xfId="0" applyNumberFormat="1" applyFont="1" applyFill="1" applyBorder="1" applyAlignment="1">
      <alignment horizontal="center" vertical="center"/>
    </xf>
    <xf numFmtId="0" fontId="16" fillId="0" borderId="5" xfId="0" applyNumberFormat="1" applyFont="1" applyFill="1" applyBorder="1" applyAlignment="1">
      <alignment horizontal="center" vertical="center" wrapText="1"/>
    </xf>
    <xf numFmtId="0" fontId="16" fillId="0" borderId="5" xfId="0" applyNumberFormat="1" applyFont="1" applyFill="1" applyBorder="1" applyAlignment="1">
      <alignment horizontal="center" vertical="center"/>
    </xf>
    <xf numFmtId="0" fontId="18" fillId="0" borderId="8" xfId="0" applyNumberFormat="1" applyFont="1" applyFill="1" applyBorder="1" applyAlignment="1">
      <alignment vertical="center" wrapText="1"/>
    </xf>
    <xf numFmtId="0" fontId="18" fillId="0" borderId="8" xfId="0" applyNumberFormat="1" applyFont="1" applyFill="1" applyBorder="1" applyAlignment="1">
      <alignment horizontal="center" vertical="center" wrapText="1"/>
    </xf>
    <xf numFmtId="0" fontId="15" fillId="0" borderId="12" xfId="0" applyNumberFormat="1" applyFont="1" applyFill="1" applyBorder="1" applyAlignment="1">
      <alignment horizontal="center" vertical="center" wrapText="1"/>
    </xf>
    <xf numFmtId="0" fontId="17" fillId="0" borderId="12" xfId="0" applyNumberFormat="1" applyFont="1" applyFill="1" applyBorder="1" applyAlignment="1">
      <alignment horizontal="center" vertical="center"/>
    </xf>
    <xf numFmtId="0" fontId="16" fillId="0" borderId="12" xfId="0" applyNumberFormat="1" applyFont="1" applyFill="1" applyBorder="1" applyAlignment="1">
      <alignment horizontal="center" vertical="center" wrapText="1"/>
    </xf>
    <xf numFmtId="0" fontId="16" fillId="0" borderId="12" xfId="0" applyNumberFormat="1" applyFont="1" applyFill="1" applyBorder="1" applyAlignment="1">
      <alignment horizontal="center" vertical="center"/>
    </xf>
    <xf numFmtId="0" fontId="16" fillId="0" borderId="9" xfId="0" applyNumberFormat="1" applyFont="1" applyFill="1" applyBorder="1" applyAlignment="1">
      <alignment horizontal="center" vertical="center" wrapText="1"/>
    </xf>
    <xf numFmtId="0" fontId="18" fillId="0" borderId="5" xfId="0" applyNumberFormat="1" applyFont="1" applyFill="1" applyBorder="1" applyAlignment="1">
      <alignment vertical="center" wrapText="1"/>
    </xf>
    <xf numFmtId="0" fontId="18" fillId="0" borderId="5" xfId="0" applyNumberFormat="1" applyFont="1" applyFill="1" applyBorder="1" applyAlignment="1">
      <alignment horizontal="center" vertical="center" wrapText="1"/>
    </xf>
    <xf numFmtId="9" fontId="16" fillId="0" borderId="5" xfId="0" applyNumberFormat="1" applyFont="1" applyFill="1" applyBorder="1" applyAlignment="1">
      <alignment horizontal="center" vertical="center" wrapText="1"/>
    </xf>
    <xf numFmtId="177" fontId="16" fillId="0" borderId="5" xfId="0" applyNumberFormat="1" applyFont="1" applyFill="1" applyBorder="1" applyAlignment="1">
      <alignment horizontal="center" vertical="center"/>
    </xf>
    <xf numFmtId="0" fontId="16" fillId="0" borderId="17" xfId="0" applyNumberFormat="1" applyFont="1" applyFill="1" applyBorder="1" applyAlignment="1">
      <alignment horizontal="center" vertical="center"/>
    </xf>
    <xf numFmtId="0" fontId="18" fillId="0" borderId="8" xfId="0" applyNumberFormat="1" applyFont="1" applyFill="1" applyBorder="1" applyAlignment="1">
      <alignment horizontal="left" vertical="center" wrapText="1"/>
    </xf>
    <xf numFmtId="0" fontId="16" fillId="0" borderId="9" xfId="0" applyNumberFormat="1" applyFont="1" applyFill="1" applyBorder="1" applyAlignment="1">
      <alignment horizontal="center" vertical="center"/>
    </xf>
    <xf numFmtId="0" fontId="18" fillId="0" borderId="8" xfId="0" applyNumberFormat="1" applyFont="1" applyFill="1" applyBorder="1" applyAlignment="1">
      <alignment vertical="center"/>
    </xf>
    <xf numFmtId="0" fontId="16" fillId="3" borderId="17" xfId="0" applyNumberFormat="1" applyFont="1" applyFill="1" applyBorder="1" applyAlignment="1">
      <alignment horizontal="center" vertical="center"/>
    </xf>
    <xf numFmtId="0" fontId="16" fillId="3" borderId="18" xfId="0" applyNumberFormat="1" applyFont="1" applyFill="1" applyBorder="1" applyAlignment="1">
      <alignment horizontal="center" vertical="center"/>
    </xf>
    <xf numFmtId="0" fontId="16" fillId="3" borderId="19" xfId="0" applyNumberFormat="1" applyFont="1" applyFill="1" applyBorder="1" applyAlignment="1">
      <alignment horizontal="center" vertical="center"/>
    </xf>
    <xf numFmtId="0" fontId="16" fillId="3" borderId="9" xfId="0" applyNumberFormat="1" applyFont="1" applyFill="1" applyBorder="1" applyAlignment="1">
      <alignment horizontal="center" vertical="center"/>
    </xf>
    <xf numFmtId="9" fontId="16" fillId="3" borderId="9" xfId="0" applyNumberFormat="1" applyFont="1" applyFill="1" applyBorder="1" applyAlignment="1">
      <alignment vertical="center"/>
    </xf>
    <xf numFmtId="0" fontId="16" fillId="3" borderId="9" xfId="0" applyNumberFormat="1" applyFont="1" applyFill="1" applyBorder="1" applyAlignment="1">
      <alignment vertical="center"/>
    </xf>
    <xf numFmtId="177" fontId="16" fillId="3" borderId="9" xfId="0" applyNumberFormat="1" applyFont="1" applyFill="1" applyBorder="1" applyAlignment="1">
      <alignment horizontal="center" vertical="center"/>
    </xf>
    <xf numFmtId="0" fontId="15" fillId="0" borderId="9" xfId="0" applyNumberFormat="1" applyFont="1" applyFill="1" applyBorder="1" applyAlignment="1">
      <alignment horizontal="center" vertical="center" wrapText="1"/>
    </xf>
    <xf numFmtId="0" fontId="17" fillId="0" borderId="9" xfId="0" applyNumberFormat="1" applyFont="1" applyFill="1" applyBorder="1" applyAlignment="1">
      <alignment horizontal="center" vertical="center"/>
    </xf>
    <xf numFmtId="9" fontId="16" fillId="0" borderId="8" xfId="0" applyNumberFormat="1" applyFont="1" applyFill="1" applyBorder="1" applyAlignment="1">
      <alignment horizontal="center" vertical="center"/>
    </xf>
    <xf numFmtId="0" fontId="19" fillId="0" borderId="8" xfId="0" applyNumberFormat="1" applyFont="1" applyFill="1" applyBorder="1" applyAlignment="1">
      <alignment horizontal="left" vertical="center" wrapText="1"/>
    </xf>
    <xf numFmtId="0" fontId="18" fillId="0" borderId="17" xfId="0" applyNumberFormat="1" applyFont="1" applyFill="1" applyBorder="1" applyAlignment="1">
      <alignment horizontal="center" vertical="center" wrapText="1"/>
    </xf>
    <xf numFmtId="0" fontId="18" fillId="0" borderId="20" xfId="0" applyNumberFormat="1" applyFont="1" applyFill="1" applyBorder="1" applyAlignment="1">
      <alignment horizontal="center" vertical="center" wrapText="1"/>
    </xf>
    <xf numFmtId="0" fontId="18" fillId="0" borderId="20" xfId="0" applyNumberFormat="1" applyFont="1" applyFill="1" applyBorder="1" applyAlignment="1">
      <alignment horizontal="left" vertical="center" wrapText="1"/>
    </xf>
    <xf numFmtId="0" fontId="16" fillId="0" borderId="8" xfId="0" applyNumberFormat="1" applyFont="1" applyFill="1" applyBorder="1" applyAlignment="1">
      <alignment vertical="center"/>
    </xf>
    <xf numFmtId="0" fontId="16" fillId="0" borderId="8" xfId="0" applyNumberFormat="1" applyFont="1" applyFill="1" applyBorder="1" applyAlignment="1">
      <alignment vertical="center" wrapText="1"/>
    </xf>
    <xf numFmtId="0" fontId="18" fillId="0" borderId="21" xfId="0" applyNumberFormat="1" applyFont="1" applyFill="1" applyBorder="1" applyAlignment="1">
      <alignment horizontal="center" vertical="center" wrapText="1"/>
    </xf>
    <xf numFmtId="0" fontId="18" fillId="0" borderId="9" xfId="0" applyNumberFormat="1" applyFont="1" applyFill="1" applyBorder="1" applyAlignment="1">
      <alignment vertical="center" wrapText="1"/>
    </xf>
    <xf numFmtId="9" fontId="16" fillId="0" borderId="9" xfId="0" applyNumberFormat="1" applyFont="1" applyFill="1" applyBorder="1" applyAlignment="1">
      <alignment vertical="center"/>
    </xf>
    <xf numFmtId="0" fontId="16" fillId="0" borderId="9" xfId="0" applyNumberFormat="1" applyFont="1" applyFill="1" applyBorder="1" applyAlignment="1">
      <alignment vertical="center"/>
    </xf>
    <xf numFmtId="177" fontId="16" fillId="0" borderId="9" xfId="0" applyNumberFormat="1" applyFont="1" applyFill="1" applyBorder="1" applyAlignment="1">
      <alignment horizontal="center" vertical="center"/>
    </xf>
    <xf numFmtId="0" fontId="16" fillId="0" borderId="8" xfId="0" applyNumberFormat="1" applyFont="1" applyFill="1" applyBorder="1" applyAlignment="1">
      <alignment horizontal="left" vertical="center"/>
    </xf>
    <xf numFmtId="9" fontId="16" fillId="0" borderId="8" xfId="0" applyNumberFormat="1" applyFont="1" applyFill="1" applyBorder="1" applyAlignment="1">
      <alignment vertical="center"/>
    </xf>
    <xf numFmtId="0" fontId="16" fillId="3" borderId="8" xfId="0" applyNumberFormat="1" applyFont="1" applyFill="1" applyBorder="1" applyAlignment="1">
      <alignment horizontal="center" vertical="center"/>
    </xf>
    <xf numFmtId="9" fontId="16" fillId="3" borderId="8" xfId="0" applyNumberFormat="1" applyFont="1" applyFill="1" applyBorder="1" applyAlignment="1">
      <alignment vertical="center"/>
    </xf>
    <xf numFmtId="0" fontId="16" fillId="3" borderId="8" xfId="0" applyNumberFormat="1" applyFont="1" applyFill="1" applyBorder="1" applyAlignment="1">
      <alignment vertical="center"/>
    </xf>
    <xf numFmtId="177" fontId="16" fillId="3" borderId="8" xfId="0" applyNumberFormat="1" applyFont="1" applyFill="1" applyBorder="1" applyAlignment="1">
      <alignment horizontal="center" vertical="center"/>
    </xf>
    <xf numFmtId="0" fontId="19" fillId="0" borderId="8" xfId="0" applyNumberFormat="1" applyFont="1" applyFill="1" applyBorder="1" applyAlignment="1">
      <alignment vertical="center" wrapText="1"/>
    </xf>
    <xf numFmtId="0" fontId="1" fillId="0" borderId="0" xfId="0" applyNumberFormat="1" applyFont="1" applyAlignment="1">
      <alignment vertical="center" wrapText="1"/>
    </xf>
    <xf numFmtId="0" fontId="1" fillId="0" borderId="0" xfId="0" applyNumberFormat="1" applyFont="1" applyAlignment="1">
      <alignment horizontal="center" vertical="center" wrapText="1"/>
    </xf>
    <xf numFmtId="0" fontId="2" fillId="0" borderId="1" xfId="0" applyNumberFormat="1" applyFont="1" applyBorder="1" applyAlignment="1">
      <alignment horizontal="center" vertical="center" wrapText="1"/>
    </xf>
    <xf numFmtId="0" fontId="2" fillId="0" borderId="1" xfId="0" applyNumberFormat="1" applyFont="1" applyBorder="1" applyAlignment="1">
      <alignment horizontal="center" vertical="center"/>
    </xf>
    <xf numFmtId="0" fontId="2" fillId="0" borderId="1" xfId="0" applyNumberFormat="1" applyFont="1" applyBorder="1" applyAlignment="1">
      <alignment horizontal="left" vertical="center" wrapText="1"/>
    </xf>
    <xf numFmtId="9" fontId="2" fillId="0" borderId="1" xfId="0" applyNumberFormat="1" applyFont="1" applyBorder="1" applyAlignment="1">
      <alignment horizontal="center" vertical="center" wrapText="1"/>
    </xf>
    <xf numFmtId="177" fontId="2" fillId="0" borderId="1" xfId="0" applyNumberFormat="1" applyFont="1" applyBorder="1" applyAlignment="1">
      <alignment horizontal="center" vertical="center"/>
    </xf>
    <xf numFmtId="0" fontId="3" fillId="0" borderId="0" xfId="0" applyNumberFormat="1" applyFont="1" applyAlignment="1">
      <alignment vertical="center"/>
    </xf>
    <xf numFmtId="0" fontId="2" fillId="0" borderId="2" xfId="0" applyNumberFormat="1" applyFont="1" applyBorder="1" applyAlignment="1">
      <alignment horizontal="center" vertical="center" wrapText="1"/>
    </xf>
    <xf numFmtId="0" fontId="4" fillId="0" borderId="2" xfId="0" applyNumberFormat="1" applyFont="1" applyBorder="1" applyAlignment="1">
      <alignment horizontal="center" vertical="center"/>
    </xf>
    <xf numFmtId="9" fontId="5" fillId="0" borderId="2" xfId="0" applyNumberFormat="1" applyFont="1" applyBorder="1" applyAlignment="1">
      <alignment horizontal="center" vertical="center" wrapText="1"/>
    </xf>
    <xf numFmtId="0" fontId="5" fillId="0" borderId="2" xfId="0" applyNumberFormat="1" applyFont="1" applyBorder="1" applyAlignment="1">
      <alignment horizontal="center" vertical="center" wrapText="1"/>
    </xf>
    <xf numFmtId="0" fontId="5" fillId="0" borderId="2" xfId="0" applyNumberFormat="1" applyFont="1" applyBorder="1" applyAlignment="1">
      <alignment horizontal="center" vertical="center"/>
    </xf>
    <xf numFmtId="0" fontId="5" fillId="0" borderId="1" xfId="0" applyNumberFormat="1" applyFont="1" applyBorder="1" applyAlignment="1">
      <alignment horizontal="center" vertical="center" wrapText="1"/>
    </xf>
    <xf numFmtId="0" fontId="5" fillId="0" borderId="1" xfId="0" applyNumberFormat="1" applyFont="1" applyBorder="1" applyAlignment="1">
      <alignment horizontal="left" vertical="center" wrapText="1"/>
    </xf>
    <xf numFmtId="9" fontId="5" fillId="0" borderId="1" xfId="0" applyNumberFormat="1" applyFont="1" applyBorder="1" applyAlignment="1">
      <alignment horizontal="center" vertical="center" wrapText="1"/>
    </xf>
    <xf numFmtId="0" fontId="5" fillId="0" borderId="1" xfId="0" applyNumberFormat="1" applyFont="1" applyBorder="1" applyAlignment="1">
      <alignment horizontal="center" vertical="center"/>
    </xf>
    <xf numFmtId="177" fontId="5" fillId="4" borderId="1" xfId="0" applyNumberFormat="1" applyFont="1" applyFill="1" applyBorder="1" applyAlignment="1">
      <alignment horizontal="center" vertical="center"/>
    </xf>
    <xf numFmtId="0" fontId="2" fillId="0" borderId="3" xfId="0" applyNumberFormat="1" applyFont="1" applyBorder="1" applyAlignment="1">
      <alignment horizontal="center" vertical="center" wrapText="1"/>
    </xf>
    <xf numFmtId="0" fontId="4" fillId="0" borderId="3" xfId="0" applyNumberFormat="1" applyFont="1" applyBorder="1" applyAlignment="1">
      <alignment horizontal="center" vertical="center"/>
    </xf>
    <xf numFmtId="9" fontId="5" fillId="0" borderId="3" xfId="0" applyNumberFormat="1" applyFont="1" applyBorder="1" applyAlignment="1">
      <alignment horizontal="center" vertical="center" wrapText="1"/>
    </xf>
    <xf numFmtId="0" fontId="5" fillId="0" borderId="3" xfId="0" applyNumberFormat="1" applyFont="1" applyBorder="1" applyAlignment="1">
      <alignment horizontal="center" vertical="center" wrapText="1"/>
    </xf>
    <xf numFmtId="0" fontId="5" fillId="0" borderId="3" xfId="0" applyNumberFormat="1" applyFont="1" applyBorder="1" applyAlignment="1">
      <alignment horizontal="center" vertical="center"/>
    </xf>
    <xf numFmtId="9" fontId="5" fillId="0" borderId="1" xfId="0" applyNumberFormat="1" applyFont="1" applyBorder="1" applyAlignment="1">
      <alignment horizontal="center" vertical="center"/>
    </xf>
    <xf numFmtId="177" fontId="5" fillId="0" borderId="1" xfId="0" applyNumberFormat="1" applyFont="1" applyBorder="1" applyAlignment="1">
      <alignment horizontal="center" vertical="center"/>
    </xf>
    <xf numFmtId="0" fontId="4" fillId="0" borderId="1" xfId="0" applyNumberFormat="1" applyFont="1" applyBorder="1" applyAlignment="1">
      <alignment horizontal="center" vertical="center"/>
    </xf>
    <xf numFmtId="0" fontId="5" fillId="0" borderId="1" xfId="0" applyNumberFormat="1" applyFont="1" applyBorder="1" applyAlignment="1">
      <alignment vertical="center" wrapText="1"/>
    </xf>
    <xf numFmtId="176" fontId="2" fillId="0" borderId="9" xfId="0" applyFont="1" applyBorder="1" applyAlignment="1">
      <alignment horizontal="center" vertical="center" wrapText="1"/>
    </xf>
    <xf numFmtId="176" fontId="4" fillId="0" borderId="9" xfId="0" applyFont="1" applyBorder="1" applyAlignment="1">
      <alignment horizontal="left" vertical="center"/>
    </xf>
    <xf numFmtId="49" fontId="5" fillId="0" borderId="9" xfId="0" applyNumberFormat="1" applyFont="1" applyBorder="1" applyAlignment="1">
      <alignment horizontal="center" vertical="center" wrapText="1"/>
    </xf>
    <xf numFmtId="176" fontId="5" fillId="0" borderId="9" xfId="0" applyFont="1" applyBorder="1" applyAlignment="1">
      <alignment horizontal="center" vertical="center" wrapText="1"/>
    </xf>
    <xf numFmtId="176" fontId="5" fillId="0" borderId="9" xfId="0" applyFont="1" applyBorder="1" applyAlignment="1">
      <alignment horizontal="center" vertical="center"/>
    </xf>
    <xf numFmtId="0" fontId="5" fillId="0" borderId="2" xfId="0" applyNumberFormat="1" applyFont="1" applyBorder="1" applyAlignment="1">
      <alignment horizontal="left" vertical="center" wrapText="1"/>
    </xf>
    <xf numFmtId="0" fontId="5" fillId="0" borderId="22" xfId="0" applyNumberFormat="1" applyFont="1" applyBorder="1" applyAlignment="1">
      <alignment horizontal="center" vertical="center" wrapText="1"/>
    </xf>
    <xf numFmtId="9" fontId="5" fillId="0" borderId="8" xfId="0" applyNumberFormat="1" applyFont="1" applyBorder="1" applyAlignment="1">
      <alignment horizontal="center" vertical="center" wrapText="1"/>
    </xf>
    <xf numFmtId="176" fontId="5" fillId="0" borderId="8" xfId="0" applyFont="1" applyBorder="1" applyAlignment="1">
      <alignment horizontal="center" vertical="center" wrapText="1"/>
    </xf>
    <xf numFmtId="177" fontId="5" fillId="0" borderId="8" xfId="0" applyNumberFormat="1" applyFont="1" applyBorder="1" applyAlignment="1">
      <alignment horizontal="center" vertical="center"/>
    </xf>
    <xf numFmtId="176" fontId="2" fillId="0" borderId="8" xfId="0" applyFont="1" applyBorder="1" applyAlignment="1">
      <alignment horizontal="center" vertical="center" wrapText="1"/>
    </xf>
    <xf numFmtId="176" fontId="4" fillId="0" borderId="8" xfId="0" applyFont="1" applyBorder="1" applyAlignment="1">
      <alignment horizontal="left" vertical="center"/>
    </xf>
    <xf numFmtId="49" fontId="5" fillId="0" borderId="8" xfId="0" applyNumberFormat="1" applyFont="1" applyBorder="1" applyAlignment="1">
      <alignment horizontal="center" vertical="center" wrapText="1"/>
    </xf>
    <xf numFmtId="176" fontId="5" fillId="0" borderId="8" xfId="0" applyFont="1" applyBorder="1" applyAlignment="1">
      <alignment horizontal="center" vertical="center"/>
    </xf>
    <xf numFmtId="0" fontId="5" fillId="0" borderId="4" xfId="0" applyNumberFormat="1" applyFont="1" applyBorder="1" applyAlignment="1">
      <alignment horizontal="left" vertical="center" wrapText="1"/>
    </xf>
    <xf numFmtId="176" fontId="5" fillId="0" borderId="5" xfId="0" applyFont="1" applyBorder="1" applyAlignment="1">
      <alignment horizontal="center" vertical="center"/>
    </xf>
    <xf numFmtId="176" fontId="5" fillId="0" borderId="5" xfId="0" applyFont="1" applyBorder="1" applyAlignment="1">
      <alignment horizontal="center" vertical="center" wrapText="1"/>
    </xf>
    <xf numFmtId="176" fontId="5" fillId="3" borderId="23" xfId="0" applyFont="1" applyFill="1" applyBorder="1" applyAlignment="1">
      <alignment horizontal="center" vertical="center"/>
    </xf>
    <xf numFmtId="176" fontId="5" fillId="3" borderId="15" xfId="0" applyFont="1" applyFill="1" applyBorder="1" applyAlignment="1">
      <alignment horizontal="center" vertical="center"/>
    </xf>
    <xf numFmtId="176" fontId="5" fillId="3" borderId="24" xfId="0" applyFont="1" applyFill="1" applyBorder="1" applyAlignment="1">
      <alignment horizontal="center" vertical="center"/>
    </xf>
    <xf numFmtId="176" fontId="5" fillId="3" borderId="5" xfId="0" applyFont="1" applyFill="1" applyBorder="1" applyAlignment="1">
      <alignment horizontal="center" vertical="center"/>
    </xf>
    <xf numFmtId="9" fontId="5" fillId="3" borderId="8" xfId="0" applyNumberFormat="1" applyFont="1" applyFill="1" applyBorder="1" applyAlignment="1">
      <alignment vertical="center"/>
    </xf>
    <xf numFmtId="176" fontId="5" fillId="3" borderId="8" xfId="0" applyFont="1" applyFill="1" applyBorder="1" applyAlignment="1">
      <alignment vertical="center"/>
    </xf>
    <xf numFmtId="177" fontId="5" fillId="3" borderId="8" xfId="0" applyNumberFormat="1" applyFont="1" applyFill="1" applyBorder="1" applyAlignment="1">
      <alignment horizontal="center" vertical="center"/>
    </xf>
    <xf numFmtId="176" fontId="5" fillId="0" borderId="25" xfId="0" applyFont="1" applyBorder="1" applyAlignment="1">
      <alignment horizontal="center" vertical="center"/>
    </xf>
    <xf numFmtId="176" fontId="4" fillId="0" borderId="9" xfId="0" applyFont="1" applyBorder="1" applyAlignment="1">
      <alignment horizontal="left" vertical="center" wrapText="1"/>
    </xf>
    <xf numFmtId="9" fontId="5" fillId="0" borderId="19" xfId="0" applyNumberFormat="1" applyFont="1" applyBorder="1" applyAlignment="1">
      <alignment horizontal="center" vertical="center"/>
    </xf>
    <xf numFmtId="176" fontId="5" fillId="0" borderId="17" xfId="0" applyFont="1" applyBorder="1" applyAlignment="1">
      <alignment horizontal="center" vertical="center"/>
    </xf>
    <xf numFmtId="176" fontId="4" fillId="0" borderId="8" xfId="0" applyFont="1" applyBorder="1" applyAlignment="1">
      <alignment vertical="center"/>
    </xf>
    <xf numFmtId="176" fontId="5" fillId="0" borderId="26" xfId="0" applyFont="1" applyBorder="1" applyAlignment="1">
      <alignment horizontal="left" vertical="center" wrapText="1"/>
    </xf>
    <xf numFmtId="176" fontId="5" fillId="0" borderId="19" xfId="0" applyFont="1" applyBorder="1" applyAlignment="1">
      <alignment horizontal="center" vertical="center" wrapText="1"/>
    </xf>
    <xf numFmtId="176" fontId="5" fillId="0" borderId="3" xfId="0" applyFont="1" applyBorder="1" applyAlignment="1">
      <alignment horizontal="left" vertical="center" wrapText="1"/>
    </xf>
    <xf numFmtId="176" fontId="5" fillId="0" borderId="27" xfId="0" applyFont="1" applyBorder="1" applyAlignment="1">
      <alignment horizontal="left" vertical="center" wrapText="1"/>
    </xf>
    <xf numFmtId="176" fontId="5" fillId="3" borderId="8" xfId="0" applyFont="1" applyFill="1" applyBorder="1" applyAlignment="1">
      <alignment horizontal="center" vertical="center"/>
    </xf>
    <xf numFmtId="0" fontId="5" fillId="0" borderId="8" xfId="0" applyNumberFormat="1" applyFont="1" applyBorder="1" applyAlignment="1">
      <alignment vertical="center" wrapText="1"/>
    </xf>
    <xf numFmtId="9" fontId="5" fillId="0" borderId="8" xfId="0" applyNumberFormat="1" applyFont="1" applyBorder="1" applyAlignment="1">
      <alignment horizontal="center" vertical="center"/>
    </xf>
    <xf numFmtId="0" fontId="5" fillId="0" borderId="26" xfId="0" applyNumberFormat="1" applyFont="1" applyBorder="1" applyAlignment="1">
      <alignment horizontal="left" vertical="center" wrapText="1"/>
    </xf>
    <xf numFmtId="0" fontId="5" fillId="0" borderId="3" xfId="0" applyNumberFormat="1" applyFont="1" applyBorder="1" applyAlignment="1">
      <alignment horizontal="left" vertical="center" wrapText="1"/>
    </xf>
    <xf numFmtId="0" fontId="5" fillId="0" borderId="27" xfId="0" applyNumberFormat="1" applyFont="1" applyBorder="1" applyAlignment="1">
      <alignment horizontal="left" vertical="center" wrapText="1"/>
    </xf>
    <xf numFmtId="0" fontId="5" fillId="0" borderId="8" xfId="0" applyNumberFormat="1" applyFont="1" applyBorder="1" applyAlignment="1">
      <alignment vertical="center"/>
    </xf>
    <xf numFmtId="176" fontId="2" fillId="0" borderId="1" xfId="0" applyFont="1" applyBorder="1" applyAlignment="1">
      <alignment horizontal="center" vertical="center" wrapText="1"/>
    </xf>
    <xf numFmtId="176" fontId="4" fillId="0" borderId="1" xfId="0" applyFont="1" applyBorder="1" applyAlignment="1">
      <alignment horizontal="left" vertical="center"/>
    </xf>
    <xf numFmtId="49" fontId="5" fillId="0" borderId="1" xfId="0" applyNumberFormat="1" applyFont="1" applyBorder="1" applyAlignment="1">
      <alignment horizontal="center" vertical="center" wrapText="1"/>
    </xf>
    <xf numFmtId="176" fontId="5" fillId="0" borderId="1" xfId="0" applyFont="1" applyBorder="1" applyAlignment="1">
      <alignment horizontal="center" vertical="center" wrapText="1"/>
    </xf>
    <xf numFmtId="176" fontId="5" fillId="0" borderId="1" xfId="0" applyFont="1" applyBorder="1" applyAlignment="1">
      <alignment horizontal="center" vertical="center"/>
    </xf>
    <xf numFmtId="176" fontId="5" fillId="0" borderId="2" xfId="0" applyFont="1" applyBorder="1" applyAlignment="1">
      <alignment horizontal="left" vertical="center" wrapText="1"/>
    </xf>
    <xf numFmtId="176" fontId="5" fillId="0" borderId="1" xfId="0" applyFont="1" applyBorder="1" applyAlignment="1">
      <alignment vertical="center"/>
    </xf>
    <xf numFmtId="176" fontId="5" fillId="0" borderId="4" xfId="0" applyFont="1" applyBorder="1" applyAlignment="1">
      <alignment horizontal="left" vertical="center" wrapText="1"/>
    </xf>
    <xf numFmtId="176" fontId="5" fillId="3" borderId="14" xfId="0" applyFont="1" applyFill="1" applyBorder="1" applyAlignment="1">
      <alignment horizontal="center" vertical="center"/>
    </xf>
    <xf numFmtId="176" fontId="5" fillId="3" borderId="16" xfId="0" applyFont="1" applyFill="1" applyBorder="1" applyAlignment="1">
      <alignment horizontal="center" vertical="center"/>
    </xf>
    <xf numFmtId="176" fontId="5" fillId="3" borderId="1" xfId="0" applyFont="1" applyFill="1" applyBorder="1" applyAlignment="1">
      <alignment vertical="center"/>
    </xf>
    <xf numFmtId="176" fontId="5" fillId="0" borderId="1" xfId="0" applyFont="1" applyBorder="1" applyAlignment="1">
      <alignment horizontal="left" vertical="center" wrapText="1"/>
    </xf>
    <xf numFmtId="0" fontId="5" fillId="0" borderId="1" xfId="0" applyNumberFormat="1" applyFont="1" applyBorder="1" applyAlignment="1">
      <alignment vertical="center"/>
    </xf>
    <xf numFmtId="0" fontId="5" fillId="0" borderId="1" xfId="0" applyNumberFormat="1" applyFont="1" applyFill="1" applyBorder="1" applyAlignment="1">
      <alignment vertical="center" wrapText="1"/>
    </xf>
    <xf numFmtId="9" fontId="5" fillId="0" borderId="1" xfId="0" applyNumberFormat="1" applyFont="1" applyFill="1" applyBorder="1" applyAlignment="1" applyProtection="1">
      <alignment horizontal="center" vertical="center" wrapText="1"/>
    </xf>
    <xf numFmtId="0" fontId="5" fillId="0" borderId="1" xfId="0" applyNumberFormat="1" applyFont="1" applyFill="1" applyBorder="1" applyAlignment="1">
      <alignment vertical="top" wrapText="1"/>
    </xf>
    <xf numFmtId="0" fontId="4" fillId="3" borderId="1" xfId="0" applyNumberFormat="1" applyFont="1" applyFill="1" applyBorder="1" applyAlignment="1">
      <alignment horizontal="center" vertical="center"/>
    </xf>
    <xf numFmtId="0" fontId="3" fillId="0" borderId="1" xfId="0" applyNumberFormat="1" applyFont="1" applyFill="1" applyBorder="1" applyAlignment="1">
      <alignment horizontal="left" vertical="center" wrapText="1"/>
    </xf>
    <xf numFmtId="0" fontId="3" fillId="2" borderId="1" xfId="0" applyNumberFormat="1" applyFont="1" applyFill="1" applyBorder="1" applyAlignment="1">
      <alignment horizontal="center" vertical="center" wrapText="1"/>
    </xf>
    <xf numFmtId="9" fontId="3" fillId="0" borderId="1" xfId="0" applyNumberFormat="1" applyFont="1" applyFill="1" applyBorder="1" applyAlignment="1">
      <alignment horizontal="center" vertical="center" wrapText="1"/>
    </xf>
    <xf numFmtId="0" fontId="3" fillId="0" borderId="1" xfId="0" applyNumberFormat="1" applyFont="1" applyFill="1" applyBorder="1" applyAlignment="1">
      <alignment horizontal="center" vertical="center"/>
    </xf>
    <xf numFmtId="177" fontId="20" fillId="0" borderId="1" xfId="0" applyNumberFormat="1" applyFont="1" applyFill="1" applyBorder="1" applyAlignment="1">
      <alignment horizontal="center" vertical="center"/>
    </xf>
    <xf numFmtId="177" fontId="3" fillId="0" borderId="1" xfId="0" applyNumberFormat="1" applyFont="1" applyFill="1" applyBorder="1" applyAlignment="1">
      <alignment horizontal="center" vertical="center"/>
    </xf>
    <xf numFmtId="0" fontId="5" fillId="2" borderId="2" xfId="0" applyNumberFormat="1" applyFont="1" applyFill="1" applyBorder="1" applyAlignment="1">
      <alignment horizontal="center" vertical="center" wrapText="1"/>
    </xf>
    <xf numFmtId="0" fontId="2" fillId="0" borderId="3" xfId="0" applyNumberFormat="1" applyFont="1" applyFill="1" applyBorder="1" applyAlignment="1">
      <alignment horizontal="center" vertical="center"/>
    </xf>
    <xf numFmtId="0" fontId="2" fillId="0" borderId="4" xfId="0" applyNumberFormat="1" applyFont="1" applyFill="1" applyBorder="1" applyAlignment="1">
      <alignment horizontal="center" vertical="center"/>
    </xf>
    <xf numFmtId="0" fontId="2" fillId="0" borderId="2" xfId="0" applyNumberFormat="1" applyFont="1" applyFill="1" applyBorder="1" applyAlignment="1">
      <alignment horizontal="center" vertical="center"/>
    </xf>
    <xf numFmtId="0" fontId="5" fillId="2" borderId="2" xfId="0" applyNumberFormat="1" applyFont="1" applyFill="1" applyBorder="1" applyAlignment="1">
      <alignment horizontal="left" vertical="center" wrapText="1"/>
    </xf>
    <xf numFmtId="0" fontId="5" fillId="2" borderId="4" xfId="0" applyNumberFormat="1" applyFont="1" applyFill="1" applyBorder="1" applyAlignment="1">
      <alignment horizontal="left" vertical="center" wrapText="1"/>
    </xf>
    <xf numFmtId="0" fontId="5" fillId="2" borderId="1" xfId="0" applyNumberFormat="1" applyFont="1" applyFill="1" applyBorder="1" applyAlignment="1">
      <alignment horizontal="left" vertical="center" wrapText="1"/>
    </xf>
    <xf numFmtId="0" fontId="5" fillId="2" borderId="1" xfId="0" applyNumberFormat="1" applyFont="1" applyFill="1" applyBorder="1" applyAlignment="1">
      <alignment horizontal="center" vertical="center"/>
    </xf>
    <xf numFmtId="9" fontId="5" fillId="2" borderId="1" xfId="0" applyNumberFormat="1" applyFont="1" applyFill="1" applyBorder="1" applyAlignment="1">
      <alignment horizontal="center" vertical="center"/>
    </xf>
    <xf numFmtId="0" fontId="5" fillId="2" borderId="1" xfId="0" applyNumberFormat="1" applyFont="1" applyFill="1" applyBorder="1" applyAlignment="1">
      <alignment vertical="center"/>
    </xf>
    <xf numFmtId="177" fontId="5" fillId="2" borderId="1" xfId="0" applyNumberFormat="1" applyFont="1" applyFill="1" applyBorder="1" applyAlignment="1">
      <alignment horizontal="center" vertical="center"/>
    </xf>
    <xf numFmtId="0" fontId="21" fillId="0" borderId="2" xfId="0" applyNumberFormat="1" applyFont="1" applyFill="1" applyBorder="1" applyAlignment="1">
      <alignment horizontal="center" vertical="center" wrapText="1"/>
    </xf>
    <xf numFmtId="0" fontId="22" fillId="0" borderId="2" xfId="0" applyNumberFormat="1" applyFont="1" applyFill="1" applyBorder="1" applyAlignment="1">
      <alignment horizontal="center" vertical="center"/>
    </xf>
    <xf numFmtId="9" fontId="3" fillId="0" borderId="2" xfId="0" applyNumberFormat="1" applyFont="1" applyFill="1" applyBorder="1" applyAlignment="1">
      <alignment horizontal="center" vertical="center" wrapText="1"/>
    </xf>
    <xf numFmtId="0" fontId="3" fillId="0" borderId="2" xfId="0" applyNumberFormat="1" applyFont="1" applyFill="1" applyBorder="1" applyAlignment="1">
      <alignment horizontal="center" vertical="center" wrapText="1"/>
    </xf>
    <xf numFmtId="0" fontId="3" fillId="0" borderId="2" xfId="0" applyNumberFormat="1" applyFont="1" applyFill="1" applyBorder="1" applyAlignment="1">
      <alignment horizontal="center" vertical="center"/>
    </xf>
    <xf numFmtId="0" fontId="3" fillId="0" borderId="1" xfId="0" applyNumberFormat="1" applyFont="1" applyFill="1" applyBorder="1" applyAlignment="1">
      <alignment horizontal="center" vertical="center" wrapText="1"/>
    </xf>
    <xf numFmtId="0" fontId="21" fillId="0" borderId="3" xfId="0" applyNumberFormat="1" applyFont="1" applyFill="1" applyBorder="1" applyAlignment="1">
      <alignment horizontal="center" vertical="center" wrapText="1"/>
    </xf>
    <xf numFmtId="0" fontId="22" fillId="0" borderId="3" xfId="0" applyNumberFormat="1" applyFont="1" applyFill="1" applyBorder="1" applyAlignment="1">
      <alignment horizontal="center" vertical="center"/>
    </xf>
    <xf numFmtId="9" fontId="3" fillId="0" borderId="3" xfId="0" applyNumberFormat="1" applyFont="1" applyFill="1" applyBorder="1" applyAlignment="1">
      <alignment horizontal="center" vertical="center" wrapText="1"/>
    </xf>
    <xf numFmtId="0" fontId="3" fillId="0" borderId="3" xfId="0" applyNumberFormat="1" applyFont="1" applyFill="1" applyBorder="1" applyAlignment="1">
      <alignment horizontal="center" vertical="center" wrapText="1"/>
    </xf>
    <xf numFmtId="0" fontId="3" fillId="0" borderId="3" xfId="0" applyNumberFormat="1" applyFont="1" applyFill="1" applyBorder="1" applyAlignment="1">
      <alignment horizontal="center" vertical="center"/>
    </xf>
    <xf numFmtId="0" fontId="3" fillId="0" borderId="4" xfId="0" applyNumberFormat="1" applyFont="1" applyFill="1" applyBorder="1" applyAlignment="1">
      <alignment horizontal="center" vertical="center"/>
    </xf>
    <xf numFmtId="0" fontId="21" fillId="0" borderId="4" xfId="0" applyNumberFormat="1" applyFont="1" applyFill="1" applyBorder="1" applyAlignment="1">
      <alignment horizontal="center" vertical="center" wrapText="1"/>
    </xf>
    <xf numFmtId="0" fontId="22" fillId="0" borderId="4" xfId="0" applyNumberFormat="1" applyFont="1" applyFill="1" applyBorder="1" applyAlignment="1">
      <alignment horizontal="center" vertical="center"/>
    </xf>
    <xf numFmtId="9" fontId="3" fillId="0" borderId="4" xfId="0" applyNumberFormat="1" applyFont="1" applyFill="1" applyBorder="1" applyAlignment="1">
      <alignment horizontal="center" vertical="center" wrapText="1"/>
    </xf>
    <xf numFmtId="0" fontId="3" fillId="0" borderId="4" xfId="0" applyNumberFormat="1" applyFont="1" applyFill="1" applyBorder="1" applyAlignment="1">
      <alignment horizontal="center" vertical="center" wrapText="1"/>
    </xf>
    <xf numFmtId="0" fontId="3" fillId="3" borderId="1" xfId="0" applyNumberFormat="1" applyFont="1" applyFill="1" applyBorder="1" applyAlignment="1">
      <alignment horizontal="center" vertical="center"/>
    </xf>
    <xf numFmtId="9" fontId="3" fillId="3" borderId="1" xfId="0" applyNumberFormat="1" applyFont="1" applyFill="1" applyBorder="1" applyAlignment="1">
      <alignment vertical="center"/>
    </xf>
    <xf numFmtId="0" fontId="3" fillId="3" borderId="1" xfId="0" applyNumberFormat="1" applyFont="1" applyFill="1" applyBorder="1" applyAlignment="1">
      <alignment vertical="center"/>
    </xf>
    <xf numFmtId="177" fontId="3" fillId="3" borderId="1" xfId="0" applyNumberFormat="1" applyFont="1" applyFill="1" applyBorder="1" applyAlignment="1">
      <alignment horizontal="center" vertical="center"/>
    </xf>
    <xf numFmtId="0" fontId="0" fillId="0" borderId="0" xfId="0" applyNumberFormat="1"/>
    <xf numFmtId="9" fontId="0" fillId="0" borderId="0" xfId="0" applyNumberFormat="1"/>
    <xf numFmtId="49" fontId="0" fillId="0" borderId="0" xfId="0" applyNumberFormat="1"/>
    <xf numFmtId="176" fontId="23" fillId="5" borderId="1" xfId="0" applyFont="1" applyFill="1" applyBorder="1" applyAlignment="1">
      <alignment horizontal="center" vertical="center"/>
    </xf>
    <xf numFmtId="0" fontId="24" fillId="5" borderId="1" xfId="0" applyNumberFormat="1" applyFont="1" applyFill="1" applyBorder="1" applyAlignment="1">
      <alignment horizontal="center" vertical="center"/>
    </xf>
    <xf numFmtId="176" fontId="24" fillId="5" borderId="1" xfId="0" applyFont="1" applyFill="1" applyBorder="1" applyAlignment="1">
      <alignment horizontal="center" vertical="center"/>
    </xf>
    <xf numFmtId="9" fontId="24" fillId="5" borderId="1" xfId="0" applyNumberFormat="1" applyFont="1" applyFill="1" applyBorder="1" applyAlignment="1">
      <alignment horizontal="center" vertical="center"/>
    </xf>
    <xf numFmtId="0" fontId="24" fillId="5" borderId="1" xfId="0" applyNumberFormat="1" applyFont="1" applyFill="1" applyBorder="1" applyAlignment="1">
      <alignment horizontal="center" vertical="center" wrapText="1"/>
    </xf>
    <xf numFmtId="49" fontId="24" fillId="5" borderId="1" xfId="0" applyNumberFormat="1" applyFont="1" applyFill="1" applyBorder="1" applyAlignment="1">
      <alignment horizontal="center" vertical="center" wrapText="1"/>
    </xf>
    <xf numFmtId="176" fontId="24" fillId="5" borderId="1" xfId="0" applyFont="1" applyFill="1" applyBorder="1" applyAlignment="1">
      <alignment horizontal="center" vertical="center" wrapText="1"/>
    </xf>
    <xf numFmtId="0" fontId="25" fillId="0" borderId="1" xfId="0" applyNumberFormat="1" applyFont="1" applyBorder="1" applyAlignment="1">
      <alignment horizontal="center" vertical="center"/>
    </xf>
    <xf numFmtId="176" fontId="25" fillId="0" borderId="2" xfId="0" applyFont="1" applyBorder="1" applyAlignment="1">
      <alignment horizontal="center" vertical="center" wrapText="1"/>
    </xf>
    <xf numFmtId="176" fontId="25" fillId="0" borderId="1" xfId="0" applyFont="1" applyBorder="1" applyAlignment="1">
      <alignment horizontal="center" vertical="center" wrapText="1"/>
    </xf>
    <xf numFmtId="176" fontId="25" fillId="0" borderId="1" xfId="0" applyFont="1" applyBorder="1" applyAlignment="1">
      <alignment vertical="center"/>
    </xf>
    <xf numFmtId="176" fontId="25" fillId="0" borderId="1" xfId="0" applyFont="1" applyBorder="1" applyAlignment="1">
      <alignment horizontal="center" vertical="center"/>
    </xf>
    <xf numFmtId="9" fontId="25" fillId="0" borderId="1" xfId="0" applyNumberFormat="1" applyFont="1" applyBorder="1" applyAlignment="1">
      <alignment horizontal="center" vertical="center"/>
    </xf>
    <xf numFmtId="0" fontId="25" fillId="0" borderId="1" xfId="0" applyNumberFormat="1" applyFont="1" applyBorder="1" applyAlignment="1">
      <alignment horizontal="center" vertical="center" wrapText="1"/>
    </xf>
    <xf numFmtId="0" fontId="25" fillId="0" borderId="1" xfId="0" applyNumberFormat="1" applyFont="1" applyFill="1" applyBorder="1" applyAlignment="1">
      <alignment horizontal="center" vertical="center"/>
    </xf>
    <xf numFmtId="0" fontId="25" fillId="0" borderId="1" xfId="0" applyNumberFormat="1" applyFont="1" applyFill="1" applyBorder="1" applyAlignment="1">
      <alignment horizontal="center" vertical="center" wrapText="1"/>
    </xf>
    <xf numFmtId="176" fontId="25" fillId="0" borderId="1" xfId="0" applyFont="1" applyBorder="1" applyAlignment="1">
      <alignment vertical="center" wrapText="1"/>
    </xf>
    <xf numFmtId="176" fontId="25" fillId="0" borderId="3" xfId="0" applyFont="1" applyBorder="1" applyAlignment="1">
      <alignment horizontal="center" vertical="center"/>
    </xf>
    <xf numFmtId="9" fontId="25" fillId="0" borderId="1" xfId="0" applyNumberFormat="1" applyFont="1" applyFill="1" applyBorder="1" applyAlignment="1" applyProtection="1">
      <alignment horizontal="center" vertical="center"/>
    </xf>
    <xf numFmtId="176" fontId="25" fillId="0" borderId="1" xfId="0" applyFont="1" applyFill="1" applyBorder="1" applyAlignment="1">
      <alignment horizontal="center" vertical="center" wrapText="1"/>
    </xf>
    <xf numFmtId="176" fontId="25" fillId="0" borderId="1" xfId="0" applyFont="1" applyFill="1" applyBorder="1" applyAlignment="1">
      <alignment horizontal="center" vertical="center"/>
    </xf>
    <xf numFmtId="176" fontId="25" fillId="6" borderId="1" xfId="0" applyFont="1" applyFill="1" applyBorder="1" applyAlignment="1">
      <alignment horizontal="center" vertical="center"/>
    </xf>
    <xf numFmtId="9" fontId="25" fillId="0" borderId="1" xfId="0" applyNumberFormat="1" applyFont="1" applyFill="1" applyBorder="1" applyAlignment="1">
      <alignment horizontal="center" vertical="center"/>
    </xf>
    <xf numFmtId="176" fontId="25" fillId="6" borderId="1" xfId="0" applyFont="1" applyFill="1" applyBorder="1" applyAlignment="1">
      <alignment horizontal="center" vertical="center" wrapText="1"/>
    </xf>
    <xf numFmtId="176" fontId="25" fillId="0" borderId="1" xfId="0" applyFont="1" applyFill="1" applyBorder="1" applyAlignment="1">
      <alignment vertical="center"/>
    </xf>
    <xf numFmtId="0" fontId="26" fillId="0" borderId="1" xfId="0" applyNumberFormat="1" applyFont="1" applyFill="1" applyBorder="1" applyAlignment="1">
      <alignment horizontal="center" vertical="center"/>
    </xf>
    <xf numFmtId="176" fontId="25" fillId="0" borderId="3" xfId="0" applyFont="1" applyBorder="1" applyAlignment="1">
      <alignment horizontal="center" vertical="center" wrapText="1"/>
    </xf>
    <xf numFmtId="0" fontId="27" fillId="0" borderId="1" xfId="0" applyNumberFormat="1" applyFont="1" applyFill="1" applyBorder="1" applyAlignment="1">
      <alignment horizontal="center" vertical="center"/>
    </xf>
    <xf numFmtId="49" fontId="27" fillId="0" borderId="1" xfId="0" applyNumberFormat="1" applyFont="1" applyFill="1" applyBorder="1" applyAlignment="1">
      <alignment horizontal="center" vertical="center" wrapText="1"/>
    </xf>
    <xf numFmtId="49" fontId="25" fillId="0" borderId="1" xfId="0" applyNumberFormat="1" applyFont="1" applyFill="1" applyBorder="1" applyAlignment="1">
      <alignment horizontal="center" vertical="center" wrapText="1"/>
    </xf>
    <xf numFmtId="176" fontId="26" fillId="6" borderId="1" xfId="0" applyFont="1" applyFill="1" applyBorder="1" applyAlignment="1">
      <alignment horizontal="center" vertical="center"/>
    </xf>
    <xf numFmtId="0" fontId="25" fillId="0" borderId="28" xfId="0" applyNumberFormat="1" applyFont="1" applyBorder="1" applyAlignment="1">
      <alignment horizontal="center" vertical="center"/>
    </xf>
    <xf numFmtId="176" fontId="25" fillId="0" borderId="29" xfId="0" applyFont="1" applyBorder="1" applyAlignment="1">
      <alignment horizontal="center" vertical="center"/>
    </xf>
    <xf numFmtId="176" fontId="25" fillId="0" borderId="28" xfId="0" applyFont="1" applyBorder="1" applyAlignment="1">
      <alignment horizontal="center" vertical="center"/>
    </xf>
    <xf numFmtId="176" fontId="25" fillId="5" borderId="28" xfId="0" applyFont="1" applyFill="1" applyBorder="1" applyAlignment="1">
      <alignment horizontal="center" vertical="center"/>
    </xf>
    <xf numFmtId="0" fontId="25" fillId="5" borderId="28" xfId="0" applyNumberFormat="1" applyFont="1" applyFill="1" applyBorder="1" applyAlignment="1">
      <alignment horizontal="center" vertical="center"/>
    </xf>
    <xf numFmtId="0" fontId="26" fillId="5" borderId="28" xfId="0" applyNumberFormat="1" applyFont="1" applyFill="1" applyBorder="1" applyAlignment="1">
      <alignment horizontal="center" vertical="center"/>
    </xf>
    <xf numFmtId="176" fontId="25" fillId="5" borderId="28" xfId="0" applyFont="1" applyFill="1" applyBorder="1" applyAlignment="1">
      <alignment horizontal="center" vertical="center" wrapText="1"/>
    </xf>
    <xf numFmtId="9" fontId="25" fillId="5" borderId="28" xfId="0" applyNumberFormat="1" applyFont="1" applyFill="1" applyBorder="1" applyAlignment="1">
      <alignment horizontal="center" vertical="center"/>
    </xf>
    <xf numFmtId="176" fontId="25" fillId="0" borderId="28" xfId="0" applyFont="1" applyBorder="1" applyAlignment="1">
      <alignment horizontal="center" vertical="center" wrapText="1"/>
    </xf>
    <xf numFmtId="0" fontId="25" fillId="0" borderId="4" xfId="0" applyNumberFormat="1" applyFont="1" applyBorder="1" applyAlignment="1">
      <alignment horizontal="center" vertical="center"/>
    </xf>
    <xf numFmtId="0" fontId="25" fillId="0" borderId="4" xfId="0" applyNumberFormat="1" applyFont="1" applyFill="1" applyBorder="1" applyAlignment="1">
      <alignment horizontal="center" vertical="center"/>
    </xf>
    <xf numFmtId="176" fontId="25" fillId="0" borderId="4" xfId="0" applyFont="1" applyFill="1" applyBorder="1" applyAlignment="1">
      <alignment vertical="center"/>
    </xf>
    <xf numFmtId="176" fontId="25" fillId="0" borderId="4" xfId="0" applyFont="1" applyFill="1" applyBorder="1" applyAlignment="1">
      <alignment horizontal="center" vertical="center"/>
    </xf>
    <xf numFmtId="9" fontId="25" fillId="0" borderId="4" xfId="0" applyNumberFormat="1" applyFont="1" applyFill="1" applyBorder="1" applyAlignment="1">
      <alignment horizontal="center" vertical="center"/>
    </xf>
    <xf numFmtId="0" fontId="25" fillId="0" borderId="4" xfId="0" applyNumberFormat="1" applyFont="1" applyFill="1" applyBorder="1" applyAlignment="1">
      <alignment horizontal="center" vertical="center" wrapText="1"/>
    </xf>
    <xf numFmtId="0" fontId="26" fillId="0" borderId="4" xfId="0" applyNumberFormat="1" applyFont="1" applyFill="1" applyBorder="1" applyAlignment="1">
      <alignment horizontal="center" vertical="center"/>
    </xf>
    <xf numFmtId="176" fontId="28" fillId="0" borderId="4" xfId="0" applyFont="1" applyFill="1" applyBorder="1" applyAlignment="1">
      <alignment vertical="center" wrapText="1"/>
    </xf>
    <xf numFmtId="0" fontId="25" fillId="0" borderId="2" xfId="0" applyNumberFormat="1" applyFont="1" applyFill="1" applyBorder="1" applyAlignment="1">
      <alignment horizontal="center" vertical="center"/>
    </xf>
    <xf numFmtId="0" fontId="25" fillId="0" borderId="2" xfId="0" applyNumberFormat="1" applyFont="1" applyBorder="1" applyAlignment="1">
      <alignment horizontal="center" vertical="center"/>
    </xf>
    <xf numFmtId="176" fontId="25" fillId="0" borderId="2" xfId="0" applyFont="1" applyBorder="1" applyAlignment="1">
      <alignment vertical="center"/>
    </xf>
    <xf numFmtId="176" fontId="25" fillId="0" borderId="2" xfId="0" applyFont="1" applyBorder="1" applyAlignment="1">
      <alignment horizontal="center" vertical="center"/>
    </xf>
    <xf numFmtId="9" fontId="25" fillId="0" borderId="2" xfId="0" applyNumberFormat="1" applyFont="1" applyBorder="1" applyAlignment="1">
      <alignment horizontal="center" vertical="center"/>
    </xf>
    <xf numFmtId="0" fontId="25" fillId="0" borderId="2" xfId="0" applyNumberFormat="1" applyFont="1" applyBorder="1" applyAlignment="1">
      <alignment horizontal="center" vertical="center" wrapText="1"/>
    </xf>
    <xf numFmtId="176" fontId="25" fillId="0" borderId="2" xfId="0" applyFont="1" applyBorder="1" applyAlignment="1">
      <alignment vertical="center" wrapText="1"/>
    </xf>
    <xf numFmtId="176" fontId="25" fillId="0" borderId="2" xfId="0" applyFont="1" applyFill="1" applyBorder="1" applyAlignment="1">
      <alignment horizontal="center" vertical="center"/>
    </xf>
    <xf numFmtId="176" fontId="25" fillId="0" borderId="29" xfId="0" applyFont="1" applyBorder="1" applyAlignment="1">
      <alignment horizontal="center" vertical="center" wrapText="1"/>
    </xf>
    <xf numFmtId="176" fontId="25" fillId="0" borderId="4" xfId="0" applyFont="1" applyBorder="1" applyAlignment="1">
      <alignment horizontal="center" vertical="center" wrapText="1"/>
    </xf>
    <xf numFmtId="176" fontId="25" fillId="0" borderId="4" xfId="0" applyFont="1" applyBorder="1" applyAlignment="1">
      <alignment vertical="center"/>
    </xf>
    <xf numFmtId="176" fontId="25" fillId="0" borderId="4" xfId="0" applyFont="1" applyFill="1" applyBorder="1" applyAlignment="1">
      <alignment horizontal="center" vertical="center" wrapText="1"/>
    </xf>
    <xf numFmtId="176" fontId="25" fillId="3" borderId="4" xfId="0" applyFont="1" applyFill="1" applyBorder="1" applyAlignment="1">
      <alignment horizontal="center" vertical="center"/>
    </xf>
    <xf numFmtId="176" fontId="25" fillId="0" borderId="4" xfId="0" applyFont="1" applyFill="1" applyBorder="1" applyAlignment="1">
      <alignment vertical="center" wrapText="1"/>
    </xf>
    <xf numFmtId="176" fontId="28" fillId="0" borderId="1" xfId="0" applyFont="1" applyFill="1" applyBorder="1" applyAlignment="1">
      <alignment vertical="center" wrapText="1"/>
    </xf>
    <xf numFmtId="0" fontId="25" fillId="0" borderId="14" xfId="0" applyNumberFormat="1" applyFont="1" applyFill="1" applyBorder="1" applyAlignment="1">
      <alignment horizontal="center" vertical="center"/>
    </xf>
    <xf numFmtId="0" fontId="25" fillId="0" borderId="16" xfId="0" applyNumberFormat="1" applyFont="1" applyFill="1" applyBorder="1" applyAlignment="1">
      <alignment horizontal="center" vertical="center"/>
    </xf>
    <xf numFmtId="176" fontId="25" fillId="0" borderId="4" xfId="0" applyFont="1" applyBorder="1" applyAlignment="1">
      <alignment horizontal="center" vertical="center"/>
    </xf>
    <xf numFmtId="9" fontId="25" fillId="0" borderId="4" xfId="0" applyNumberFormat="1" applyFont="1" applyBorder="1" applyAlignment="1">
      <alignment horizontal="center" vertical="center"/>
    </xf>
    <xf numFmtId="49" fontId="25" fillId="0" borderId="4" xfId="0" applyNumberFormat="1" applyFont="1" applyFill="1" applyBorder="1" applyAlignment="1">
      <alignment horizontal="center" vertical="center" wrapText="1"/>
    </xf>
    <xf numFmtId="176" fontId="25" fillId="0" borderId="4" xfId="0" applyFont="1" applyBorder="1" applyAlignment="1">
      <alignment vertical="center" wrapText="1"/>
    </xf>
    <xf numFmtId="0" fontId="25" fillId="0" borderId="3" xfId="0" applyNumberFormat="1" applyFont="1" applyBorder="1" applyAlignment="1">
      <alignment horizontal="center" vertical="center"/>
    </xf>
    <xf numFmtId="176" fontId="25" fillId="0" borderId="3" xfId="0" applyFont="1" applyBorder="1" applyAlignment="1">
      <alignment vertical="center" wrapText="1"/>
    </xf>
    <xf numFmtId="176" fontId="25" fillId="0" borderId="3" xfId="0" applyFont="1" applyBorder="1" applyAlignment="1">
      <alignment vertical="center"/>
    </xf>
    <xf numFmtId="0" fontId="25" fillId="0" borderId="0" xfId="0" applyNumberFormat="1" applyFont="1" applyAlignment="1">
      <alignment horizontal="center" vertical="center"/>
    </xf>
    <xf numFmtId="176" fontId="25" fillId="0" borderId="0" xfId="0" applyFont="1" applyAlignment="1">
      <alignment horizontal="center" vertical="center"/>
    </xf>
    <xf numFmtId="176" fontId="25" fillId="0" borderId="0" xfId="0" applyFont="1" applyAlignment="1">
      <alignment vertical="center"/>
    </xf>
    <xf numFmtId="0" fontId="25" fillId="0" borderId="0" xfId="0" applyNumberFormat="1" applyFont="1" applyAlignment="1">
      <alignment vertical="center"/>
    </xf>
    <xf numFmtId="0" fontId="0" fillId="0" borderId="0" xfId="0" applyNumberFormat="1" applyAlignment="1">
      <alignment vertical="center"/>
    </xf>
    <xf numFmtId="176" fontId="0" fillId="0" borderId="0" xfId="0" applyAlignment="1">
      <alignment vertical="center"/>
    </xf>
    <xf numFmtId="0" fontId="5" fillId="0" borderId="2" xfId="0" applyNumberFormat="1" applyFont="1" applyFill="1" applyBorder="1" applyAlignment="1" quotePrefix="1">
      <alignment horizontal="center" vertical="center" wrapText="1"/>
    </xf>
  </cellXfs>
  <cellStyles count="64">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百分比 2" xfId="49"/>
    <cellStyle name="百分比 3" xfId="50"/>
    <cellStyle name="常规 10" xfId="51"/>
    <cellStyle name="常规 11" xfId="52"/>
    <cellStyle name="常规 12" xfId="53"/>
    <cellStyle name="常规 13" xfId="54"/>
    <cellStyle name="常规 14" xfId="55"/>
    <cellStyle name="常规 2" xfId="56"/>
    <cellStyle name="常规 3" xfId="57"/>
    <cellStyle name="常规 4" xfId="58"/>
    <cellStyle name="常规 5" xfId="59"/>
    <cellStyle name="常规 6" xfId="60"/>
    <cellStyle name="常规 7" xfId="61"/>
    <cellStyle name="常规 8" xfId="62"/>
    <cellStyle name="常规 9" xfId="63"/>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3" Type="http://schemas.openxmlformats.org/officeDocument/2006/relationships/styles" Target="styles.xml"/><Relationship Id="rId12" Type="http://schemas.openxmlformats.org/officeDocument/2006/relationships/sharedStrings" Target="sharedStrings.xml"/><Relationship Id="rId11" Type="http://schemas.openxmlformats.org/officeDocument/2006/relationships/theme" Target="theme/theme1.xml"/><Relationship Id="rId10" Type="http://schemas.openxmlformats.org/officeDocument/2006/relationships/externalLink" Target="externalLinks/externalLink1.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xwechat_files\wxid_dpubp73711ka12_dee1\msg\file\2026-05\2025.5.6-2025.5.9&#39033;&#30446;&#21608;&#25253;&#27719;&#24635;-&#27719;&#25151;&#26234;&#36873;&#37096;.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汇房智选部"/>
    </sheetNames>
    <sheetDataSet>
      <sheetData sheetId="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R55"/>
  <sheetViews>
    <sheetView zoomScale="70" zoomScaleNormal="70" workbookViewId="0">
      <pane xSplit="5" ySplit="2" topLeftCell="F3" activePane="bottomRight" state="frozen"/>
      <selection/>
      <selection pane="topRight"/>
      <selection pane="bottomLeft"/>
      <selection pane="bottomRight" activeCell="P41" sqref="P41"/>
    </sheetView>
  </sheetViews>
  <sheetFormatPr defaultColWidth="9" defaultRowHeight="13.8"/>
  <cols>
    <col min="1" max="1" width="7.11111111111111" style="306" customWidth="1"/>
    <col min="2" max="2" width="15.4444444444444" customWidth="1"/>
    <col min="3" max="3" width="14.4444444444444" customWidth="1"/>
    <col min="4" max="4" width="21.8888888888889" style="306" customWidth="1"/>
    <col min="5" max="5" width="41.8888888888889" customWidth="1"/>
    <col min="6" max="6" width="21.2222222222222" customWidth="1"/>
    <col min="7" max="7" width="9.88888888888889" customWidth="1"/>
    <col min="8" max="8" width="11.4444444444444" customWidth="1"/>
    <col min="9" max="9" width="10.8888888888889" customWidth="1"/>
    <col min="10" max="10" width="15.3333333333333" style="307" customWidth="1"/>
    <col min="11" max="11" width="11.3333333333333" style="306" customWidth="1"/>
    <col min="12" max="12" width="20.6296296296296" customWidth="1"/>
    <col min="13" max="13" width="19.7777777777778" style="306" customWidth="1"/>
    <col min="14" max="14" width="20.1574074074074" style="306" customWidth="1"/>
    <col min="15" max="15" width="21.2685185185185" style="308" customWidth="1"/>
    <col min="16" max="16" width="19.2037037037037" customWidth="1"/>
    <col min="17" max="17" width="16.3518518518519" customWidth="1"/>
    <col min="18" max="18" width="85.2314814814815" customWidth="1"/>
  </cols>
  <sheetData>
    <row r="1" ht="37.5" customHeight="1" spans="1:18">
      <c r="A1" s="309" t="s">
        <v>0</v>
      </c>
      <c r="B1" s="309"/>
      <c r="C1" s="309"/>
      <c r="D1" s="309"/>
      <c r="E1" s="309"/>
      <c r="F1" s="309"/>
      <c r="G1" s="309"/>
      <c r="H1" s="309"/>
      <c r="I1" s="309"/>
      <c r="J1" s="309"/>
      <c r="K1" s="309"/>
      <c r="L1" s="309"/>
      <c r="M1" s="309"/>
      <c r="N1" s="309"/>
      <c r="O1" s="309"/>
      <c r="P1" s="309"/>
      <c r="Q1" s="309"/>
      <c r="R1" s="309"/>
    </row>
    <row r="2" ht="30" customHeight="1" spans="1:18">
      <c r="A2" s="310" t="s">
        <v>1</v>
      </c>
      <c r="B2" s="311" t="s">
        <v>2</v>
      </c>
      <c r="C2" s="311" t="s">
        <v>3</v>
      </c>
      <c r="D2" s="310" t="s">
        <v>4</v>
      </c>
      <c r="E2" s="311" t="s">
        <v>5</v>
      </c>
      <c r="F2" s="311" t="s">
        <v>6</v>
      </c>
      <c r="G2" s="311" t="s">
        <v>7</v>
      </c>
      <c r="H2" s="311" t="s">
        <v>8</v>
      </c>
      <c r="I2" s="311" t="s">
        <v>9</v>
      </c>
      <c r="J2" s="312" t="s">
        <v>10</v>
      </c>
      <c r="K2" s="313" t="s">
        <v>11</v>
      </c>
      <c r="L2" s="311" t="s">
        <v>12</v>
      </c>
      <c r="M2" s="310" t="s">
        <v>13</v>
      </c>
      <c r="N2" s="310" t="s">
        <v>14</v>
      </c>
      <c r="O2" s="314" t="s">
        <v>15</v>
      </c>
      <c r="P2" s="315" t="s">
        <v>16</v>
      </c>
      <c r="Q2" s="311" t="s">
        <v>17</v>
      </c>
      <c r="R2" s="311" t="s">
        <v>18</v>
      </c>
    </row>
    <row r="3" ht="35" customHeight="1" spans="1:18">
      <c r="A3" s="316">
        <v>1</v>
      </c>
      <c r="B3" s="317" t="s">
        <v>19</v>
      </c>
      <c r="C3" s="318" t="s">
        <v>20</v>
      </c>
      <c r="D3" s="316">
        <v>22220901</v>
      </c>
      <c r="E3" s="319" t="s">
        <v>21</v>
      </c>
      <c r="F3" s="320" t="s">
        <v>22</v>
      </c>
      <c r="G3" s="320" t="s">
        <v>23</v>
      </c>
      <c r="H3" s="320" t="s">
        <v>24</v>
      </c>
      <c r="I3" s="320" t="s">
        <v>25</v>
      </c>
      <c r="J3" s="321" t="s">
        <v>26</v>
      </c>
      <c r="K3" s="322" t="s">
        <v>27</v>
      </c>
      <c r="L3" s="320"/>
      <c r="M3" s="323">
        <v>9</v>
      </c>
      <c r="N3" s="323">
        <v>12</v>
      </c>
      <c r="O3" s="324" t="str">
        <f>N3-M3&amp;"("&amp;ROUND(((N3-M3)/M3*100),0)&amp;"%)"</f>
        <v>3(33%)</v>
      </c>
      <c r="P3" s="325"/>
      <c r="Q3" s="319"/>
      <c r="R3" s="320"/>
    </row>
    <row r="4" ht="64" customHeight="1" spans="1:18">
      <c r="A4" s="316">
        <v>2</v>
      </c>
      <c r="B4" s="326"/>
      <c r="C4" s="320"/>
      <c r="D4" s="316">
        <v>22250226</v>
      </c>
      <c r="E4" s="319" t="s">
        <v>28</v>
      </c>
      <c r="F4" s="320" t="s">
        <v>22</v>
      </c>
      <c r="G4" s="320" t="s">
        <v>29</v>
      </c>
      <c r="H4" s="320" t="s">
        <v>30</v>
      </c>
      <c r="I4" s="320" t="s">
        <v>25</v>
      </c>
      <c r="J4" s="327">
        <v>0.93</v>
      </c>
      <c r="K4" s="322" t="s">
        <v>31</v>
      </c>
      <c r="L4" s="320"/>
      <c r="M4" s="323">
        <v>9.25</v>
      </c>
      <c r="N4" s="323">
        <v>4</v>
      </c>
      <c r="O4" s="324" t="str">
        <f t="shared" ref="O4:O6" si="0">ROUND(N4-M4,2)&amp;"("&amp;ROUND(((N4-M4)/M4*100),0)&amp;"%)"</f>
        <v>-5.25(-57%)</v>
      </c>
      <c r="P4" s="325"/>
      <c r="Q4" s="319"/>
      <c r="R4" s="328" t="s">
        <v>32</v>
      </c>
    </row>
    <row r="5" ht="32" customHeight="1" spans="1:18">
      <c r="A5" s="316">
        <v>3</v>
      </c>
      <c r="B5" s="326"/>
      <c r="C5" s="320"/>
      <c r="D5" s="316">
        <v>22220202</v>
      </c>
      <c r="E5" s="319" t="s">
        <v>33</v>
      </c>
      <c r="F5" s="320" t="s">
        <v>34</v>
      </c>
      <c r="G5" s="318" t="s">
        <v>35</v>
      </c>
      <c r="H5" s="320" t="s">
        <v>24</v>
      </c>
      <c r="I5" s="320" t="s">
        <v>25</v>
      </c>
      <c r="J5" s="321" t="s">
        <v>26</v>
      </c>
      <c r="K5" s="322" t="s">
        <v>31</v>
      </c>
      <c r="L5" s="325"/>
      <c r="M5" s="323">
        <v>0</v>
      </c>
      <c r="N5" s="323">
        <v>0</v>
      </c>
      <c r="O5" s="324">
        <v>0</v>
      </c>
      <c r="P5" s="318"/>
      <c r="Q5" s="319"/>
      <c r="R5" s="328" t="s">
        <v>36</v>
      </c>
    </row>
    <row r="6" ht="23" customHeight="1" spans="1:18">
      <c r="A6" s="316">
        <v>4</v>
      </c>
      <c r="B6" s="326"/>
      <c r="C6" s="320"/>
      <c r="D6" s="316">
        <v>22220701</v>
      </c>
      <c r="E6" s="319" t="s">
        <v>37</v>
      </c>
      <c r="F6" s="320" t="s">
        <v>34</v>
      </c>
      <c r="G6" s="318" t="s">
        <v>35</v>
      </c>
      <c r="H6" s="320" t="s">
        <v>24</v>
      </c>
      <c r="I6" s="320" t="s">
        <v>25</v>
      </c>
      <c r="J6" s="321" t="s">
        <v>26</v>
      </c>
      <c r="K6" s="322" t="s">
        <v>31</v>
      </c>
      <c r="L6" s="325"/>
      <c r="M6" s="323">
        <v>0</v>
      </c>
      <c r="N6" s="323">
        <v>0</v>
      </c>
      <c r="O6" s="324">
        <v>0</v>
      </c>
      <c r="P6" s="318"/>
      <c r="Q6" s="319"/>
      <c r="R6" s="328" t="s">
        <v>38</v>
      </c>
    </row>
    <row r="7" ht="23" customHeight="1" spans="1:18">
      <c r="A7" s="316">
        <v>5</v>
      </c>
      <c r="B7" s="326"/>
      <c r="C7" s="318" t="s">
        <v>39</v>
      </c>
      <c r="D7" s="316">
        <v>22221201</v>
      </c>
      <c r="E7" s="319" t="s">
        <v>40</v>
      </c>
      <c r="F7" s="320" t="s">
        <v>41</v>
      </c>
      <c r="G7" s="318" t="s">
        <v>23</v>
      </c>
      <c r="H7" s="320" t="s">
        <v>24</v>
      </c>
      <c r="I7" s="320" t="s">
        <v>25</v>
      </c>
      <c r="J7" s="321">
        <v>0.99</v>
      </c>
      <c r="K7" s="322" t="s">
        <v>42</v>
      </c>
      <c r="L7" s="320"/>
      <c r="M7" s="323">
        <v>4</v>
      </c>
      <c r="N7" s="323">
        <v>3</v>
      </c>
      <c r="O7" s="324" t="str">
        <f t="shared" ref="O7:O15" si="1">N7-M7&amp;"("&amp;ROUND(((N7-M7)/M7*100),0)&amp;"%)"</f>
        <v>-1(-25%)</v>
      </c>
      <c r="P7" s="325"/>
      <c r="Q7" s="319"/>
      <c r="R7" s="329"/>
    </row>
    <row r="8" ht="23" customHeight="1" spans="1:18">
      <c r="A8" s="316">
        <v>6</v>
      </c>
      <c r="B8" s="326"/>
      <c r="C8" s="320"/>
      <c r="D8" s="316">
        <v>22250314</v>
      </c>
      <c r="E8" s="319" t="s">
        <v>43</v>
      </c>
      <c r="F8" s="320" t="s">
        <v>44</v>
      </c>
      <c r="G8" s="320" t="s">
        <v>29</v>
      </c>
      <c r="H8" s="320" t="s">
        <v>30</v>
      </c>
      <c r="I8" s="330" t="s">
        <v>45</v>
      </c>
      <c r="J8" s="331">
        <v>0.95</v>
      </c>
      <c r="K8" s="322" t="s">
        <v>46</v>
      </c>
      <c r="L8" s="320"/>
      <c r="M8" s="323">
        <v>4.5</v>
      </c>
      <c r="N8" s="323">
        <v>8.5</v>
      </c>
      <c r="O8" s="324" t="str">
        <f t="shared" si="1"/>
        <v>4(89%)</v>
      </c>
      <c r="P8" s="332" t="s">
        <v>47</v>
      </c>
      <c r="Q8" s="319"/>
      <c r="R8" s="329" t="s">
        <v>48</v>
      </c>
    </row>
    <row r="9" ht="23" customHeight="1" spans="1:18">
      <c r="A9" s="316">
        <v>7</v>
      </c>
      <c r="B9" s="326"/>
      <c r="C9" s="320"/>
      <c r="D9" s="323" t="s">
        <v>49</v>
      </c>
      <c r="E9" s="333" t="s">
        <v>50</v>
      </c>
      <c r="F9" s="329" t="s">
        <v>51</v>
      </c>
      <c r="G9" s="329" t="s">
        <v>29</v>
      </c>
      <c r="H9" s="329" t="s">
        <v>52</v>
      </c>
      <c r="I9" s="329" t="s">
        <v>25</v>
      </c>
      <c r="J9" s="321" t="s">
        <v>26</v>
      </c>
      <c r="K9" s="324" t="s">
        <v>46</v>
      </c>
      <c r="L9" s="329"/>
      <c r="M9" s="334">
        <v>7</v>
      </c>
      <c r="N9" s="334">
        <v>7</v>
      </c>
      <c r="O9" s="324" t="str">
        <f t="shared" si="1"/>
        <v>0(0%)</v>
      </c>
      <c r="P9" s="325"/>
      <c r="Q9" s="319"/>
      <c r="R9" s="329" t="s">
        <v>53</v>
      </c>
    </row>
    <row r="10" ht="23" customHeight="1" spans="1:18">
      <c r="A10" s="316">
        <v>8</v>
      </c>
      <c r="B10" s="326"/>
      <c r="C10" s="320"/>
      <c r="D10" s="323">
        <v>23260410</v>
      </c>
      <c r="E10" s="333" t="s">
        <v>54</v>
      </c>
      <c r="F10" s="329" t="s">
        <v>55</v>
      </c>
      <c r="G10" s="329" t="s">
        <v>29</v>
      </c>
      <c r="H10" s="320" t="s">
        <v>56</v>
      </c>
      <c r="I10" s="329" t="s">
        <v>25</v>
      </c>
      <c r="J10" s="331">
        <v>0.22</v>
      </c>
      <c r="K10" s="324" t="s">
        <v>42</v>
      </c>
      <c r="L10" s="329"/>
      <c r="M10" s="334">
        <v>13.5</v>
      </c>
      <c r="N10" s="334">
        <v>6.5</v>
      </c>
      <c r="O10" s="323" t="str">
        <f t="shared" si="1"/>
        <v>-7(-52%)</v>
      </c>
      <c r="P10" s="328"/>
      <c r="Q10" s="333"/>
      <c r="R10" s="328" t="s">
        <v>57</v>
      </c>
    </row>
    <row r="11" ht="23" customHeight="1" spans="1:18">
      <c r="A11" s="316">
        <v>9</v>
      </c>
      <c r="B11" s="326"/>
      <c r="C11" s="317" t="s">
        <v>58</v>
      </c>
      <c r="D11" s="323">
        <v>22240822</v>
      </c>
      <c r="E11" s="333" t="s">
        <v>59</v>
      </c>
      <c r="F11" s="329" t="s">
        <v>60</v>
      </c>
      <c r="G11" s="329" t="s">
        <v>29</v>
      </c>
      <c r="H11" s="329" t="s">
        <v>52</v>
      </c>
      <c r="I11" s="329" t="s">
        <v>25</v>
      </c>
      <c r="J11" s="331">
        <v>1</v>
      </c>
      <c r="K11" s="324" t="s">
        <v>31</v>
      </c>
      <c r="L11" s="329"/>
      <c r="M11" s="334">
        <v>8.25</v>
      </c>
      <c r="N11" s="334">
        <v>3</v>
      </c>
      <c r="O11" s="324" t="str">
        <f t="shared" si="1"/>
        <v>-5.25(-64%)</v>
      </c>
      <c r="P11" s="328"/>
      <c r="Q11" s="333"/>
      <c r="R11" s="329" t="s">
        <v>61</v>
      </c>
    </row>
    <row r="12" ht="23" customHeight="1" spans="1:18">
      <c r="A12" s="316">
        <v>10</v>
      </c>
      <c r="B12" s="326"/>
      <c r="C12" s="335"/>
      <c r="D12" s="323">
        <v>23251211</v>
      </c>
      <c r="E12" s="333" t="s">
        <v>62</v>
      </c>
      <c r="F12" s="329" t="s">
        <v>63</v>
      </c>
      <c r="G12" s="329" t="s">
        <v>29</v>
      </c>
      <c r="H12" s="329" t="s">
        <v>64</v>
      </c>
      <c r="I12" s="329" t="s">
        <v>25</v>
      </c>
      <c r="J12" s="331">
        <v>0.87</v>
      </c>
      <c r="K12" s="324" t="s">
        <v>65</v>
      </c>
      <c r="L12" s="329"/>
      <c r="M12" s="334">
        <v>3.25</v>
      </c>
      <c r="N12" s="336">
        <v>14</v>
      </c>
      <c r="O12" s="337" t="str">
        <f t="shared" si="1"/>
        <v>10.75(331%)</v>
      </c>
      <c r="P12" s="328"/>
      <c r="Q12" s="333"/>
      <c r="R12" s="329" t="s">
        <v>66</v>
      </c>
    </row>
    <row r="13" ht="23" customHeight="1" spans="1:18">
      <c r="A13" s="323">
        <v>12</v>
      </c>
      <c r="B13" s="326"/>
      <c r="C13" s="318" t="s">
        <v>67</v>
      </c>
      <c r="D13" s="316">
        <v>222201001</v>
      </c>
      <c r="E13" s="319" t="s">
        <v>68</v>
      </c>
      <c r="F13" s="320" t="s">
        <v>69</v>
      </c>
      <c r="G13" s="318" t="s">
        <v>35</v>
      </c>
      <c r="H13" s="320" t="s">
        <v>24</v>
      </c>
      <c r="I13" s="320" t="s">
        <v>25</v>
      </c>
      <c r="J13" s="321">
        <v>0.99</v>
      </c>
      <c r="K13" s="322" t="s">
        <v>31</v>
      </c>
      <c r="L13" s="325"/>
      <c r="M13" s="334">
        <v>0</v>
      </c>
      <c r="N13" s="334">
        <v>1.5</v>
      </c>
      <c r="O13" s="324">
        <v>1.5</v>
      </c>
      <c r="P13" s="318"/>
      <c r="Q13" s="319"/>
      <c r="R13" s="329" t="s">
        <v>70</v>
      </c>
    </row>
    <row r="14" ht="41" customHeight="1" spans="1:18">
      <c r="A14" s="323">
        <v>13</v>
      </c>
      <c r="B14" s="326"/>
      <c r="C14" s="320"/>
      <c r="D14" s="316">
        <v>22220905</v>
      </c>
      <c r="E14" s="319" t="s">
        <v>71</v>
      </c>
      <c r="F14" s="320" t="s">
        <v>69</v>
      </c>
      <c r="G14" s="318" t="s">
        <v>35</v>
      </c>
      <c r="H14" s="320" t="s">
        <v>24</v>
      </c>
      <c r="I14" s="320" t="s">
        <v>25</v>
      </c>
      <c r="J14" s="321">
        <v>0.99</v>
      </c>
      <c r="K14" s="322" t="s">
        <v>27</v>
      </c>
      <c r="L14" s="325"/>
      <c r="M14" s="334">
        <v>14.5</v>
      </c>
      <c r="N14" s="334">
        <v>7</v>
      </c>
      <c r="O14" s="338" t="str">
        <f>N14-M14&amp;"("&amp;ROUND(((N14-M14)/M14*100),0)&amp;"%)"</f>
        <v>-7.5(-52%)</v>
      </c>
      <c r="P14" s="325"/>
      <c r="Q14" s="319"/>
      <c r="R14" s="329" t="s">
        <v>72</v>
      </c>
    </row>
    <row r="15" ht="43" customHeight="1" spans="1:18">
      <c r="A15" s="323">
        <v>14</v>
      </c>
      <c r="B15" s="326"/>
      <c r="C15" s="320"/>
      <c r="D15" s="316">
        <v>21250326</v>
      </c>
      <c r="E15" s="319" t="s">
        <v>73</v>
      </c>
      <c r="F15" s="320" t="s">
        <v>69</v>
      </c>
      <c r="G15" s="318" t="s">
        <v>29</v>
      </c>
      <c r="H15" s="320" t="s">
        <v>56</v>
      </c>
      <c r="I15" s="339" t="s">
        <v>74</v>
      </c>
      <c r="J15" s="331">
        <v>0.85</v>
      </c>
      <c r="K15" s="322" t="s">
        <v>75</v>
      </c>
      <c r="L15" s="318"/>
      <c r="M15" s="334">
        <v>3</v>
      </c>
      <c r="N15" s="334">
        <v>7</v>
      </c>
      <c r="O15" s="324" t="str">
        <f t="shared" ref="O14:O23" si="2">N15-M15&amp;"("&amp;ROUND(((N15-M15)/M15*100),0)&amp;"%)"</f>
        <v>4(133%)</v>
      </c>
      <c r="P15" s="325"/>
      <c r="Q15" s="319"/>
      <c r="R15" s="328" t="s">
        <v>76</v>
      </c>
    </row>
    <row r="16" ht="23" customHeight="1" spans="1:18">
      <c r="A16" s="323">
        <v>15</v>
      </c>
      <c r="B16" s="326"/>
      <c r="C16" s="320"/>
      <c r="D16" s="316" t="s">
        <v>77</v>
      </c>
      <c r="E16" s="319" t="s">
        <v>78</v>
      </c>
      <c r="F16" s="320" t="s">
        <v>79</v>
      </c>
      <c r="G16" s="318" t="s">
        <v>29</v>
      </c>
      <c r="H16" s="320" t="s">
        <v>80</v>
      </c>
      <c r="I16" s="320" t="s">
        <v>25</v>
      </c>
      <c r="J16" s="331">
        <v>0.99</v>
      </c>
      <c r="K16" s="322" t="s">
        <v>75</v>
      </c>
      <c r="L16" s="318"/>
      <c r="M16" s="334">
        <v>0</v>
      </c>
      <c r="N16" s="334">
        <v>0</v>
      </c>
      <c r="O16" s="324">
        <v>0</v>
      </c>
      <c r="P16" s="325"/>
      <c r="Q16" s="319"/>
      <c r="R16" s="320" t="s">
        <v>81</v>
      </c>
    </row>
    <row r="17" ht="23" customHeight="1" spans="1:18">
      <c r="A17" s="316">
        <v>16</v>
      </c>
      <c r="B17" s="326"/>
      <c r="C17" s="318" t="s">
        <v>82</v>
      </c>
      <c r="D17" s="316" t="s">
        <v>83</v>
      </c>
      <c r="E17" s="319" t="s">
        <v>84</v>
      </c>
      <c r="F17" s="320" t="s">
        <v>85</v>
      </c>
      <c r="G17" s="320" t="s">
        <v>29</v>
      </c>
      <c r="H17" s="320" t="s">
        <v>30</v>
      </c>
      <c r="I17" s="320" t="s">
        <v>25</v>
      </c>
      <c r="J17" s="321">
        <v>0.95</v>
      </c>
      <c r="K17" s="322"/>
      <c r="L17" s="320"/>
      <c r="M17" s="334">
        <v>6</v>
      </c>
      <c r="N17" s="334">
        <v>4</v>
      </c>
      <c r="O17" s="338" t="str">
        <f t="shared" si="2"/>
        <v>-2(-33%)</v>
      </c>
      <c r="P17" s="325"/>
      <c r="Q17" s="319"/>
      <c r="R17" s="318" t="s">
        <v>86</v>
      </c>
    </row>
    <row r="18" ht="23" customHeight="1" spans="1:18">
      <c r="A18" s="316">
        <v>17</v>
      </c>
      <c r="B18" s="326"/>
      <c r="C18" s="320"/>
      <c r="D18" s="323"/>
      <c r="E18" s="319" t="s">
        <v>87</v>
      </c>
      <c r="F18" s="320" t="s">
        <v>85</v>
      </c>
      <c r="G18" s="320" t="s">
        <v>29</v>
      </c>
      <c r="H18" s="329" t="s">
        <v>52</v>
      </c>
      <c r="I18" s="320" t="s">
        <v>25</v>
      </c>
      <c r="J18" s="321" t="s">
        <v>26</v>
      </c>
      <c r="K18" s="322"/>
      <c r="L18" s="320"/>
      <c r="M18" s="334">
        <v>4.5</v>
      </c>
      <c r="N18" s="334">
        <v>5</v>
      </c>
      <c r="O18" s="338" t="str">
        <f t="shared" si="2"/>
        <v>0.5(11%)</v>
      </c>
      <c r="P18" s="325"/>
      <c r="Q18" s="319"/>
      <c r="R18" s="328"/>
    </row>
    <row r="19" ht="23" customHeight="1" spans="1:18">
      <c r="A19" s="316">
        <v>18</v>
      </c>
      <c r="B19" s="326"/>
      <c r="C19" s="318" t="s">
        <v>88</v>
      </c>
      <c r="D19" s="316" t="s">
        <v>89</v>
      </c>
      <c r="E19" s="319" t="s">
        <v>90</v>
      </c>
      <c r="F19" s="320" t="s">
        <v>91</v>
      </c>
      <c r="G19" s="320" t="s">
        <v>29</v>
      </c>
      <c r="H19" s="329" t="s">
        <v>52</v>
      </c>
      <c r="I19" s="320" t="s">
        <v>25</v>
      </c>
      <c r="J19" s="321" t="s">
        <v>26</v>
      </c>
      <c r="K19" s="322"/>
      <c r="L19" s="320"/>
      <c r="M19" s="334">
        <v>19</v>
      </c>
      <c r="N19" s="334">
        <v>17</v>
      </c>
      <c r="O19" s="338" t="str">
        <f t="shared" si="2"/>
        <v>-2(-11%)</v>
      </c>
      <c r="P19" s="328"/>
      <c r="Q19" s="333"/>
      <c r="R19" s="329"/>
    </row>
    <row r="20" ht="23" customHeight="1" spans="1:18">
      <c r="A20" s="316">
        <v>19</v>
      </c>
      <c r="B20" s="326"/>
      <c r="C20" s="320"/>
      <c r="D20" s="316"/>
      <c r="E20" s="319" t="s">
        <v>92</v>
      </c>
      <c r="F20" s="320" t="s">
        <v>44</v>
      </c>
      <c r="G20" s="320" t="s">
        <v>29</v>
      </c>
      <c r="H20" s="329" t="s">
        <v>52</v>
      </c>
      <c r="I20" s="320" t="s">
        <v>25</v>
      </c>
      <c r="J20" s="321" t="s">
        <v>26</v>
      </c>
      <c r="K20" s="322"/>
      <c r="L20" s="320"/>
      <c r="M20" s="323">
        <v>7.5</v>
      </c>
      <c r="N20" s="323">
        <v>7.1</v>
      </c>
      <c r="O20" s="324" t="str">
        <f t="shared" si="2"/>
        <v>-0.4(-5%)</v>
      </c>
      <c r="P20" s="328"/>
      <c r="Q20" s="333"/>
      <c r="R20" s="329" t="s">
        <v>93</v>
      </c>
    </row>
    <row r="21" ht="23" customHeight="1" spans="1:18">
      <c r="A21" s="316">
        <v>20</v>
      </c>
      <c r="B21" s="326"/>
      <c r="C21" s="320"/>
      <c r="D21" s="316"/>
      <c r="E21" s="319" t="s">
        <v>94</v>
      </c>
      <c r="F21" s="320" t="s">
        <v>55</v>
      </c>
      <c r="G21" s="320" t="s">
        <v>29</v>
      </c>
      <c r="H21" s="329" t="s">
        <v>52</v>
      </c>
      <c r="I21" s="320" t="s">
        <v>25</v>
      </c>
      <c r="J21" s="321" t="s">
        <v>26</v>
      </c>
      <c r="K21" s="322"/>
      <c r="L21" s="318"/>
      <c r="M21" s="323">
        <v>5</v>
      </c>
      <c r="N21" s="323">
        <v>10.5</v>
      </c>
      <c r="O21" s="324" t="str">
        <f t="shared" si="2"/>
        <v>5.5(110%)</v>
      </c>
      <c r="P21" s="325"/>
      <c r="Q21" s="319"/>
      <c r="R21" s="329"/>
    </row>
    <row r="22" ht="23" customHeight="1" spans="1:18">
      <c r="A22" s="316">
        <v>21</v>
      </c>
      <c r="B22" s="326"/>
      <c r="C22" s="320"/>
      <c r="D22" s="316"/>
      <c r="E22" s="319" t="s">
        <v>95</v>
      </c>
      <c r="F22" s="320" t="s">
        <v>63</v>
      </c>
      <c r="G22" s="320" t="s">
        <v>29</v>
      </c>
      <c r="H22" s="329" t="s">
        <v>52</v>
      </c>
      <c r="I22" s="320" t="s">
        <v>25</v>
      </c>
      <c r="J22" s="321" t="s">
        <v>26</v>
      </c>
      <c r="K22" s="322"/>
      <c r="L22" s="318"/>
      <c r="M22" s="323">
        <v>22.5</v>
      </c>
      <c r="N22" s="323">
        <v>20.7</v>
      </c>
      <c r="O22" s="324" t="str">
        <f t="shared" si="2"/>
        <v>-1.8(-8%)</v>
      </c>
      <c r="P22" s="325"/>
      <c r="Q22" s="319"/>
      <c r="R22" s="329"/>
    </row>
    <row r="23" ht="23" customHeight="1" spans="1:18">
      <c r="A23" s="316">
        <v>22</v>
      </c>
      <c r="B23" s="326"/>
      <c r="C23" s="320"/>
      <c r="D23" s="316"/>
      <c r="E23" s="319" t="s">
        <v>96</v>
      </c>
      <c r="F23" s="320" t="s">
        <v>63</v>
      </c>
      <c r="G23" s="320" t="s">
        <v>29</v>
      </c>
      <c r="H23" s="329" t="s">
        <v>52</v>
      </c>
      <c r="I23" s="320" t="s">
        <v>25</v>
      </c>
      <c r="J23" s="321" t="s">
        <v>26</v>
      </c>
      <c r="K23" s="322"/>
      <c r="L23" s="318"/>
      <c r="M23" s="323">
        <v>2.5</v>
      </c>
      <c r="N23" s="323">
        <v>2</v>
      </c>
      <c r="O23" s="324" t="str">
        <f t="shared" si="2"/>
        <v>-0.5(-20%)</v>
      </c>
      <c r="P23" s="325"/>
      <c r="Q23" s="319"/>
      <c r="R23" s="329"/>
    </row>
    <row r="24" ht="38.25" customHeight="1" spans="1:18">
      <c r="A24" s="340"/>
      <c r="B24" s="341"/>
      <c r="C24" s="342"/>
      <c r="D24" s="342"/>
      <c r="E24" s="342"/>
      <c r="F24" s="342"/>
      <c r="G24" s="342"/>
      <c r="H24" s="343"/>
      <c r="I24" s="343"/>
      <c r="J24" s="344"/>
      <c r="K24" s="344"/>
      <c r="L24" s="343" t="s">
        <v>97</v>
      </c>
      <c r="M24" s="345">
        <f>SUM(M3:M23)</f>
        <v>143.25</v>
      </c>
      <c r="N24" s="344">
        <f>SUM(N3:N23)</f>
        <v>139.8</v>
      </c>
      <c r="O24" s="344"/>
      <c r="P24" s="346" t="s">
        <v>98</v>
      </c>
      <c r="Q24" s="347">
        <f>N24/34/4</f>
        <v>1.02794117647059</v>
      </c>
      <c r="R24" s="348" t="s">
        <v>99</v>
      </c>
    </row>
    <row r="25" ht="29" customHeight="1" spans="1:18">
      <c r="A25" s="349">
        <v>23</v>
      </c>
      <c r="B25" s="335" t="s">
        <v>100</v>
      </c>
      <c r="C25" s="335" t="s">
        <v>101</v>
      </c>
      <c r="D25" s="350" t="s">
        <v>102</v>
      </c>
      <c r="E25" s="351" t="s">
        <v>103</v>
      </c>
      <c r="F25" s="352" t="s">
        <v>104</v>
      </c>
      <c r="G25" s="352" t="s">
        <v>29</v>
      </c>
      <c r="H25" s="352" t="s">
        <v>105</v>
      </c>
      <c r="I25" s="352" t="s">
        <v>25</v>
      </c>
      <c r="J25" s="353">
        <v>0.5</v>
      </c>
      <c r="K25" s="354"/>
      <c r="L25" s="352"/>
      <c r="M25" s="355">
        <v>0</v>
      </c>
      <c r="N25" s="355">
        <v>0</v>
      </c>
      <c r="O25" s="324">
        <v>0</v>
      </c>
      <c r="P25" s="356"/>
      <c r="Q25" s="351"/>
      <c r="R25" s="352"/>
    </row>
    <row r="26" ht="29" customHeight="1" spans="1:18">
      <c r="A26" s="349">
        <v>24</v>
      </c>
      <c r="B26" s="335"/>
      <c r="C26" s="335"/>
      <c r="D26" s="350"/>
      <c r="E26" s="351" t="s">
        <v>106</v>
      </c>
      <c r="F26" s="352" t="s">
        <v>107</v>
      </c>
      <c r="G26" s="352" t="s">
        <v>29</v>
      </c>
      <c r="H26" s="320" t="s">
        <v>56</v>
      </c>
      <c r="I26" s="352" t="s">
        <v>25</v>
      </c>
      <c r="J26" s="353" t="s">
        <v>23</v>
      </c>
      <c r="K26" s="354"/>
      <c r="L26" s="352"/>
      <c r="M26" s="323">
        <v>0.7</v>
      </c>
      <c r="N26" s="323">
        <v>2.5</v>
      </c>
      <c r="O26" s="324" t="str">
        <f t="shared" ref="O25:O30" si="3">N26-M26&amp;"("&amp;ROUND(((N26-M26)/M26*100),0)&amp;"%)"</f>
        <v>1.8(257%)</v>
      </c>
      <c r="P26" s="356"/>
      <c r="Q26" s="351"/>
      <c r="R26" s="352" t="s">
        <v>108</v>
      </c>
    </row>
    <row r="27" ht="25" customHeight="1" spans="1:18">
      <c r="A27" s="316">
        <v>25</v>
      </c>
      <c r="B27" s="335"/>
      <c r="C27" s="335"/>
      <c r="D27" s="316">
        <v>21260422</v>
      </c>
      <c r="E27" s="319" t="s">
        <v>109</v>
      </c>
      <c r="F27" s="320" t="s">
        <v>110</v>
      </c>
      <c r="G27" s="352" t="s">
        <v>29</v>
      </c>
      <c r="H27" s="320" t="s">
        <v>56</v>
      </c>
      <c r="I27" s="320" t="s">
        <v>25</v>
      </c>
      <c r="J27" s="321">
        <v>0.45</v>
      </c>
      <c r="K27" s="322"/>
      <c r="L27" s="318"/>
      <c r="M27" s="357">
        <v>17.5</v>
      </c>
      <c r="N27" s="357">
        <v>19</v>
      </c>
      <c r="O27" s="324" t="str">
        <f t="shared" si="3"/>
        <v>1.5(9%)</v>
      </c>
      <c r="P27" s="325"/>
      <c r="Q27" s="319"/>
      <c r="R27" s="329"/>
    </row>
    <row r="28" ht="25" customHeight="1" spans="1:18">
      <c r="A28" s="316">
        <v>26</v>
      </c>
      <c r="B28" s="335"/>
      <c r="C28" s="335"/>
      <c r="D28" s="358">
        <v>21260423</v>
      </c>
      <c r="E28" s="359" t="s">
        <v>111</v>
      </c>
      <c r="F28" s="320" t="s">
        <v>110</v>
      </c>
      <c r="G28" s="352" t="s">
        <v>29</v>
      </c>
      <c r="H28" s="360" t="s">
        <v>56</v>
      </c>
      <c r="I28" s="360" t="s">
        <v>25</v>
      </c>
      <c r="J28" s="361">
        <v>0.18</v>
      </c>
      <c r="K28" s="362"/>
      <c r="L28" s="317"/>
      <c r="M28" s="357">
        <v>4</v>
      </c>
      <c r="N28" s="357">
        <v>7</v>
      </c>
      <c r="O28" s="324" t="str">
        <f t="shared" si="3"/>
        <v>3(75%)</v>
      </c>
      <c r="P28" s="363"/>
      <c r="Q28" s="359"/>
      <c r="R28" s="364" t="s">
        <v>112</v>
      </c>
    </row>
    <row r="29" ht="25" customHeight="1" spans="1:18">
      <c r="A29" s="316">
        <v>27</v>
      </c>
      <c r="B29" s="335"/>
      <c r="C29" s="335"/>
      <c r="D29" s="316">
        <v>22220901</v>
      </c>
      <c r="E29" s="319" t="s">
        <v>113</v>
      </c>
      <c r="F29" s="320" t="s">
        <v>22</v>
      </c>
      <c r="G29" s="320" t="s">
        <v>23</v>
      </c>
      <c r="H29" s="320" t="s">
        <v>24</v>
      </c>
      <c r="I29" s="320" t="s">
        <v>25</v>
      </c>
      <c r="J29" s="321" t="s">
        <v>26</v>
      </c>
      <c r="K29" s="362"/>
      <c r="L29" s="317"/>
      <c r="M29" s="357">
        <v>8</v>
      </c>
      <c r="N29" s="357">
        <v>9.5</v>
      </c>
      <c r="O29" s="324" t="str">
        <f t="shared" si="3"/>
        <v>1.5(19%)</v>
      </c>
      <c r="P29" s="363"/>
      <c r="Q29" s="359"/>
      <c r="R29" s="364"/>
    </row>
    <row r="30" ht="25" customHeight="1" spans="1:18">
      <c r="A30" s="316">
        <v>28</v>
      </c>
      <c r="B30" s="335"/>
      <c r="C30" s="335"/>
      <c r="D30" s="358">
        <v>22220905</v>
      </c>
      <c r="E30" s="363" t="s">
        <v>114</v>
      </c>
      <c r="F30" s="360" t="s">
        <v>69</v>
      </c>
      <c r="G30" s="320" t="s">
        <v>23</v>
      </c>
      <c r="H30" s="360" t="s">
        <v>24</v>
      </c>
      <c r="I30" s="360" t="s">
        <v>25</v>
      </c>
      <c r="J30" s="321" t="s">
        <v>26</v>
      </c>
      <c r="K30" s="362"/>
      <c r="L30" s="317"/>
      <c r="M30" s="357">
        <v>3.25</v>
      </c>
      <c r="N30" s="357">
        <v>1</v>
      </c>
      <c r="O30" s="324" t="str">
        <f t="shared" si="3"/>
        <v>-2.25(-69%)</v>
      </c>
      <c r="P30" s="363"/>
      <c r="Q30" s="359"/>
      <c r="R30" s="364"/>
    </row>
    <row r="31" ht="41" customHeight="1" spans="1:18">
      <c r="A31" s="340"/>
      <c r="B31" s="365"/>
      <c r="C31" s="342"/>
      <c r="D31" s="342"/>
      <c r="E31" s="342"/>
      <c r="F31" s="342"/>
      <c r="G31" s="342"/>
      <c r="H31" s="343"/>
      <c r="I31" s="343"/>
      <c r="J31" s="344"/>
      <c r="K31" s="344"/>
      <c r="L31" s="343" t="s">
        <v>97</v>
      </c>
      <c r="M31" s="345">
        <f>SUM(M25:M30)</f>
        <v>33.45</v>
      </c>
      <c r="N31" s="344">
        <f>SUM(N25:N30)</f>
        <v>39</v>
      </c>
      <c r="O31" s="344"/>
      <c r="P31" s="346" t="s">
        <v>98</v>
      </c>
      <c r="Q31" s="347">
        <f>N31/10/4</f>
        <v>0.975</v>
      </c>
      <c r="R31" s="348"/>
    </row>
    <row r="32" ht="23" customHeight="1" spans="1:18">
      <c r="A32" s="349">
        <v>29</v>
      </c>
      <c r="B32" s="335" t="s">
        <v>115</v>
      </c>
      <c r="C32" s="366" t="s">
        <v>101</v>
      </c>
      <c r="D32" s="350" t="s">
        <v>116</v>
      </c>
      <c r="E32" s="367" t="s">
        <v>117</v>
      </c>
      <c r="F32" s="352" t="s">
        <v>118</v>
      </c>
      <c r="G32" s="368" t="s">
        <v>29</v>
      </c>
      <c r="H32" s="352" t="s">
        <v>56</v>
      </c>
      <c r="I32" s="369" t="s">
        <v>74</v>
      </c>
      <c r="J32" s="353">
        <v>0.95</v>
      </c>
      <c r="K32" s="354" t="s">
        <v>31</v>
      </c>
      <c r="L32" s="352"/>
      <c r="M32" s="350">
        <v>7.8</v>
      </c>
      <c r="N32" s="350">
        <v>13.75</v>
      </c>
      <c r="O32" s="354" t="str">
        <f>ROUND(N32-M32,2)&amp;"("&amp;ROUND(((N32-M32)/M32)*100,0)&amp;"%)"</f>
        <v>5.95(76%)</v>
      </c>
      <c r="P32" s="370"/>
      <c r="Q32" s="351"/>
      <c r="R32" s="352" t="s">
        <v>119</v>
      </c>
    </row>
    <row r="33" ht="23" customHeight="1" spans="1:18">
      <c r="A33" s="349">
        <v>30</v>
      </c>
      <c r="B33" s="335"/>
      <c r="C33" s="318"/>
      <c r="D33" s="316">
        <v>21250418</v>
      </c>
      <c r="E33" s="333" t="s">
        <v>120</v>
      </c>
      <c r="F33" s="320" t="s">
        <v>121</v>
      </c>
      <c r="G33" s="320" t="s">
        <v>29</v>
      </c>
      <c r="H33" s="320" t="s">
        <v>24</v>
      </c>
      <c r="I33" s="320" t="s">
        <v>25</v>
      </c>
      <c r="J33" s="321" t="s">
        <v>26</v>
      </c>
      <c r="K33" s="316" t="s">
        <v>75</v>
      </c>
      <c r="L33" s="329"/>
      <c r="M33" s="323">
        <v>8.9</v>
      </c>
      <c r="N33" s="323">
        <v>7.25</v>
      </c>
      <c r="O33" s="354" t="str">
        <f>ROUND(N33-M33,2)&amp;"("&amp;ROUND(((N33-M33)/M33)*100,0)&amp;"%)"</f>
        <v>-1.65(-19%)</v>
      </c>
      <c r="P33" s="371"/>
      <c r="Q33" s="333"/>
      <c r="R33" s="328"/>
    </row>
    <row r="34" ht="23" customHeight="1" spans="1:18">
      <c r="A34" s="349">
        <v>31</v>
      </c>
      <c r="B34" s="335"/>
      <c r="C34" s="318"/>
      <c r="D34" s="323" t="s">
        <v>122</v>
      </c>
      <c r="E34" s="319" t="s">
        <v>123</v>
      </c>
      <c r="F34" s="329" t="s">
        <v>121</v>
      </c>
      <c r="G34" s="328" t="s">
        <v>29</v>
      </c>
      <c r="H34" s="329" t="s">
        <v>56</v>
      </c>
      <c r="I34" s="329" t="s">
        <v>25</v>
      </c>
      <c r="J34" s="331">
        <v>0.97</v>
      </c>
      <c r="K34" s="324" t="s">
        <v>31</v>
      </c>
      <c r="L34" s="329"/>
      <c r="M34" s="323">
        <v>12.5</v>
      </c>
      <c r="N34" s="323">
        <v>10.6</v>
      </c>
      <c r="O34" s="354" t="str">
        <f>ROUND(N34-M34,2)&amp;"("&amp;ROUND(((N34-M34)/M34)*100,0)&amp;"%)"</f>
        <v>-1.9(-15%)</v>
      </c>
      <c r="P34" s="371"/>
      <c r="Q34" s="333"/>
      <c r="R34" s="328"/>
    </row>
    <row r="35" ht="23" customHeight="1" spans="1:18">
      <c r="A35" s="349">
        <v>32</v>
      </c>
      <c r="B35" s="335"/>
      <c r="C35" s="318"/>
      <c r="D35" s="323" t="s">
        <v>124</v>
      </c>
      <c r="E35" s="333" t="s">
        <v>125</v>
      </c>
      <c r="F35" s="329" t="s">
        <v>121</v>
      </c>
      <c r="G35" s="328" t="s">
        <v>29</v>
      </c>
      <c r="H35" s="329" t="s">
        <v>30</v>
      </c>
      <c r="I35" s="329" t="s">
        <v>25</v>
      </c>
      <c r="J35" s="331">
        <v>0.99</v>
      </c>
      <c r="K35" s="324"/>
      <c r="L35" s="329"/>
      <c r="M35" s="323">
        <v>3.5</v>
      </c>
      <c r="N35" s="323"/>
      <c r="O35" s="354" t="str">
        <f>ROUND(N35-M35,2)&amp;"("&amp;ROUND(((N35-M35)/M35)*100,0)&amp;"%)"</f>
        <v>-3.5(-100%)</v>
      </c>
      <c r="P35" s="371"/>
      <c r="Q35" s="333"/>
      <c r="R35" s="328" t="s">
        <v>126</v>
      </c>
    </row>
    <row r="36" ht="23" customHeight="1" spans="1:18">
      <c r="A36" s="349">
        <v>33</v>
      </c>
      <c r="B36" s="335"/>
      <c r="C36" s="318"/>
      <c r="D36" s="316" t="s">
        <v>127</v>
      </c>
      <c r="E36" s="319" t="s">
        <v>128</v>
      </c>
      <c r="F36" s="329" t="s">
        <v>121</v>
      </c>
      <c r="G36" s="320" t="s">
        <v>29</v>
      </c>
      <c r="H36" s="320" t="s">
        <v>24</v>
      </c>
      <c r="I36" s="329" t="s">
        <v>25</v>
      </c>
      <c r="J36" s="321" t="s">
        <v>26</v>
      </c>
      <c r="K36" s="316" t="s">
        <v>75</v>
      </c>
      <c r="L36" s="319"/>
      <c r="M36" s="316">
        <v>0.8</v>
      </c>
      <c r="N36" s="316">
        <v>1</v>
      </c>
      <c r="O36" s="354" t="str">
        <f>ROUND(N36-M36,2)&amp;"("&amp;ROUND(((N36-M36)/M36)*100,0)&amp;"%)"</f>
        <v>0.2(25%)</v>
      </c>
      <c r="P36" s="319"/>
      <c r="Q36" s="333"/>
      <c r="R36" s="328"/>
    </row>
    <row r="37" ht="23" customHeight="1" spans="1:18">
      <c r="A37" s="349">
        <v>34</v>
      </c>
      <c r="B37" s="335"/>
      <c r="C37" s="318"/>
      <c r="D37" s="316" t="s">
        <v>129</v>
      </c>
      <c r="E37" s="319" t="s">
        <v>130</v>
      </c>
      <c r="F37" s="320" t="s">
        <v>121</v>
      </c>
      <c r="G37" s="320" t="s">
        <v>29</v>
      </c>
      <c r="H37" s="320" t="s">
        <v>24</v>
      </c>
      <c r="I37" s="320" t="s">
        <v>25</v>
      </c>
      <c r="J37" s="321" t="s">
        <v>26</v>
      </c>
      <c r="K37" s="322" t="s">
        <v>75</v>
      </c>
      <c r="L37" s="318"/>
      <c r="M37" s="316"/>
      <c r="N37" s="316"/>
      <c r="O37" s="354"/>
      <c r="P37" s="325"/>
      <c r="Q37" s="319"/>
      <c r="R37" s="328"/>
    </row>
    <row r="38" ht="23" customHeight="1" spans="1:18">
      <c r="A38" s="349">
        <v>35</v>
      </c>
      <c r="B38" s="335"/>
      <c r="C38" s="318"/>
      <c r="D38" s="316">
        <v>21250417</v>
      </c>
      <c r="E38" s="319" t="s">
        <v>131</v>
      </c>
      <c r="F38" s="320" t="s">
        <v>132</v>
      </c>
      <c r="G38" s="320" t="s">
        <v>29</v>
      </c>
      <c r="H38" s="329" t="s">
        <v>24</v>
      </c>
      <c r="I38" s="320" t="s">
        <v>25</v>
      </c>
      <c r="J38" s="321" t="s">
        <v>26</v>
      </c>
      <c r="K38" s="316" t="s">
        <v>75</v>
      </c>
      <c r="L38" s="319"/>
      <c r="M38" s="316"/>
      <c r="N38" s="316"/>
      <c r="O38" s="354"/>
      <c r="P38" s="319"/>
      <c r="Q38" s="319"/>
      <c r="R38" s="328"/>
    </row>
    <row r="39" ht="23" customHeight="1" spans="1:18">
      <c r="A39" s="349">
        <v>36</v>
      </c>
      <c r="B39" s="335"/>
      <c r="C39" s="318"/>
      <c r="D39" s="316"/>
      <c r="E39" s="333" t="s">
        <v>133</v>
      </c>
      <c r="F39" s="329"/>
      <c r="G39" s="328" t="s">
        <v>35</v>
      </c>
      <c r="H39" s="329" t="s">
        <v>134</v>
      </c>
      <c r="I39" s="320"/>
      <c r="J39" s="321"/>
      <c r="K39" s="322"/>
      <c r="L39" s="318"/>
      <c r="M39" s="316"/>
      <c r="N39" s="316"/>
      <c r="O39" s="354"/>
      <c r="P39" s="325"/>
      <c r="Q39" s="319"/>
      <c r="R39" s="328" t="s">
        <v>135</v>
      </c>
    </row>
    <row r="40" ht="23" customHeight="1" spans="1:18">
      <c r="A40" s="349">
        <v>37</v>
      </c>
      <c r="B40" s="335"/>
      <c r="C40" s="318"/>
      <c r="D40" s="316"/>
      <c r="E40" s="333" t="s">
        <v>136</v>
      </c>
      <c r="F40" s="320"/>
      <c r="G40" s="320" t="s">
        <v>137</v>
      </c>
      <c r="H40" s="320" t="s">
        <v>138</v>
      </c>
      <c r="I40" s="320"/>
      <c r="J40" s="321"/>
      <c r="K40" s="322"/>
      <c r="L40" s="318"/>
      <c r="M40" s="316"/>
      <c r="N40" s="316"/>
      <c r="O40" s="354"/>
      <c r="P40" s="325"/>
      <c r="Q40" s="319"/>
      <c r="R40" s="328"/>
    </row>
    <row r="41" ht="23" customHeight="1" spans="1:18">
      <c r="A41" s="349">
        <v>38</v>
      </c>
      <c r="B41" s="335"/>
      <c r="C41" s="372" t="s">
        <v>89</v>
      </c>
      <c r="D41" s="373"/>
      <c r="E41" s="319" t="s">
        <v>139</v>
      </c>
      <c r="F41" s="320" t="s">
        <v>140</v>
      </c>
      <c r="G41" s="320" t="s">
        <v>29</v>
      </c>
      <c r="H41" s="329"/>
      <c r="I41" s="329"/>
      <c r="J41" s="331"/>
      <c r="K41" s="324"/>
      <c r="L41" s="329"/>
      <c r="M41" s="323">
        <v>5</v>
      </c>
      <c r="N41" s="323">
        <v>2</v>
      </c>
      <c r="O41" s="354" t="str">
        <f>ROUND(N41-M41,2)&amp;"("&amp;ROUND(((N41-M41)/M41)*100,0)&amp;"%)"</f>
        <v>-3(-60%)</v>
      </c>
      <c r="P41" s="371"/>
      <c r="Q41" s="333"/>
      <c r="R41" s="328"/>
    </row>
    <row r="42" ht="47" customHeight="1" spans="1:18">
      <c r="A42" s="340"/>
      <c r="B42" s="365"/>
      <c r="C42" s="342"/>
      <c r="D42" s="342"/>
      <c r="E42" s="342"/>
      <c r="F42" s="342"/>
      <c r="G42" s="342"/>
      <c r="H42" s="343"/>
      <c r="I42" s="343"/>
      <c r="J42" s="344"/>
      <c r="K42" s="344"/>
      <c r="L42" s="343" t="s">
        <v>97</v>
      </c>
      <c r="M42" s="345">
        <f>SUM(M32:M41)</f>
        <v>38.5</v>
      </c>
      <c r="N42" s="344">
        <f>SUM(N32:N41)</f>
        <v>34.6</v>
      </c>
      <c r="O42" s="344"/>
      <c r="P42" s="346" t="s">
        <v>98</v>
      </c>
      <c r="Q42" s="347">
        <f>N42/7/4</f>
        <v>1.23571428571429</v>
      </c>
      <c r="R42" s="348"/>
    </row>
    <row r="43" ht="28" customHeight="1" spans="1:18">
      <c r="A43" s="349">
        <v>39</v>
      </c>
      <c r="B43" s="335" t="s">
        <v>141</v>
      </c>
      <c r="C43" s="374" t="s">
        <v>101</v>
      </c>
      <c r="D43" s="349">
        <v>22210906</v>
      </c>
      <c r="E43" s="367" t="s">
        <v>142</v>
      </c>
      <c r="F43" s="374" t="s">
        <v>60</v>
      </c>
      <c r="G43" s="374" t="s">
        <v>23</v>
      </c>
      <c r="H43" s="374" t="s">
        <v>56</v>
      </c>
      <c r="I43" s="374" t="s">
        <v>25</v>
      </c>
      <c r="J43" s="375" t="s">
        <v>23</v>
      </c>
      <c r="K43" s="349"/>
      <c r="L43" s="374"/>
      <c r="M43" s="355">
        <v>31.5</v>
      </c>
      <c r="N43" s="355">
        <v>31</v>
      </c>
      <c r="O43" s="376" t="str">
        <f>N43-M43&amp;"("&amp;ROUND(((N43-M43)/M43*100),0)&amp;"%)"</f>
        <v>-0.5(-2%)</v>
      </c>
      <c r="P43" s="377"/>
      <c r="Q43" s="367"/>
      <c r="R43" s="366"/>
    </row>
    <row r="44" ht="28" customHeight="1" spans="1:18">
      <c r="A44" s="378">
        <v>40</v>
      </c>
      <c r="B44" s="335"/>
      <c r="C44" s="326"/>
      <c r="D44" s="316">
        <v>121018</v>
      </c>
      <c r="E44" s="319" t="s">
        <v>143</v>
      </c>
      <c r="F44" s="320" t="s">
        <v>144</v>
      </c>
      <c r="G44" s="320" t="s">
        <v>145</v>
      </c>
      <c r="H44" s="320" t="s">
        <v>134</v>
      </c>
      <c r="I44" s="320" t="s">
        <v>25</v>
      </c>
      <c r="J44" s="321" t="s">
        <v>26</v>
      </c>
      <c r="K44" s="322"/>
      <c r="L44" s="320"/>
      <c r="M44" s="334">
        <v>19</v>
      </c>
      <c r="N44" s="334">
        <v>17</v>
      </c>
      <c r="O44" s="376" t="str">
        <f>N44-M44&amp;"("&amp;ROUND(((N44-M44)/M44*100),0)&amp;"%)"</f>
        <v>-2(-11%)</v>
      </c>
      <c r="P44" s="379"/>
      <c r="Q44" s="380"/>
      <c r="R44" s="335"/>
    </row>
    <row r="45" ht="40" customHeight="1" spans="1:18">
      <c r="A45" s="340"/>
      <c r="B45" s="341"/>
      <c r="C45" s="342"/>
      <c r="D45" s="342"/>
      <c r="E45" s="342"/>
      <c r="F45" s="342"/>
      <c r="G45" s="342"/>
      <c r="H45" s="343"/>
      <c r="I45" s="343"/>
      <c r="J45" s="344"/>
      <c r="K45" s="344"/>
      <c r="L45" s="343" t="s">
        <v>97</v>
      </c>
      <c r="M45" s="345">
        <f>SUM(M43:M43)</f>
        <v>31.5</v>
      </c>
      <c r="N45" s="344">
        <f>SUM(N43:N44)</f>
        <v>48</v>
      </c>
      <c r="O45" s="344"/>
      <c r="P45" s="346" t="s">
        <v>98</v>
      </c>
      <c r="Q45" s="347">
        <f>N45/22/4</f>
        <v>0.545454545454545</v>
      </c>
      <c r="R45" s="348"/>
    </row>
    <row r="46" ht="43.2" customHeight="1" spans="1:18">
      <c r="A46" s="381"/>
      <c r="B46" s="382"/>
      <c r="C46" s="382"/>
      <c r="D46" s="381"/>
      <c r="E46" s="383"/>
      <c r="F46" s="382"/>
    </row>
    <row r="47" ht="43.2" customHeight="1" spans="1:18">
      <c r="A47" s="381"/>
      <c r="B47" s="382"/>
      <c r="C47" s="382"/>
      <c r="D47" s="381"/>
      <c r="E47" s="383"/>
      <c r="F47" s="382"/>
    </row>
    <row r="48" ht="15.6" spans="1:18">
      <c r="A48" s="384"/>
      <c r="B48" s="383"/>
      <c r="C48" s="383"/>
      <c r="D48" s="384"/>
      <c r="E48" s="383"/>
      <c r="F48" s="383"/>
    </row>
    <row r="49" ht="15.6" customHeight="1" spans="1:6">
      <c r="A49" s="384"/>
      <c r="B49" s="383"/>
      <c r="C49" s="383"/>
      <c r="D49" s="384"/>
      <c r="E49" s="383"/>
      <c r="F49" s="383"/>
    </row>
    <row r="50" ht="15.6" spans="1:6">
      <c r="A50" s="384"/>
      <c r="B50" s="383"/>
      <c r="C50" s="383"/>
      <c r="D50" s="384"/>
      <c r="E50" s="383"/>
      <c r="F50" s="383"/>
    </row>
    <row r="51" ht="15.6" spans="1:6">
      <c r="A51" s="384"/>
      <c r="B51" s="383"/>
      <c r="C51" s="383"/>
      <c r="D51" s="384"/>
      <c r="E51" s="383"/>
      <c r="F51" s="383"/>
    </row>
    <row r="52" ht="15.6" spans="1:6">
      <c r="A52" s="384"/>
      <c r="B52" s="383"/>
      <c r="C52" s="383"/>
      <c r="D52" s="384"/>
      <c r="E52" s="383"/>
      <c r="F52" s="383"/>
    </row>
    <row r="53" ht="15.6" spans="1:6">
      <c r="A53" s="384"/>
      <c r="B53" s="383"/>
      <c r="C53" s="383"/>
      <c r="D53" s="384"/>
      <c r="E53" s="383"/>
      <c r="F53" s="383"/>
    </row>
    <row r="54" spans="1:6">
      <c r="A54" s="385"/>
      <c r="B54" s="386"/>
      <c r="C54" s="386"/>
      <c r="D54" s="385"/>
      <c r="E54" s="386"/>
      <c r="F54" s="386"/>
    </row>
    <row r="55" spans="1:6">
      <c r="A55" s="385"/>
      <c r="B55" s="386"/>
      <c r="C55" s="386"/>
      <c r="D55" s="385"/>
      <c r="E55" s="386"/>
      <c r="F55" s="386"/>
    </row>
  </sheetData>
  <mergeCells count="27">
    <mergeCell ref="A1:R1"/>
    <mergeCell ref="C24:G24"/>
    <mergeCell ref="H24:I24"/>
    <mergeCell ref="J24:K24"/>
    <mergeCell ref="C31:G31"/>
    <mergeCell ref="H31:I31"/>
    <mergeCell ref="J31:K31"/>
    <mergeCell ref="C41:D41"/>
    <mergeCell ref="C42:G42"/>
    <mergeCell ref="H42:I42"/>
    <mergeCell ref="J42:K42"/>
    <mergeCell ref="C45:G45"/>
    <mergeCell ref="H45:I45"/>
    <mergeCell ref="J45:K45"/>
    <mergeCell ref="B3:B24"/>
    <mergeCell ref="B25:B31"/>
    <mergeCell ref="B32:B42"/>
    <mergeCell ref="B43:B45"/>
    <mergeCell ref="C3:C6"/>
    <mergeCell ref="C7:C10"/>
    <mergeCell ref="C11:C12"/>
    <mergeCell ref="C13:C16"/>
    <mergeCell ref="C17:C18"/>
    <mergeCell ref="C19:C23"/>
    <mergeCell ref="C25:C30"/>
    <mergeCell ref="C32:C40"/>
    <mergeCell ref="D19:D23"/>
  </mergeCells>
  <dataValidations count="7">
    <dataValidation type="list" allowBlank="1" showInputMessage="1" showErrorMessage="1" sqref="H8 H12 H43:H44">
      <formula1>"售前,立项,需求,开发,发布,实施,验收"</formula1>
    </dataValidation>
    <dataValidation type="list" allowBlank="1" showInputMessage="1" showErrorMessage="1" sqref="H9 H11 H32 H18:H23 H34:H35 H38:H39">
      <formula1>"售前,立项,需求,开发,发布,实施,验收,上线运行,维护"</formula1>
    </dataValidation>
    <dataValidation type="list" allowBlank="1" showInputMessage="1" showErrorMessage="1" sqref="H10 H33 H3:H7 H13:H17 H26:H30 H36:H37">
      <formula1>"售前,立项,需求,开发,发布,实施,验收,上线运行"</formula1>
    </dataValidation>
    <dataValidation type="list" allowBlank="1" showInputMessage="1" showErrorMessage="1" sqref="H25 H41">
      <formula1>"售前,立项,需求,设计,开发,发布,实施,验收"</formula1>
    </dataValidation>
    <dataValidation type="list" allowBlank="1" showInputMessage="1" showErrorMessage="1" sqref="I36">
      <formula1>"长期项目,正常,提前,延迟,严重延迟,暂停"</formula1>
    </dataValidation>
    <dataValidation type="list" allowBlank="1" showInputMessage="1" showErrorMessage="1" sqref="H40">
      <formula1>"售前,立项,需求,设计,开发,发布,实施,验收,挂起,暂停"</formula1>
    </dataValidation>
    <dataValidation type="list" allowBlank="1" showInputMessage="1" showErrorMessage="1" sqref="I3:I23 I25:I30 I32:I35 I37:I41 I43:I44">
      <formula1>"长期项目,正常,提前,延迟,严重延迟"</formula1>
    </dataValidation>
  </dataValidations>
  <pageMargins left="0.7" right="0.7" top="0.75" bottom="0.75" header="0.3" footer="0.3"/>
  <pageSetup paperSize="9" orientation="portrait"/>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FF"/>
  </sheetPr>
  <dimension ref="A1:Z29"/>
  <sheetViews>
    <sheetView workbookViewId="0">
      <pane ySplit="1" topLeftCell="A15" activePane="bottomLeft" state="frozen"/>
      <selection/>
      <selection pane="bottomLeft" activeCell="E24" sqref="E24:E28"/>
    </sheetView>
  </sheetViews>
  <sheetFormatPr defaultColWidth="9.11111111111111" defaultRowHeight="13.2"/>
  <cols>
    <col min="1" max="1" width="22.4444444444444" style="1" customWidth="1"/>
    <col min="2" max="2" width="11.6666666666667" style="1" customWidth="1"/>
    <col min="3" max="5" width="9.11111111111111" style="1"/>
    <col min="6" max="6" width="19.5555555555556" style="1" customWidth="1"/>
    <col min="7" max="7" width="9.11111111111111" style="1"/>
    <col min="8" max="8" width="69.7777777777778" style="1" customWidth="1"/>
    <col min="9" max="11" width="9.11111111111111" style="1"/>
    <col min="12" max="12" width="30.4444444444444" style="2" customWidth="1"/>
    <col min="13" max="16384" width="9.11111111111111" style="1"/>
  </cols>
  <sheetData>
    <row r="1" ht="69.6" spans="1:26">
      <c r="A1" s="3" t="s">
        <v>146</v>
      </c>
      <c r="B1" s="4" t="s">
        <v>6</v>
      </c>
      <c r="C1" s="3" t="s">
        <v>147</v>
      </c>
      <c r="D1" s="3" t="s">
        <v>148</v>
      </c>
      <c r="E1" s="4" t="s">
        <v>149</v>
      </c>
      <c r="F1" s="3" t="s">
        <v>150</v>
      </c>
      <c r="G1" s="3" t="s">
        <v>1</v>
      </c>
      <c r="H1" s="5" t="s">
        <v>151</v>
      </c>
      <c r="I1" s="3" t="s">
        <v>152</v>
      </c>
      <c r="J1" s="6" t="s">
        <v>153</v>
      </c>
      <c r="K1" s="3" t="s">
        <v>154</v>
      </c>
      <c r="L1" s="7" t="s">
        <v>155</v>
      </c>
      <c r="M1" s="8"/>
      <c r="N1" s="8"/>
      <c r="O1" s="8"/>
      <c r="P1" s="8"/>
      <c r="Q1" s="8"/>
      <c r="R1" s="8"/>
      <c r="S1" s="8"/>
      <c r="T1" s="8"/>
      <c r="U1" s="8"/>
      <c r="V1" s="8"/>
      <c r="W1" s="8"/>
      <c r="X1" s="8"/>
      <c r="Y1" s="8"/>
      <c r="Z1" s="8"/>
    </row>
    <row r="2" ht="142.2" customHeight="1" spans="1:26">
      <c r="A2" s="3" t="s">
        <v>156</v>
      </c>
      <c r="B2" s="17"/>
      <c r="C2" s="13"/>
      <c r="D2" s="13"/>
      <c r="E2" s="30"/>
      <c r="F2" s="13"/>
      <c r="G2" s="11">
        <v>1</v>
      </c>
      <c r="H2" s="279" t="s">
        <v>157</v>
      </c>
      <c r="I2" s="15" t="s">
        <v>22</v>
      </c>
      <c r="J2" s="16">
        <v>1</v>
      </c>
      <c r="K2" s="13"/>
      <c r="L2" s="17">
        <v>3.5</v>
      </c>
    </row>
    <row r="3" ht="142.2" customHeight="1" spans="1:26">
      <c r="A3" s="3"/>
      <c r="B3" s="17"/>
      <c r="C3" s="13"/>
      <c r="D3" s="13"/>
      <c r="E3" s="30"/>
      <c r="F3" s="13"/>
      <c r="G3" s="27"/>
      <c r="H3" s="280"/>
      <c r="I3" s="15" t="s">
        <v>158</v>
      </c>
      <c r="J3" s="16">
        <v>1</v>
      </c>
      <c r="K3" s="13"/>
      <c r="L3" s="17">
        <v>0.5</v>
      </c>
    </row>
    <row r="4" ht="15.6" spans="1:26">
      <c r="A4" s="3"/>
      <c r="B4" s="17"/>
      <c r="C4" s="13"/>
      <c r="D4" s="13"/>
      <c r="E4" s="30"/>
      <c r="F4" s="13"/>
      <c r="G4" s="13">
        <v>2</v>
      </c>
      <c r="H4" s="281" t="s">
        <v>159</v>
      </c>
      <c r="I4" s="15" t="s">
        <v>160</v>
      </c>
      <c r="J4" s="16">
        <v>0.6</v>
      </c>
      <c r="K4" s="13"/>
      <c r="L4" s="17">
        <v>2.5</v>
      </c>
    </row>
    <row r="5" ht="30" spans="1:26">
      <c r="A5" s="3"/>
      <c r="B5" s="17"/>
      <c r="C5" s="13"/>
      <c r="D5" s="13"/>
      <c r="E5" s="30"/>
      <c r="F5" s="13"/>
      <c r="G5" s="13">
        <v>3</v>
      </c>
      <c r="H5" s="281" t="s">
        <v>161</v>
      </c>
      <c r="I5" s="15" t="s">
        <v>160</v>
      </c>
      <c r="J5" s="16">
        <v>1</v>
      </c>
      <c r="K5" s="13"/>
      <c r="L5" s="17">
        <v>0.5</v>
      </c>
    </row>
    <row r="6" ht="30" spans="1:26">
      <c r="A6" s="3"/>
      <c r="B6" s="17"/>
      <c r="C6" s="13"/>
      <c r="D6" s="13"/>
      <c r="E6" s="30"/>
      <c r="F6" s="13"/>
      <c r="G6" s="13">
        <v>4</v>
      </c>
      <c r="H6" s="14" t="s">
        <v>162</v>
      </c>
      <c r="I6" s="15" t="s">
        <v>160</v>
      </c>
      <c r="J6" s="16">
        <v>1</v>
      </c>
      <c r="K6" s="13"/>
      <c r="L6" s="17">
        <v>0.5</v>
      </c>
    </row>
    <row r="7" ht="15.6" spans="1:26">
      <c r="A7" s="3"/>
      <c r="B7" s="17"/>
      <c r="C7" s="13"/>
      <c r="D7" s="13"/>
      <c r="E7" s="30"/>
      <c r="F7" s="13"/>
      <c r="G7" s="13">
        <v>5</v>
      </c>
      <c r="H7" s="14" t="s">
        <v>163</v>
      </c>
      <c r="I7" s="15" t="s">
        <v>160</v>
      </c>
      <c r="J7" s="16">
        <v>1</v>
      </c>
      <c r="K7" s="13"/>
      <c r="L7" s="17">
        <v>0.5</v>
      </c>
    </row>
    <row r="8" ht="15.6" spans="1:26">
      <c r="A8" s="3"/>
      <c r="B8" s="17"/>
      <c r="C8" s="13"/>
      <c r="D8" s="13"/>
      <c r="E8" s="30"/>
      <c r="F8" s="13"/>
      <c r="G8" s="13">
        <v>6</v>
      </c>
      <c r="H8" s="14" t="s">
        <v>164</v>
      </c>
      <c r="I8" s="13" t="s">
        <v>165</v>
      </c>
      <c r="J8" s="16">
        <v>1</v>
      </c>
      <c r="K8" s="13"/>
      <c r="L8" s="17">
        <v>0.5</v>
      </c>
    </row>
    <row r="9" ht="15.6" spans="1:26">
      <c r="A9" s="3"/>
      <c r="B9" s="17"/>
      <c r="C9" s="13"/>
      <c r="D9" s="13"/>
      <c r="E9" s="30"/>
      <c r="F9" s="13"/>
      <c r="G9" s="13">
        <v>7</v>
      </c>
      <c r="H9" s="14" t="s">
        <v>166</v>
      </c>
      <c r="I9" s="13" t="s">
        <v>165</v>
      </c>
      <c r="J9" s="16">
        <v>1</v>
      </c>
      <c r="K9" s="13"/>
      <c r="L9" s="17">
        <v>0.5</v>
      </c>
    </row>
    <row r="10" ht="45" spans="1:26">
      <c r="A10" s="3"/>
      <c r="B10" s="17"/>
      <c r="C10" s="13"/>
      <c r="D10" s="13"/>
      <c r="E10" s="30"/>
      <c r="F10" s="13"/>
      <c r="G10" s="13">
        <v>8</v>
      </c>
      <c r="H10" s="14" t="s">
        <v>167</v>
      </c>
      <c r="I10" s="13" t="s">
        <v>165</v>
      </c>
      <c r="J10" s="16">
        <v>1</v>
      </c>
      <c r="K10" s="13"/>
      <c r="L10" s="17">
        <v>3</v>
      </c>
    </row>
    <row r="11" ht="15" spans="1:26">
      <c r="A11" s="3"/>
      <c r="B11" s="17"/>
      <c r="C11" s="13"/>
      <c r="D11" s="13"/>
      <c r="E11" s="38" t="s">
        <v>168</v>
      </c>
      <c r="F11" s="38"/>
      <c r="G11" s="38"/>
      <c r="H11" s="38"/>
      <c r="I11" s="38"/>
      <c r="J11" s="39"/>
      <c r="K11" s="40"/>
      <c r="L11" s="41">
        <f>SUM(L2:L10)</f>
        <v>12</v>
      </c>
    </row>
    <row r="12" ht="15.6" spans="1:26">
      <c r="A12" s="3"/>
      <c r="B12" s="17"/>
      <c r="C12" s="13"/>
      <c r="D12" s="13"/>
      <c r="E12" s="30" t="s">
        <v>169</v>
      </c>
      <c r="F12" s="30" t="s">
        <v>56</v>
      </c>
      <c r="G12" s="30">
        <v>1</v>
      </c>
      <c r="H12" s="42"/>
      <c r="I12" s="13"/>
      <c r="J12" s="43"/>
      <c r="K12" s="30"/>
      <c r="L12" s="44"/>
    </row>
    <row r="13" ht="15.6" spans="1:26">
      <c r="A13" s="3"/>
      <c r="B13" s="17"/>
      <c r="C13" s="13"/>
      <c r="D13" s="13"/>
      <c r="E13" s="30"/>
      <c r="F13" s="30"/>
      <c r="G13" s="30">
        <v>2</v>
      </c>
      <c r="H13" s="42"/>
      <c r="I13" s="30"/>
      <c r="J13" s="43"/>
      <c r="K13" s="30"/>
      <c r="L13" s="44"/>
    </row>
    <row r="14" ht="15.6" spans="1:26">
      <c r="A14" s="3" t="s">
        <v>170</v>
      </c>
      <c r="B14" s="17" t="s">
        <v>22</v>
      </c>
      <c r="C14" s="16">
        <v>0.93</v>
      </c>
      <c r="D14" s="13"/>
      <c r="E14" s="30" t="s">
        <v>171</v>
      </c>
      <c r="F14" s="11" t="s">
        <v>172</v>
      </c>
      <c r="G14" s="13">
        <v>1</v>
      </c>
      <c r="H14" s="23" t="s">
        <v>173</v>
      </c>
      <c r="I14" s="15" t="s">
        <v>22</v>
      </c>
      <c r="J14" s="16">
        <v>1</v>
      </c>
      <c r="K14" s="30"/>
      <c r="L14" s="17">
        <v>0.5</v>
      </c>
    </row>
    <row r="15" ht="105" spans="1:26">
      <c r="A15" s="3"/>
      <c r="B15" s="17"/>
      <c r="C15" s="16"/>
      <c r="D15" s="13"/>
      <c r="E15" s="30"/>
      <c r="F15" s="20"/>
      <c r="G15" s="13">
        <v>2</v>
      </c>
      <c r="H15" s="23" t="s">
        <v>174</v>
      </c>
      <c r="I15" s="15" t="s">
        <v>158</v>
      </c>
      <c r="J15" s="16">
        <v>1</v>
      </c>
      <c r="K15" s="30"/>
      <c r="L15" s="17">
        <v>3.5</v>
      </c>
    </row>
    <row r="16" ht="15.6" spans="1:26">
      <c r="A16" s="3"/>
      <c r="B16" s="17"/>
      <c r="C16" s="16"/>
      <c r="D16" s="13"/>
      <c r="E16" s="30"/>
      <c r="F16" s="11" t="s">
        <v>175</v>
      </c>
      <c r="G16" s="13">
        <v>1</v>
      </c>
      <c r="H16" s="23"/>
      <c r="I16" s="15"/>
      <c r="J16" s="16"/>
      <c r="K16" s="30"/>
      <c r="L16" s="17"/>
    </row>
    <row r="17" ht="25.8" customHeight="1" spans="1:12">
      <c r="A17" s="3"/>
      <c r="B17" s="17"/>
      <c r="C17" s="13"/>
      <c r="D17" s="13"/>
      <c r="E17" s="30"/>
      <c r="F17" s="11" t="s">
        <v>176</v>
      </c>
      <c r="G17" s="282">
        <v>1</v>
      </c>
      <c r="H17" s="23"/>
      <c r="I17" s="282"/>
      <c r="J17" s="283"/>
      <c r="K17" s="284"/>
      <c r="L17" s="285"/>
    </row>
    <row r="18" ht="15" spans="1:12">
      <c r="A18" s="3"/>
      <c r="B18" s="17"/>
      <c r="C18" s="13"/>
      <c r="D18" s="13"/>
      <c r="E18" s="30"/>
      <c r="F18" s="15" t="s">
        <v>177</v>
      </c>
      <c r="G18" s="282">
        <v>1</v>
      </c>
      <c r="H18" s="281"/>
      <c r="I18" s="15"/>
      <c r="J18" s="283"/>
      <c r="K18" s="284"/>
      <c r="L18" s="285"/>
    </row>
    <row r="19" ht="15" spans="1:12">
      <c r="A19" s="3"/>
      <c r="B19" s="17"/>
      <c r="C19" s="13"/>
      <c r="D19" s="13"/>
      <c r="E19" s="30"/>
      <c r="F19" s="15"/>
      <c r="G19" s="282">
        <v>2</v>
      </c>
      <c r="H19" s="281"/>
      <c r="I19" s="15"/>
      <c r="J19" s="283"/>
      <c r="K19" s="284"/>
      <c r="L19" s="285"/>
    </row>
    <row r="20" ht="15" spans="1:12">
      <c r="A20" s="3"/>
      <c r="B20" s="17"/>
      <c r="C20" s="13"/>
      <c r="D20" s="13"/>
      <c r="E20" s="30"/>
      <c r="F20" s="15"/>
      <c r="G20" s="282">
        <v>3</v>
      </c>
      <c r="H20" s="281"/>
      <c r="I20" s="15"/>
      <c r="J20" s="283"/>
      <c r="K20" s="284"/>
      <c r="L20" s="285"/>
    </row>
    <row r="21" ht="15" spans="1:12">
      <c r="A21" s="3"/>
      <c r="B21" s="17"/>
      <c r="C21" s="13"/>
      <c r="D21" s="13"/>
      <c r="E21" s="38" t="s">
        <v>168</v>
      </c>
      <c r="F21" s="38"/>
      <c r="G21" s="38"/>
      <c r="H21" s="38"/>
      <c r="I21" s="38"/>
      <c r="J21" s="39"/>
      <c r="K21" s="40"/>
      <c r="L21" s="41">
        <f>SUM(L14:L20)</f>
        <v>4</v>
      </c>
    </row>
    <row r="22" ht="15.6" spans="1:12">
      <c r="A22" s="3"/>
      <c r="B22" s="17"/>
      <c r="C22" s="13"/>
      <c r="D22" s="13"/>
      <c r="E22" s="30" t="s">
        <v>169</v>
      </c>
      <c r="F22" s="30" t="s">
        <v>56</v>
      </c>
      <c r="G22" s="30">
        <v>1</v>
      </c>
      <c r="H22" s="42"/>
      <c r="I22" s="13"/>
      <c r="J22" s="43"/>
      <c r="K22" s="30"/>
      <c r="L22" s="44"/>
    </row>
    <row r="23" ht="15" spans="1:12">
      <c r="A23" s="3"/>
      <c r="B23" s="17"/>
      <c r="C23" s="13"/>
      <c r="D23" s="13"/>
      <c r="E23" s="30"/>
      <c r="F23" s="30"/>
      <c r="G23" s="30">
        <v>2</v>
      </c>
      <c r="H23" s="14"/>
      <c r="I23" s="30"/>
      <c r="J23" s="43"/>
      <c r="K23" s="30"/>
      <c r="L23" s="44"/>
    </row>
    <row r="24" s="1" customFormat="1" customHeight="1" spans="1:12">
      <c r="A24" s="286" t="s">
        <v>178</v>
      </c>
      <c r="B24" s="287" t="s">
        <v>91</v>
      </c>
      <c r="C24" s="288"/>
      <c r="D24" s="289"/>
      <c r="E24" s="290" t="s">
        <v>171</v>
      </c>
      <c r="F24" s="291" t="s">
        <v>179</v>
      </c>
      <c r="G24" s="291">
        <v>1</v>
      </c>
      <c r="H24" s="269" t="s">
        <v>180</v>
      </c>
      <c r="I24" s="270" t="s">
        <v>91</v>
      </c>
      <c r="J24" s="271">
        <v>1</v>
      </c>
      <c r="K24" s="272"/>
      <c r="L24" s="273">
        <v>3</v>
      </c>
    </row>
    <row r="25" s="1" customFormat="1" customHeight="1" spans="1:12">
      <c r="A25" s="292"/>
      <c r="B25" s="293"/>
      <c r="C25" s="294"/>
      <c r="D25" s="295"/>
      <c r="E25" s="296"/>
      <c r="F25" s="291"/>
      <c r="G25" s="291"/>
      <c r="H25" s="269"/>
      <c r="I25" s="270" t="s">
        <v>181</v>
      </c>
      <c r="J25" s="271">
        <v>1</v>
      </c>
      <c r="K25" s="272"/>
      <c r="L25" s="273">
        <v>4</v>
      </c>
    </row>
    <row r="26" s="1" customFormat="1" customHeight="1" spans="1:12">
      <c r="A26" s="292"/>
      <c r="B26" s="293"/>
      <c r="C26" s="294"/>
      <c r="D26" s="295"/>
      <c r="E26" s="296"/>
      <c r="F26" s="291"/>
      <c r="G26" s="291"/>
      <c r="H26" s="269"/>
      <c r="I26" s="270" t="s">
        <v>182</v>
      </c>
      <c r="J26" s="271">
        <v>1</v>
      </c>
      <c r="K26" s="272"/>
      <c r="L26" s="273">
        <v>4</v>
      </c>
    </row>
    <row r="27" s="1" customFormat="1" ht="135" customHeight="1" spans="1:12">
      <c r="A27" s="292"/>
      <c r="B27" s="293"/>
      <c r="C27" s="294"/>
      <c r="D27" s="295"/>
      <c r="E27" s="296"/>
      <c r="F27" s="272" t="s">
        <v>183</v>
      </c>
      <c r="G27" s="291">
        <v>1</v>
      </c>
      <c r="H27" s="269" t="s">
        <v>184</v>
      </c>
      <c r="I27" s="270" t="s">
        <v>185</v>
      </c>
      <c r="J27" s="271">
        <v>1</v>
      </c>
      <c r="K27" s="272"/>
      <c r="L27" s="274">
        <v>3</v>
      </c>
    </row>
    <row r="28" s="1" customFormat="1" ht="105" customHeight="1" spans="1:12">
      <c r="A28" s="292"/>
      <c r="B28" s="293"/>
      <c r="C28" s="294"/>
      <c r="D28" s="295"/>
      <c r="E28" s="297"/>
      <c r="F28" s="272"/>
      <c r="G28" s="291"/>
      <c r="H28" s="269"/>
      <c r="I28" s="270" t="s">
        <v>186</v>
      </c>
      <c r="J28" s="271">
        <v>1</v>
      </c>
      <c r="K28" s="272"/>
      <c r="L28" s="274">
        <v>3</v>
      </c>
    </row>
    <row r="29" s="1" customFormat="1" customHeight="1" spans="1:12">
      <c r="A29" s="298"/>
      <c r="B29" s="299"/>
      <c r="C29" s="300"/>
      <c r="D29" s="301"/>
      <c r="E29" s="302" t="s">
        <v>168</v>
      </c>
      <c r="F29" s="302"/>
      <c r="G29" s="302"/>
      <c r="H29" s="302"/>
      <c r="I29" s="302"/>
      <c r="J29" s="303"/>
      <c r="K29" s="304"/>
      <c r="L29" s="305">
        <f>SUM(L24:L28)</f>
        <v>17</v>
      </c>
    </row>
  </sheetData>
  <autoFilter xmlns:etc="http://www.wps.cn/officeDocument/2017/etCustomData" ref="A1:L29" etc:filterBottomFollowUsedRange="0">
    <extLst/>
  </autoFilter>
  <mergeCells count="33">
    <mergeCell ref="E11:H11"/>
    <mergeCell ref="E21:H21"/>
    <mergeCell ref="E29:H29"/>
    <mergeCell ref="A2:A13"/>
    <mergeCell ref="A14:A23"/>
    <mergeCell ref="A24:A29"/>
    <mergeCell ref="B2:B13"/>
    <mergeCell ref="B14:B23"/>
    <mergeCell ref="B24:B29"/>
    <mergeCell ref="C2:C13"/>
    <mergeCell ref="C14:C23"/>
    <mergeCell ref="C24:C29"/>
    <mergeCell ref="D2:D13"/>
    <mergeCell ref="D14:D23"/>
    <mergeCell ref="D24:D29"/>
    <mergeCell ref="E2:E10"/>
    <mergeCell ref="E12:E13"/>
    <mergeCell ref="E14:E20"/>
    <mergeCell ref="E22:E23"/>
    <mergeCell ref="E24:E28"/>
    <mergeCell ref="F2:F10"/>
    <mergeCell ref="F12:F13"/>
    <mergeCell ref="F14:F15"/>
    <mergeCell ref="F18:F20"/>
    <mergeCell ref="F22:F23"/>
    <mergeCell ref="F24:F26"/>
    <mergeCell ref="F27:F28"/>
    <mergeCell ref="G2:G3"/>
    <mergeCell ref="G24:G26"/>
    <mergeCell ref="G27:G28"/>
    <mergeCell ref="H2:H3"/>
    <mergeCell ref="H24:H26"/>
    <mergeCell ref="H27:H28"/>
  </mergeCells>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FF"/>
  </sheetPr>
  <dimension ref="A1:Z56"/>
  <sheetViews>
    <sheetView workbookViewId="0">
      <pane ySplit="1" topLeftCell="A8" activePane="bottomLeft" state="frozen"/>
      <selection/>
      <selection pane="bottomLeft" activeCell="L20" sqref="L20"/>
    </sheetView>
  </sheetViews>
  <sheetFormatPr defaultColWidth="9.11111111111111" defaultRowHeight="13.2"/>
  <cols>
    <col min="1" max="1" width="22.4444444444444" style="1" customWidth="1"/>
    <col min="2" max="2" width="11.6666666666667" style="1" customWidth="1"/>
    <col min="3" max="7" width="9.11111111111111" style="1"/>
    <col min="8" max="8" width="59.6666666666667" style="1" customWidth="1"/>
    <col min="9" max="11" width="9.11111111111111" style="1"/>
    <col min="12" max="12" width="19.5555555555556" style="2" customWidth="1"/>
    <col min="13" max="16384" width="9.11111111111111" style="1"/>
  </cols>
  <sheetData>
    <row r="1" ht="69.6" spans="1:26">
      <c r="A1" s="3" t="s">
        <v>146</v>
      </c>
      <c r="B1" s="4" t="s">
        <v>6</v>
      </c>
      <c r="C1" s="3" t="s">
        <v>147</v>
      </c>
      <c r="D1" s="3" t="s">
        <v>148</v>
      </c>
      <c r="E1" s="4" t="s">
        <v>149</v>
      </c>
      <c r="F1" s="3" t="s">
        <v>150</v>
      </c>
      <c r="G1" s="3" t="s">
        <v>1</v>
      </c>
      <c r="H1" s="5" t="s">
        <v>151</v>
      </c>
      <c r="I1" s="3" t="s">
        <v>152</v>
      </c>
      <c r="J1" s="6" t="s">
        <v>153</v>
      </c>
      <c r="K1" s="3" t="s">
        <v>154</v>
      </c>
      <c r="L1" s="7" t="s">
        <v>155</v>
      </c>
      <c r="M1" s="8"/>
      <c r="N1" s="8"/>
      <c r="O1" s="8"/>
      <c r="P1" s="8"/>
      <c r="Q1" s="8"/>
      <c r="R1" s="8"/>
      <c r="S1" s="8"/>
      <c r="T1" s="8"/>
      <c r="U1" s="8"/>
      <c r="V1" s="8"/>
      <c r="W1" s="8"/>
      <c r="X1" s="8"/>
      <c r="Y1" s="8"/>
      <c r="Z1" s="8"/>
    </row>
    <row r="2" s="1" customFormat="1" ht="15.6" spans="1:26">
      <c r="A2" s="3" t="s">
        <v>187</v>
      </c>
      <c r="B2" s="17" t="s">
        <v>41</v>
      </c>
      <c r="C2" s="13"/>
      <c r="D2" s="13"/>
      <c r="E2" s="30" t="s">
        <v>171</v>
      </c>
      <c r="F2" s="13" t="s">
        <v>56</v>
      </c>
      <c r="G2" s="13">
        <v>1</v>
      </c>
      <c r="H2" s="14" t="s">
        <v>188</v>
      </c>
      <c r="I2" s="15" t="s">
        <v>41</v>
      </c>
      <c r="J2" s="16">
        <v>1</v>
      </c>
      <c r="K2" s="13"/>
      <c r="L2" s="17">
        <v>1</v>
      </c>
    </row>
    <row r="3" s="1" customFormat="1" ht="15.6" spans="1:26">
      <c r="A3" s="3"/>
      <c r="B3" s="17"/>
      <c r="C3" s="13"/>
      <c r="D3" s="13"/>
      <c r="E3" s="30"/>
      <c r="F3" s="13"/>
      <c r="G3" s="13">
        <v>2</v>
      </c>
      <c r="H3" s="22" t="s">
        <v>189</v>
      </c>
      <c r="I3" s="15" t="s">
        <v>41</v>
      </c>
      <c r="J3" s="16">
        <v>1</v>
      </c>
      <c r="K3" s="13"/>
      <c r="L3" s="17">
        <v>2</v>
      </c>
    </row>
    <row r="4" s="1" customFormat="1" ht="15" spans="1:26">
      <c r="A4" s="3"/>
      <c r="B4" s="17"/>
      <c r="C4" s="13"/>
      <c r="D4" s="13"/>
      <c r="E4" s="38" t="s">
        <v>168</v>
      </c>
      <c r="F4" s="38"/>
      <c r="G4" s="38"/>
      <c r="H4" s="38"/>
      <c r="I4" s="38"/>
      <c r="J4" s="39"/>
      <c r="K4" s="40"/>
      <c r="L4" s="41">
        <f>SUM(L2:L3)</f>
        <v>3</v>
      </c>
    </row>
    <row r="5" s="1" customFormat="1" ht="15" spans="1:26">
      <c r="A5" s="3"/>
      <c r="B5" s="17"/>
      <c r="C5" s="13"/>
      <c r="D5" s="13"/>
      <c r="E5" s="30" t="s">
        <v>169</v>
      </c>
      <c r="F5" s="30" t="s">
        <v>56</v>
      </c>
      <c r="G5" s="30">
        <v>1</v>
      </c>
      <c r="H5" s="14"/>
      <c r="I5" s="13"/>
      <c r="J5" s="43"/>
      <c r="K5" s="30"/>
      <c r="L5" s="44"/>
    </row>
    <row r="6" s="1" customFormat="1" ht="15" spans="1:26">
      <c r="A6" s="3"/>
      <c r="B6" s="17"/>
      <c r="C6" s="13"/>
      <c r="D6" s="13"/>
      <c r="E6" s="30"/>
      <c r="F6" s="30"/>
      <c r="G6" s="30">
        <v>2</v>
      </c>
      <c r="H6" s="14"/>
      <c r="I6" s="30"/>
      <c r="J6" s="43"/>
      <c r="K6" s="30"/>
      <c r="L6" s="44"/>
    </row>
    <row r="7" ht="90" spans="1:26">
      <c r="A7" s="3" t="s">
        <v>190</v>
      </c>
      <c r="B7" s="17" t="s">
        <v>51</v>
      </c>
      <c r="C7" s="13"/>
      <c r="D7" s="13"/>
      <c r="E7" s="12" t="s">
        <v>171</v>
      </c>
      <c r="F7" s="11" t="s">
        <v>191</v>
      </c>
      <c r="G7" s="13">
        <v>1</v>
      </c>
      <c r="H7" s="267" t="s">
        <v>192</v>
      </c>
      <c r="I7" s="15" t="s">
        <v>51</v>
      </c>
      <c r="J7" s="16">
        <v>1</v>
      </c>
      <c r="K7" s="30"/>
      <c r="L7" s="17">
        <v>3</v>
      </c>
      <c r="M7" s="8"/>
      <c r="N7" s="8"/>
      <c r="O7" s="8"/>
      <c r="P7" s="8"/>
      <c r="Q7" s="8"/>
      <c r="R7" s="8"/>
      <c r="S7" s="8"/>
      <c r="T7" s="8"/>
      <c r="U7" s="8"/>
      <c r="V7" s="8"/>
      <c r="W7" s="8"/>
      <c r="X7" s="8"/>
      <c r="Y7" s="8"/>
      <c r="Z7" s="8"/>
    </row>
    <row r="8" ht="180" spans="1:26">
      <c r="A8" s="3"/>
      <c r="B8" s="17"/>
      <c r="C8" s="13"/>
      <c r="D8" s="13"/>
      <c r="E8" s="21"/>
      <c r="F8" s="27"/>
      <c r="G8" s="13">
        <v>2</v>
      </c>
      <c r="H8" s="267" t="s">
        <v>193</v>
      </c>
      <c r="I8" s="15" t="s">
        <v>194</v>
      </c>
      <c r="J8" s="16">
        <v>1</v>
      </c>
      <c r="K8" s="13"/>
      <c r="L8" s="17">
        <v>4</v>
      </c>
      <c r="M8" s="8"/>
      <c r="N8" s="8"/>
      <c r="O8" s="8"/>
      <c r="P8" s="8"/>
      <c r="Q8" s="8"/>
      <c r="R8" s="8"/>
      <c r="S8" s="8"/>
      <c r="T8" s="8"/>
      <c r="U8" s="8"/>
      <c r="V8" s="8"/>
      <c r="W8" s="8"/>
      <c r="X8" s="8"/>
      <c r="Y8" s="8"/>
      <c r="Z8" s="8"/>
    </row>
    <row r="9" ht="15.6" spans="1:26">
      <c r="A9" s="3"/>
      <c r="B9" s="17"/>
      <c r="C9" s="13"/>
      <c r="D9" s="13"/>
      <c r="E9" s="38" t="s">
        <v>168</v>
      </c>
      <c r="F9" s="38"/>
      <c r="G9" s="38"/>
      <c r="H9" s="38"/>
      <c r="I9" s="38"/>
      <c r="J9" s="39"/>
      <c r="K9" s="40"/>
      <c r="L9" s="268">
        <f>SUM(L7:L8)</f>
        <v>7</v>
      </c>
      <c r="M9" s="8"/>
      <c r="N9" s="8"/>
      <c r="O9" s="8"/>
      <c r="P9" s="8"/>
      <c r="Q9" s="8"/>
      <c r="R9" s="8"/>
      <c r="S9" s="8"/>
      <c r="T9" s="8"/>
      <c r="U9" s="8"/>
      <c r="V9" s="8"/>
      <c r="W9" s="8"/>
      <c r="X9" s="8"/>
      <c r="Y9" s="8"/>
      <c r="Z9" s="8"/>
    </row>
    <row r="10" ht="15.6" spans="1:26">
      <c r="A10" s="3"/>
      <c r="B10" s="17"/>
      <c r="C10" s="13"/>
      <c r="D10" s="13"/>
      <c r="E10" s="30" t="s">
        <v>169</v>
      </c>
      <c r="F10" s="30"/>
      <c r="G10" s="30"/>
      <c r="H10" s="42"/>
      <c r="I10" s="13"/>
      <c r="J10" s="43"/>
      <c r="K10" s="30"/>
      <c r="L10" s="44"/>
      <c r="M10" s="8"/>
      <c r="N10" s="8"/>
      <c r="O10" s="8"/>
      <c r="P10" s="8"/>
      <c r="Q10" s="8"/>
      <c r="R10" s="8"/>
      <c r="S10" s="8"/>
      <c r="T10" s="8"/>
      <c r="U10" s="8"/>
      <c r="V10" s="8"/>
      <c r="W10" s="8"/>
      <c r="X10" s="8"/>
      <c r="Y10" s="8"/>
      <c r="Z10" s="8"/>
    </row>
    <row r="11" ht="15" spans="1:26">
      <c r="A11" s="3"/>
      <c r="B11" s="17"/>
      <c r="C11" s="13"/>
      <c r="D11" s="13"/>
      <c r="E11" s="30"/>
      <c r="F11" s="30"/>
      <c r="G11" s="30"/>
      <c r="H11" s="14"/>
      <c r="I11" s="30"/>
      <c r="J11" s="43"/>
      <c r="K11" s="30"/>
      <c r="L11" s="44"/>
      <c r="M11" s="8"/>
      <c r="N11" s="8"/>
      <c r="O11" s="8"/>
      <c r="P11" s="8"/>
      <c r="Q11" s="8"/>
      <c r="R11" s="8"/>
      <c r="S11" s="8"/>
      <c r="T11" s="8"/>
      <c r="U11" s="8"/>
      <c r="V11" s="8"/>
      <c r="W11" s="8"/>
      <c r="X11" s="8"/>
      <c r="Y11" s="8"/>
      <c r="Z11" s="8"/>
    </row>
    <row r="12" s="1" customFormat="1" ht="60" spans="1:26">
      <c r="A12" s="3" t="s">
        <v>195</v>
      </c>
      <c r="B12" s="17" t="s">
        <v>44</v>
      </c>
      <c r="C12" s="13"/>
      <c r="D12" s="13"/>
      <c r="E12" s="30"/>
      <c r="F12" s="13"/>
      <c r="G12" s="13">
        <v>1</v>
      </c>
      <c r="H12" s="14" t="s">
        <v>196</v>
      </c>
      <c r="I12" s="15" t="s">
        <v>79</v>
      </c>
      <c r="J12" s="16">
        <v>1</v>
      </c>
      <c r="K12" s="30"/>
      <c r="L12" s="44">
        <v>0.6</v>
      </c>
    </row>
    <row r="13" s="1" customFormat="1" ht="69" customHeight="1" spans="1:26">
      <c r="A13" s="3"/>
      <c r="B13" s="17"/>
      <c r="C13" s="13"/>
      <c r="D13" s="13"/>
      <c r="E13" s="30"/>
      <c r="F13" s="13"/>
      <c r="G13" s="13">
        <v>2</v>
      </c>
      <c r="H13" s="265" t="s">
        <v>197</v>
      </c>
      <c r="I13" s="15" t="s">
        <v>44</v>
      </c>
      <c r="J13" s="16">
        <v>1</v>
      </c>
      <c r="K13" s="30"/>
      <c r="L13" s="44">
        <v>2</v>
      </c>
    </row>
    <row r="14" s="1" customFormat="1" ht="75" spans="1:26">
      <c r="A14" s="3"/>
      <c r="B14" s="17"/>
      <c r="C14" s="13"/>
      <c r="D14" s="13"/>
      <c r="E14" s="30"/>
      <c r="F14" s="13"/>
      <c r="G14" s="13">
        <v>3</v>
      </c>
      <c r="H14" s="265" t="s">
        <v>198</v>
      </c>
      <c r="I14" s="15" t="s">
        <v>199</v>
      </c>
      <c r="J14" s="16">
        <v>1</v>
      </c>
      <c r="K14" s="30"/>
      <c r="L14" s="44">
        <v>1.5</v>
      </c>
    </row>
    <row r="15" s="1" customFormat="1" ht="15" spans="1:26">
      <c r="A15" s="3"/>
      <c r="B15" s="17"/>
      <c r="C15" s="13"/>
      <c r="D15" s="13"/>
      <c r="E15" s="30"/>
      <c r="F15" s="13"/>
      <c r="G15" s="13"/>
      <c r="H15" s="269" t="s">
        <v>200</v>
      </c>
      <c r="I15" s="270" t="s">
        <v>91</v>
      </c>
      <c r="J15" s="271">
        <v>1</v>
      </c>
      <c r="K15" s="272"/>
      <c r="L15" s="273">
        <v>1</v>
      </c>
    </row>
    <row r="16" s="1" customFormat="1" ht="15" spans="1:26">
      <c r="A16" s="3"/>
      <c r="B16" s="17"/>
      <c r="C16" s="13"/>
      <c r="D16" s="13"/>
      <c r="E16" s="30"/>
      <c r="F16" s="13"/>
      <c r="G16" s="13"/>
      <c r="H16" s="269"/>
      <c r="I16" s="270" t="s">
        <v>181</v>
      </c>
      <c r="J16" s="271">
        <v>1</v>
      </c>
      <c r="K16" s="272"/>
      <c r="L16" s="273">
        <v>0</v>
      </c>
    </row>
    <row r="17" s="1" customFormat="1" ht="15" spans="1:12">
      <c r="A17" s="3"/>
      <c r="B17" s="17"/>
      <c r="C17" s="13"/>
      <c r="D17" s="13"/>
      <c r="E17" s="30"/>
      <c r="F17" s="13"/>
      <c r="G17" s="13"/>
      <c r="H17" s="269"/>
      <c r="I17" s="270" t="s">
        <v>182</v>
      </c>
      <c r="J17" s="271">
        <v>1</v>
      </c>
      <c r="K17" s="272"/>
      <c r="L17" s="273">
        <v>0</v>
      </c>
    </row>
    <row r="18" s="1" customFormat="1" ht="15" spans="1:12">
      <c r="A18" s="3"/>
      <c r="B18" s="17"/>
      <c r="C18" s="13"/>
      <c r="D18" s="13"/>
      <c r="E18" s="30"/>
      <c r="F18" s="13"/>
      <c r="G18" s="13"/>
      <c r="H18" s="269" t="s">
        <v>201</v>
      </c>
      <c r="I18" s="270" t="s">
        <v>185</v>
      </c>
      <c r="J18" s="271">
        <v>1</v>
      </c>
      <c r="K18" s="272"/>
      <c r="L18" s="274">
        <v>1</v>
      </c>
    </row>
    <row r="19" s="1" customFormat="1" ht="15" spans="1:12">
      <c r="A19" s="3"/>
      <c r="B19" s="17"/>
      <c r="C19" s="13"/>
      <c r="D19" s="13"/>
      <c r="E19" s="30"/>
      <c r="F19" s="13"/>
      <c r="G19" s="13"/>
      <c r="H19" s="269"/>
      <c r="I19" s="270" t="s">
        <v>186</v>
      </c>
      <c r="J19" s="271">
        <v>1</v>
      </c>
      <c r="K19" s="272"/>
      <c r="L19" s="274">
        <v>1</v>
      </c>
    </row>
    <row r="20" s="1" customFormat="1" ht="15" spans="1:12">
      <c r="A20" s="3"/>
      <c r="B20" s="17"/>
      <c r="C20" s="13"/>
      <c r="D20" s="13"/>
      <c r="E20" s="38" t="s">
        <v>168</v>
      </c>
      <c r="F20" s="38"/>
      <c r="G20" s="38"/>
      <c r="H20" s="38"/>
      <c r="I20" s="38"/>
      <c r="J20" s="39"/>
      <c r="K20" s="40"/>
      <c r="L20" s="41">
        <f>SUM(L12:L19)</f>
        <v>7.1</v>
      </c>
    </row>
    <row r="21" s="1" customFormat="1" ht="15.6" spans="1:12">
      <c r="A21" s="3"/>
      <c r="B21" s="17"/>
      <c r="C21" s="13"/>
      <c r="D21" s="13"/>
      <c r="E21" s="30" t="s">
        <v>169</v>
      </c>
      <c r="F21" s="30"/>
      <c r="G21" s="30"/>
      <c r="H21" s="42"/>
      <c r="I21" s="13"/>
      <c r="J21" s="43"/>
      <c r="K21" s="30"/>
      <c r="L21" s="44"/>
    </row>
    <row r="22" s="1" customFormat="1" ht="15" spans="1:12">
      <c r="A22" s="3"/>
      <c r="B22" s="17"/>
      <c r="C22" s="13"/>
      <c r="D22" s="13"/>
      <c r="E22" s="30"/>
      <c r="F22" s="30"/>
      <c r="G22" s="30"/>
      <c r="H22" s="14"/>
      <c r="I22" s="30"/>
      <c r="J22" s="43"/>
      <c r="K22" s="30"/>
      <c r="L22" s="44"/>
    </row>
    <row r="23" s="1" customFormat="1" ht="60" spans="1:12">
      <c r="A23" s="3" t="s">
        <v>43</v>
      </c>
      <c r="B23" s="17" t="s">
        <v>44</v>
      </c>
      <c r="C23" s="13"/>
      <c r="D23" s="13"/>
      <c r="E23" s="30" t="s">
        <v>171</v>
      </c>
      <c r="F23" s="13" t="s">
        <v>191</v>
      </c>
      <c r="G23" s="13">
        <v>1</v>
      </c>
      <c r="H23" s="265" t="s">
        <v>202</v>
      </c>
      <c r="I23" s="15" t="s">
        <v>203</v>
      </c>
      <c r="J23" s="16">
        <v>1</v>
      </c>
      <c r="K23" s="30"/>
      <c r="L23" s="44">
        <v>4</v>
      </c>
    </row>
    <row r="24" s="1" customFormat="1" ht="69" customHeight="1" spans="1:12">
      <c r="A24" s="3"/>
      <c r="B24" s="17"/>
      <c r="C24" s="13"/>
      <c r="D24" s="13"/>
      <c r="E24" s="30"/>
      <c r="F24" s="13"/>
      <c r="G24" s="13">
        <v>2</v>
      </c>
      <c r="H24" s="14" t="s">
        <v>204</v>
      </c>
      <c r="I24" s="15" t="s">
        <v>199</v>
      </c>
      <c r="J24" s="16">
        <v>1</v>
      </c>
      <c r="K24" s="30"/>
      <c r="L24" s="44">
        <v>2.5</v>
      </c>
    </row>
    <row r="25" s="1" customFormat="1" ht="45" spans="1:12">
      <c r="A25" s="3"/>
      <c r="B25" s="17"/>
      <c r="C25" s="13"/>
      <c r="D25" s="13"/>
      <c r="E25" s="30"/>
      <c r="F25" s="13"/>
      <c r="G25" s="13">
        <v>3</v>
      </c>
      <c r="H25" s="14" t="s">
        <v>205</v>
      </c>
      <c r="I25" s="15" t="s">
        <v>44</v>
      </c>
      <c r="J25" s="16">
        <v>1</v>
      </c>
      <c r="K25" s="30"/>
      <c r="L25" s="44">
        <v>2</v>
      </c>
    </row>
    <row r="26" s="1" customFormat="1" ht="15" spans="1:12">
      <c r="A26" s="3"/>
      <c r="B26" s="17"/>
      <c r="C26" s="13"/>
      <c r="D26" s="13"/>
      <c r="E26" s="38" t="s">
        <v>168</v>
      </c>
      <c r="F26" s="38"/>
      <c r="G26" s="38"/>
      <c r="H26" s="38"/>
      <c r="I26" s="38"/>
      <c r="J26" s="39"/>
      <c r="K26" s="40"/>
      <c r="L26" s="41">
        <f>SUM(L23:L25)</f>
        <v>8.5</v>
      </c>
    </row>
    <row r="27" s="1" customFormat="1" ht="15.6" spans="1:12">
      <c r="A27" s="3"/>
      <c r="B27" s="17"/>
      <c r="C27" s="13"/>
      <c r="D27" s="13"/>
      <c r="E27" s="30" t="s">
        <v>169</v>
      </c>
      <c r="F27" s="30"/>
      <c r="G27" s="30"/>
      <c r="H27" s="42"/>
      <c r="I27" s="13"/>
      <c r="J27" s="43"/>
      <c r="K27" s="30"/>
      <c r="L27" s="44"/>
    </row>
    <row r="28" s="1" customFormat="1" ht="15" spans="1:12">
      <c r="A28" s="3"/>
      <c r="B28" s="17"/>
      <c r="C28" s="13"/>
      <c r="D28" s="13"/>
      <c r="E28" s="30"/>
      <c r="F28" s="30"/>
      <c r="G28" s="30"/>
      <c r="H28" s="14"/>
      <c r="I28" s="30"/>
      <c r="J28" s="43"/>
      <c r="K28" s="30"/>
      <c r="L28" s="44"/>
    </row>
    <row r="29" ht="15" spans="1:12">
      <c r="A29" s="3" t="s">
        <v>54</v>
      </c>
      <c r="B29" s="17" t="s">
        <v>55</v>
      </c>
      <c r="C29" s="13"/>
      <c r="D29" s="13"/>
      <c r="E29" s="21"/>
      <c r="F29" s="20"/>
      <c r="G29" s="11">
        <v>1</v>
      </c>
      <c r="H29" s="265" t="s">
        <v>206</v>
      </c>
      <c r="I29" s="275" t="s">
        <v>207</v>
      </c>
      <c r="J29" s="16">
        <v>1</v>
      </c>
      <c r="K29" s="30"/>
      <c r="L29" s="44">
        <v>2</v>
      </c>
    </row>
    <row r="30" ht="15" spans="1:12">
      <c r="A30" s="3"/>
      <c r="B30" s="17"/>
      <c r="C30" s="13"/>
      <c r="D30" s="13"/>
      <c r="E30" s="21"/>
      <c r="F30" s="20"/>
      <c r="G30" s="11">
        <v>2</v>
      </c>
      <c r="H30" s="265" t="s">
        <v>208</v>
      </c>
      <c r="I30" s="275" t="s">
        <v>207</v>
      </c>
      <c r="J30" s="16">
        <v>0.1</v>
      </c>
      <c r="K30" s="30"/>
      <c r="L30" s="44">
        <v>1</v>
      </c>
    </row>
    <row r="31" ht="15" spans="1:12">
      <c r="A31" s="3"/>
      <c r="B31" s="17"/>
      <c r="C31" s="13"/>
      <c r="D31" s="13"/>
      <c r="E31" s="21"/>
      <c r="F31" s="20"/>
      <c r="G31" s="11">
        <v>3</v>
      </c>
      <c r="H31" s="265" t="s">
        <v>209</v>
      </c>
      <c r="I31" s="275" t="s">
        <v>210</v>
      </c>
      <c r="J31" s="16">
        <v>0.3</v>
      </c>
      <c r="K31" s="30"/>
      <c r="L31" s="44">
        <v>3</v>
      </c>
    </row>
    <row r="32" ht="15" spans="1:12">
      <c r="A32" s="3"/>
      <c r="B32" s="17"/>
      <c r="C32" s="13"/>
      <c r="D32" s="13"/>
      <c r="E32" s="37"/>
      <c r="F32" s="27"/>
      <c r="G32" s="13">
        <v>3</v>
      </c>
      <c r="H32" s="265" t="s">
        <v>211</v>
      </c>
      <c r="I32" s="15" t="s">
        <v>55</v>
      </c>
      <c r="J32" s="16">
        <v>1</v>
      </c>
      <c r="K32" s="30"/>
      <c r="L32" s="44">
        <v>0.5</v>
      </c>
    </row>
    <row r="33" ht="15" spans="1:12">
      <c r="A33" s="3"/>
      <c r="B33" s="17"/>
      <c r="C33" s="13"/>
      <c r="D33" s="13"/>
      <c r="E33" s="38" t="s">
        <v>168</v>
      </c>
      <c r="F33" s="38"/>
      <c r="G33" s="38"/>
      <c r="H33" s="38"/>
      <c r="I33" s="38"/>
      <c r="J33" s="39"/>
      <c r="K33" s="40"/>
      <c r="L33" s="41">
        <f>SUM(L29:L32)</f>
        <v>6.5</v>
      </c>
    </row>
    <row r="34" ht="15" spans="1:12">
      <c r="A34" s="3"/>
      <c r="B34" s="17"/>
      <c r="C34" s="13"/>
      <c r="D34" s="13"/>
      <c r="E34" s="30"/>
      <c r="F34" s="30"/>
      <c r="G34" s="30"/>
      <c r="H34" s="14"/>
      <c r="I34" s="13"/>
      <c r="J34" s="43"/>
      <c r="K34" s="30"/>
      <c r="L34" s="44"/>
    </row>
    <row r="35" ht="15" spans="1:12">
      <c r="A35" s="3"/>
      <c r="B35" s="17"/>
      <c r="C35" s="13"/>
      <c r="D35" s="13"/>
      <c r="E35" s="30"/>
      <c r="F35" s="30"/>
      <c r="G35" s="30"/>
      <c r="H35" s="14"/>
      <c r="I35" s="30"/>
      <c r="J35" s="43"/>
      <c r="K35" s="30"/>
      <c r="L35" s="44"/>
    </row>
    <row r="36" ht="15" spans="1:12">
      <c r="A36" s="3" t="s">
        <v>94</v>
      </c>
      <c r="B36" s="17" t="s">
        <v>55</v>
      </c>
      <c r="C36" s="13"/>
      <c r="D36" s="13"/>
      <c r="E36" s="21"/>
      <c r="F36" s="20"/>
      <c r="G36" s="13">
        <v>1</v>
      </c>
      <c r="H36" s="265" t="s">
        <v>212</v>
      </c>
      <c r="I36" s="15" t="s">
        <v>213</v>
      </c>
      <c r="J36" s="16">
        <v>1</v>
      </c>
      <c r="K36" s="30"/>
      <c r="L36" s="44">
        <v>2.5</v>
      </c>
    </row>
    <row r="37" ht="15" spans="1:12">
      <c r="A37" s="3"/>
      <c r="B37" s="17"/>
      <c r="C37" s="13"/>
      <c r="D37" s="13"/>
      <c r="E37" s="21"/>
      <c r="F37" s="20"/>
      <c r="G37" s="13">
        <v>2</v>
      </c>
      <c r="H37" s="265" t="s">
        <v>214</v>
      </c>
      <c r="I37" s="15" t="s">
        <v>55</v>
      </c>
      <c r="J37" s="16">
        <v>1</v>
      </c>
      <c r="K37" s="30"/>
      <c r="L37" s="44">
        <v>3.5</v>
      </c>
    </row>
    <row r="38" ht="15" spans="1:12">
      <c r="A38" s="3"/>
      <c r="B38" s="17"/>
      <c r="C38" s="13"/>
      <c r="D38" s="13"/>
      <c r="E38" s="21"/>
      <c r="F38" s="20"/>
      <c r="G38" s="13">
        <v>3</v>
      </c>
      <c r="H38" s="265" t="s">
        <v>215</v>
      </c>
      <c r="I38" s="15" t="s">
        <v>216</v>
      </c>
      <c r="J38" s="16">
        <v>1</v>
      </c>
      <c r="K38" s="30"/>
      <c r="L38" s="44">
        <v>0.5</v>
      </c>
    </row>
    <row r="39" ht="15" spans="1:12">
      <c r="A39" s="3"/>
      <c r="B39" s="17"/>
      <c r="C39" s="13"/>
      <c r="D39" s="13"/>
      <c r="E39" s="21"/>
      <c r="F39" s="20"/>
      <c r="G39" s="13">
        <v>5</v>
      </c>
      <c r="H39" s="265" t="s">
        <v>217</v>
      </c>
      <c r="I39" s="15" t="s">
        <v>218</v>
      </c>
      <c r="J39" s="16">
        <v>1</v>
      </c>
      <c r="K39" s="30"/>
      <c r="L39" s="44">
        <v>4</v>
      </c>
    </row>
    <row r="40" ht="15" spans="1:12">
      <c r="A40" s="3"/>
      <c r="B40" s="17"/>
      <c r="C40" s="13"/>
      <c r="D40" s="13"/>
      <c r="E40" s="38" t="s">
        <v>168</v>
      </c>
      <c r="F40" s="38"/>
      <c r="G40" s="38"/>
      <c r="H40" s="38"/>
      <c r="I40" s="38"/>
      <c r="J40" s="39"/>
      <c r="K40" s="40"/>
      <c r="L40" s="41">
        <f>SUM(L36:L39)</f>
        <v>10.5</v>
      </c>
    </row>
    <row r="41" ht="15" spans="1:12">
      <c r="A41" s="3"/>
      <c r="B41" s="17"/>
      <c r="C41" s="13"/>
      <c r="D41" s="13"/>
      <c r="E41" s="30" t="s">
        <v>169</v>
      </c>
      <c r="F41" s="30"/>
      <c r="G41" s="30"/>
      <c r="H41" s="14"/>
      <c r="I41" s="13"/>
      <c r="J41" s="43"/>
      <c r="K41" s="30"/>
      <c r="L41" s="44"/>
    </row>
    <row r="42" ht="15" spans="1:12">
      <c r="A42" s="3"/>
      <c r="B42" s="17"/>
      <c r="C42" s="13"/>
      <c r="D42" s="13"/>
      <c r="E42" s="30"/>
      <c r="F42" s="30"/>
      <c r="G42" s="30"/>
      <c r="H42" s="14"/>
      <c r="I42" s="30"/>
      <c r="J42" s="43"/>
      <c r="K42" s="30"/>
      <c r="L42" s="44"/>
    </row>
    <row r="43" ht="15" spans="1:12">
      <c r="A43" s="276" t="s">
        <v>95</v>
      </c>
      <c r="B43" s="17" t="s">
        <v>63</v>
      </c>
      <c r="C43" s="13"/>
      <c r="D43" s="13"/>
      <c r="E43" s="21"/>
      <c r="F43" s="20"/>
      <c r="G43" s="13">
        <v>1</v>
      </c>
      <c r="H43" s="265" t="s">
        <v>219</v>
      </c>
      <c r="I43" s="15" t="s">
        <v>220</v>
      </c>
      <c r="J43" s="16">
        <v>1</v>
      </c>
      <c r="K43" s="30"/>
      <c r="L43" s="44">
        <v>4</v>
      </c>
    </row>
    <row r="44" ht="45" spans="1:12">
      <c r="A44" s="276"/>
      <c r="B44" s="17"/>
      <c r="C44" s="13"/>
      <c r="D44" s="13"/>
      <c r="E44" s="21"/>
      <c r="F44" s="20"/>
      <c r="G44" s="13">
        <v>2</v>
      </c>
      <c r="H44" s="265" t="s">
        <v>221</v>
      </c>
      <c r="I44" s="15" t="s">
        <v>222</v>
      </c>
      <c r="J44" s="16">
        <v>1</v>
      </c>
      <c r="K44" s="30"/>
      <c r="L44" s="44">
        <v>4</v>
      </c>
    </row>
    <row r="45" ht="15" spans="1:12">
      <c r="A45" s="276"/>
      <c r="B45" s="17"/>
      <c r="C45" s="13"/>
      <c r="D45" s="13"/>
      <c r="E45" s="21"/>
      <c r="F45" s="20"/>
      <c r="G45" s="13">
        <v>3</v>
      </c>
      <c r="H45" s="265" t="s">
        <v>223</v>
      </c>
      <c r="I45" s="15" t="s">
        <v>224</v>
      </c>
      <c r="J45" s="16">
        <v>1</v>
      </c>
      <c r="K45" s="30"/>
      <c r="L45" s="44">
        <v>3.5</v>
      </c>
    </row>
    <row r="46" ht="15" spans="1:12">
      <c r="A46" s="276"/>
      <c r="B46" s="17"/>
      <c r="C46" s="13"/>
      <c r="D46" s="13"/>
      <c r="E46" s="21"/>
      <c r="F46" s="20"/>
      <c r="G46" s="13">
        <v>4</v>
      </c>
      <c r="H46" s="265" t="s">
        <v>225</v>
      </c>
      <c r="I46" s="15" t="s">
        <v>226</v>
      </c>
      <c r="J46" s="16">
        <v>0.6</v>
      </c>
      <c r="K46" s="30"/>
      <c r="L46" s="44">
        <v>4</v>
      </c>
    </row>
    <row r="47" ht="15" spans="1:12">
      <c r="A47" s="276"/>
      <c r="B47" s="17"/>
      <c r="C47" s="13"/>
      <c r="D47" s="13"/>
      <c r="E47" s="21"/>
      <c r="F47" s="20"/>
      <c r="G47" s="13">
        <v>5</v>
      </c>
      <c r="H47" s="265" t="s">
        <v>227</v>
      </c>
      <c r="I47" s="15" t="s">
        <v>228</v>
      </c>
      <c r="J47" s="16"/>
      <c r="K47" s="30"/>
      <c r="L47" s="44"/>
    </row>
    <row r="48" ht="75" spans="1:12">
      <c r="A48" s="276"/>
      <c r="B48" s="17"/>
      <c r="C48" s="13"/>
      <c r="D48" s="13"/>
      <c r="E48" s="21"/>
      <c r="F48" s="20"/>
      <c r="G48" s="13">
        <v>6</v>
      </c>
      <c r="H48" s="265" t="s">
        <v>229</v>
      </c>
      <c r="I48" s="15" t="s">
        <v>230</v>
      </c>
      <c r="J48" s="16">
        <v>1</v>
      </c>
      <c r="K48" s="30"/>
      <c r="L48" s="44">
        <v>1.2</v>
      </c>
    </row>
    <row r="49" ht="15" spans="1:12">
      <c r="A49" s="276"/>
      <c r="B49" s="17"/>
      <c r="C49" s="13"/>
      <c r="D49" s="13"/>
      <c r="E49" s="21"/>
      <c r="F49" s="20"/>
      <c r="G49" s="13">
        <v>7</v>
      </c>
      <c r="H49" s="265" t="s">
        <v>231</v>
      </c>
      <c r="I49" s="15" t="s">
        <v>63</v>
      </c>
      <c r="J49" s="16"/>
      <c r="K49" s="30"/>
      <c r="L49" s="44">
        <v>4</v>
      </c>
    </row>
    <row r="50" ht="15" spans="1:12">
      <c r="A50" s="276"/>
      <c r="B50" s="17"/>
      <c r="C50" s="13"/>
      <c r="D50" s="13"/>
      <c r="E50" s="38" t="s">
        <v>168</v>
      </c>
      <c r="F50" s="38"/>
      <c r="G50" s="38"/>
      <c r="H50" s="38"/>
      <c r="I50" s="38"/>
      <c r="J50" s="39"/>
      <c r="K50" s="40"/>
      <c r="L50" s="41">
        <f>SUM(L43:L49)</f>
        <v>20.7</v>
      </c>
    </row>
    <row r="51" ht="15.6" spans="1:12">
      <c r="A51" s="276"/>
      <c r="B51" s="17"/>
      <c r="C51" s="13"/>
      <c r="D51" s="13"/>
      <c r="E51" s="30" t="s">
        <v>169</v>
      </c>
      <c r="F51" s="30"/>
      <c r="G51" s="30"/>
      <c r="H51" s="42"/>
      <c r="I51" s="13"/>
      <c r="J51" s="43"/>
      <c r="K51" s="30"/>
      <c r="L51" s="44"/>
    </row>
    <row r="52" ht="15" spans="1:12">
      <c r="A52" s="277"/>
      <c r="B52" s="17"/>
      <c r="C52" s="13"/>
      <c r="D52" s="13"/>
      <c r="E52" s="30"/>
      <c r="F52" s="30"/>
      <c r="G52" s="30"/>
      <c r="H52" s="14"/>
      <c r="I52" s="30"/>
      <c r="J52" s="43"/>
      <c r="K52" s="30"/>
      <c r="L52" s="44"/>
    </row>
    <row r="53" ht="15" spans="1:12">
      <c r="A53" s="278" t="s">
        <v>96</v>
      </c>
      <c r="B53" s="17" t="s">
        <v>63</v>
      </c>
      <c r="C53" s="13"/>
      <c r="D53" s="13"/>
      <c r="E53" s="21"/>
      <c r="F53" s="20"/>
      <c r="G53" s="13">
        <v>1</v>
      </c>
      <c r="H53" s="265" t="s">
        <v>232</v>
      </c>
      <c r="I53" s="15" t="s">
        <v>213</v>
      </c>
      <c r="J53" s="16">
        <v>1</v>
      </c>
      <c r="K53" s="30"/>
      <c r="L53" s="44">
        <v>1.5</v>
      </c>
    </row>
    <row r="54" ht="15" spans="1:12">
      <c r="A54" s="276"/>
      <c r="B54" s="17"/>
      <c r="C54" s="13"/>
      <c r="D54" s="13"/>
      <c r="E54" s="21"/>
      <c r="F54" s="20"/>
      <c r="G54" s="13">
        <v>2</v>
      </c>
      <c r="H54" s="265" t="s">
        <v>232</v>
      </c>
      <c r="I54" s="15" t="s">
        <v>224</v>
      </c>
      <c r="J54" s="16">
        <v>1</v>
      </c>
      <c r="K54" s="30"/>
      <c r="L54" s="44">
        <v>0.5</v>
      </c>
    </row>
    <row r="55" ht="15" spans="1:12">
      <c r="A55" s="276"/>
      <c r="B55" s="17"/>
      <c r="C55" s="13"/>
      <c r="D55" s="13"/>
      <c r="E55" s="38" t="s">
        <v>168</v>
      </c>
      <c r="F55" s="38"/>
      <c r="G55" s="38"/>
      <c r="H55" s="38"/>
      <c r="I55" s="38"/>
      <c r="J55" s="39"/>
      <c r="K55" s="40"/>
      <c r="L55" s="41">
        <f>SUM(L53:L54)</f>
        <v>2</v>
      </c>
    </row>
    <row r="56" ht="15.6" spans="1:12">
      <c r="A56" s="276"/>
      <c r="B56" s="17"/>
      <c r="C56" s="13"/>
      <c r="D56" s="13"/>
      <c r="E56" s="30" t="s">
        <v>169</v>
      </c>
      <c r="F56" s="30"/>
      <c r="G56" s="30"/>
      <c r="H56" s="42"/>
      <c r="I56" s="13"/>
      <c r="J56" s="43"/>
      <c r="K56" s="30"/>
      <c r="L56" s="44"/>
    </row>
  </sheetData>
  <mergeCells count="72">
    <mergeCell ref="E4:H4"/>
    <mergeCell ref="E9:H9"/>
    <mergeCell ref="E20:H20"/>
    <mergeCell ref="E26:H26"/>
    <mergeCell ref="E33:H33"/>
    <mergeCell ref="E40:H40"/>
    <mergeCell ref="E50:H50"/>
    <mergeCell ref="E55:H55"/>
    <mergeCell ref="A2:A6"/>
    <mergeCell ref="A7:A11"/>
    <mergeCell ref="A12:A22"/>
    <mergeCell ref="A23:A28"/>
    <mergeCell ref="A29:A35"/>
    <mergeCell ref="A36:A42"/>
    <mergeCell ref="A43:A52"/>
    <mergeCell ref="A53:A56"/>
    <mergeCell ref="B2:B6"/>
    <mergeCell ref="B7:B11"/>
    <mergeCell ref="B12:B22"/>
    <mergeCell ref="B23:B28"/>
    <mergeCell ref="B29:B35"/>
    <mergeCell ref="B36:B42"/>
    <mergeCell ref="B43:B52"/>
    <mergeCell ref="B53:B56"/>
    <mergeCell ref="C2:C6"/>
    <mergeCell ref="C7:C11"/>
    <mergeCell ref="C12:C22"/>
    <mergeCell ref="C23:C28"/>
    <mergeCell ref="C29:C35"/>
    <mergeCell ref="C36:C42"/>
    <mergeCell ref="C43:C52"/>
    <mergeCell ref="C53:C56"/>
    <mergeCell ref="D2:D6"/>
    <mergeCell ref="D7:D11"/>
    <mergeCell ref="D12:D22"/>
    <mergeCell ref="D23:D28"/>
    <mergeCell ref="D29:D35"/>
    <mergeCell ref="D36:D42"/>
    <mergeCell ref="D43:D52"/>
    <mergeCell ref="D53:D56"/>
    <mergeCell ref="E2:E3"/>
    <mergeCell ref="E5:E6"/>
    <mergeCell ref="E7:E8"/>
    <mergeCell ref="E10:E11"/>
    <mergeCell ref="E12:E14"/>
    <mergeCell ref="E21:E22"/>
    <mergeCell ref="E23:E25"/>
    <mergeCell ref="E27:E28"/>
    <mergeCell ref="E29:E32"/>
    <mergeCell ref="E34:E35"/>
    <mergeCell ref="E36:E39"/>
    <mergeCell ref="E41:E42"/>
    <mergeCell ref="E43:E49"/>
    <mergeCell ref="E51:E52"/>
    <mergeCell ref="E53:E54"/>
    <mergeCell ref="F2:F3"/>
    <mergeCell ref="F5:F6"/>
    <mergeCell ref="F7:F8"/>
    <mergeCell ref="F10:F11"/>
    <mergeCell ref="F12:F14"/>
    <mergeCell ref="F21:F22"/>
    <mergeCell ref="F23:F25"/>
    <mergeCell ref="F27:F28"/>
    <mergeCell ref="F29:F32"/>
    <mergeCell ref="F34:F35"/>
    <mergeCell ref="F36:F39"/>
    <mergeCell ref="F41:F42"/>
    <mergeCell ref="F43:F49"/>
    <mergeCell ref="F51:F52"/>
    <mergeCell ref="F53:F54"/>
    <mergeCell ref="H15:H17"/>
    <mergeCell ref="H18:H19"/>
  </mergeCells>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FF"/>
  </sheetPr>
  <dimension ref="A1:Z31"/>
  <sheetViews>
    <sheetView workbookViewId="0">
      <pane ySplit="1" topLeftCell="A5" activePane="bottomLeft" state="frozen"/>
      <selection/>
      <selection pane="bottomLeft" activeCell="A19" sqref="A19:L31"/>
    </sheetView>
  </sheetViews>
  <sheetFormatPr defaultColWidth="8.71296296296296" defaultRowHeight="13.2"/>
  <cols>
    <col min="1" max="1" width="22.4259259259259" style="1" customWidth="1"/>
    <col min="2" max="2" width="11.7222222222222" style="1" customWidth="1"/>
    <col min="3" max="7" width="9.14814814814815" style="1"/>
    <col min="8" max="8" width="59.7222222222222" style="1" customWidth="1"/>
    <col min="9" max="11" width="9.14814814814815" style="1"/>
    <col min="12" max="12" width="19.5740740740741" style="2" customWidth="1"/>
    <col min="13" max="16384" width="9.14814814814815" style="1"/>
  </cols>
  <sheetData>
    <row r="1" ht="69.6" spans="1:26">
      <c r="A1" s="3" t="s">
        <v>146</v>
      </c>
      <c r="B1" s="4" t="s">
        <v>6</v>
      </c>
      <c r="C1" s="3" t="s">
        <v>147</v>
      </c>
      <c r="D1" s="3" t="s">
        <v>148</v>
      </c>
      <c r="E1" s="4" t="s">
        <v>149</v>
      </c>
      <c r="F1" s="3" t="s">
        <v>150</v>
      </c>
      <c r="G1" s="3" t="s">
        <v>1</v>
      </c>
      <c r="H1" s="5" t="s">
        <v>151</v>
      </c>
      <c r="I1" s="3" t="s">
        <v>152</v>
      </c>
      <c r="J1" s="6" t="s">
        <v>153</v>
      </c>
      <c r="K1" s="3" t="s">
        <v>154</v>
      </c>
      <c r="L1" s="7" t="s">
        <v>155</v>
      </c>
      <c r="M1" s="8"/>
      <c r="N1" s="8"/>
      <c r="O1" s="8"/>
      <c r="P1" s="8"/>
      <c r="Q1" s="8"/>
      <c r="R1" s="8"/>
      <c r="S1" s="8"/>
      <c r="T1" s="8"/>
      <c r="U1" s="8"/>
      <c r="V1" s="8"/>
      <c r="W1" s="8"/>
      <c r="X1" s="8"/>
      <c r="Y1" s="8"/>
      <c r="Z1" s="8"/>
    </row>
    <row r="2" ht="15.6" spans="1:26">
      <c r="A2" s="3" t="s">
        <v>233</v>
      </c>
      <c r="B2" s="17" t="s">
        <v>60</v>
      </c>
      <c r="C2" s="16">
        <v>1</v>
      </c>
      <c r="D2" s="13"/>
      <c r="E2" s="30" t="s">
        <v>171</v>
      </c>
      <c r="F2" s="13" t="s">
        <v>191</v>
      </c>
      <c r="G2" s="13">
        <v>1</v>
      </c>
      <c r="H2" s="14" t="s">
        <v>234</v>
      </c>
      <c r="I2" s="15" t="s">
        <v>235</v>
      </c>
      <c r="J2" s="16">
        <v>1</v>
      </c>
      <c r="K2" s="30"/>
      <c r="L2" s="17">
        <v>2</v>
      </c>
    </row>
    <row r="3" ht="15.6" spans="1:26">
      <c r="A3" s="3"/>
      <c r="B3" s="17"/>
      <c r="C3" s="16"/>
      <c r="D3" s="13"/>
      <c r="E3" s="30"/>
      <c r="F3" s="13"/>
      <c r="G3" s="13">
        <v>2</v>
      </c>
      <c r="H3" s="265" t="s">
        <v>236</v>
      </c>
      <c r="I3" s="15" t="s">
        <v>237</v>
      </c>
      <c r="J3" s="16">
        <v>1</v>
      </c>
      <c r="K3" s="30"/>
      <c r="L3" s="17">
        <v>0.5</v>
      </c>
    </row>
    <row r="4" ht="15.6" spans="1:26">
      <c r="A4" s="3"/>
      <c r="B4" s="17"/>
      <c r="C4" s="16"/>
      <c r="D4" s="13"/>
      <c r="E4" s="30"/>
      <c r="F4" s="13"/>
      <c r="G4" s="13">
        <v>3</v>
      </c>
      <c r="H4" s="14" t="s">
        <v>238</v>
      </c>
      <c r="I4" s="15" t="s">
        <v>239</v>
      </c>
      <c r="J4" s="16">
        <v>1</v>
      </c>
      <c r="K4" s="30"/>
      <c r="L4" s="17">
        <v>0.5</v>
      </c>
    </row>
    <row r="5" ht="27" customHeight="1" spans="1:26">
      <c r="A5" s="3"/>
      <c r="B5" s="17"/>
      <c r="C5" s="16"/>
      <c r="D5" s="13"/>
      <c r="E5" s="38" t="s">
        <v>168</v>
      </c>
      <c r="F5" s="38"/>
      <c r="G5" s="38"/>
      <c r="H5" s="38"/>
      <c r="I5" s="38"/>
      <c r="J5" s="39"/>
      <c r="K5" s="40"/>
      <c r="L5" s="41">
        <f>SUM(L2:L4)</f>
        <v>3</v>
      </c>
    </row>
    <row r="6" ht="15.6" spans="1:26">
      <c r="A6" s="3"/>
      <c r="B6" s="17"/>
      <c r="C6" s="16"/>
      <c r="D6" s="13"/>
      <c r="E6" s="30" t="s">
        <v>169</v>
      </c>
      <c r="F6" s="30" t="s">
        <v>191</v>
      </c>
      <c r="G6" s="30">
        <v>1</v>
      </c>
      <c r="H6" s="42" t="s">
        <v>240</v>
      </c>
      <c r="I6" s="13" t="s">
        <v>235</v>
      </c>
      <c r="J6" s="43"/>
      <c r="K6" s="30"/>
      <c r="L6" s="44"/>
    </row>
    <row r="7" ht="15" spans="1:26">
      <c r="A7" s="9"/>
      <c r="B7" s="10"/>
      <c r="C7" s="24"/>
      <c r="D7" s="11"/>
      <c r="E7" s="12"/>
      <c r="F7" s="12"/>
      <c r="G7" s="30">
        <v>2</v>
      </c>
      <c r="H7" s="265" t="s">
        <v>241</v>
      </c>
      <c r="I7" s="15" t="s">
        <v>239</v>
      </c>
      <c r="J7" s="16"/>
      <c r="K7" s="30"/>
      <c r="L7" s="44"/>
    </row>
    <row r="8" ht="15" spans="1:26">
      <c r="A8" s="9" t="s">
        <v>242</v>
      </c>
      <c r="B8" s="10" t="s">
        <v>63</v>
      </c>
      <c r="C8" s="24">
        <v>0.85</v>
      </c>
      <c r="D8" s="11"/>
      <c r="E8" s="12" t="s">
        <v>171</v>
      </c>
      <c r="F8" s="11" t="s">
        <v>56</v>
      </c>
      <c r="G8" s="13">
        <v>1</v>
      </c>
      <c r="H8" s="265" t="s">
        <v>243</v>
      </c>
      <c r="I8" s="15" t="s">
        <v>237</v>
      </c>
      <c r="J8" s="16">
        <v>1</v>
      </c>
      <c r="K8" s="30"/>
      <c r="L8" s="44">
        <v>1</v>
      </c>
    </row>
    <row r="9" ht="15" spans="1:26">
      <c r="A9" s="18"/>
      <c r="B9" s="19"/>
      <c r="C9" s="26"/>
      <c r="D9" s="20"/>
      <c r="E9" s="12"/>
      <c r="F9" s="11"/>
      <c r="G9" s="13">
        <v>2</v>
      </c>
      <c r="H9" s="14" t="s">
        <v>244</v>
      </c>
      <c r="I9" s="15" t="s">
        <v>245</v>
      </c>
      <c r="J9" s="16">
        <v>0.9</v>
      </c>
      <c r="K9" s="30"/>
      <c r="L9" s="44">
        <v>2</v>
      </c>
    </row>
    <row r="10" ht="15" spans="1:26">
      <c r="A10" s="18"/>
      <c r="B10" s="19"/>
      <c r="C10" s="26"/>
      <c r="D10" s="20"/>
      <c r="E10" s="12"/>
      <c r="F10" s="11"/>
      <c r="G10" s="13"/>
      <c r="H10" s="14"/>
      <c r="I10" s="15" t="s">
        <v>216</v>
      </c>
      <c r="J10" s="16"/>
      <c r="K10" s="30"/>
      <c r="L10" s="44">
        <v>3.5</v>
      </c>
    </row>
    <row r="11" ht="15" spans="1:26">
      <c r="A11" s="18"/>
      <c r="B11" s="19"/>
      <c r="C11" s="26"/>
      <c r="D11" s="20"/>
      <c r="E11" s="12"/>
      <c r="F11" s="11"/>
      <c r="G11" s="13"/>
      <c r="H11" s="14"/>
      <c r="I11" s="15" t="s">
        <v>246</v>
      </c>
      <c r="J11" s="16"/>
      <c r="K11" s="30"/>
      <c r="L11" s="44">
        <v>3.5</v>
      </c>
    </row>
    <row r="12" ht="15" spans="1:26">
      <c r="A12" s="18"/>
      <c r="B12" s="19"/>
      <c r="C12" s="26"/>
      <c r="D12" s="20"/>
      <c r="E12" s="12"/>
      <c r="F12" s="11"/>
      <c r="G12" s="13">
        <v>3</v>
      </c>
      <c r="H12" s="265" t="s">
        <v>247</v>
      </c>
      <c r="I12" s="15" t="s">
        <v>230</v>
      </c>
      <c r="J12" s="16">
        <v>1</v>
      </c>
      <c r="K12" s="30"/>
      <c r="L12" s="44">
        <v>2.5</v>
      </c>
    </row>
    <row r="13" ht="15" spans="1:26">
      <c r="A13" s="18"/>
      <c r="B13" s="19"/>
      <c r="C13" s="26"/>
      <c r="D13" s="20"/>
      <c r="E13" s="12"/>
      <c r="F13" s="11"/>
      <c r="G13" s="13">
        <v>4</v>
      </c>
      <c r="H13" s="265" t="s">
        <v>248</v>
      </c>
      <c r="I13" s="15" t="s">
        <v>239</v>
      </c>
      <c r="J13" s="16">
        <v>1</v>
      </c>
      <c r="K13" s="30"/>
      <c r="L13" s="44">
        <v>1.5</v>
      </c>
    </row>
    <row r="14" ht="15" spans="1:26">
      <c r="A14" s="18"/>
      <c r="B14" s="19"/>
      <c r="C14" s="26"/>
      <c r="D14" s="20"/>
      <c r="E14" s="38" t="s">
        <v>168</v>
      </c>
      <c r="F14" s="38"/>
      <c r="G14" s="38"/>
      <c r="H14" s="38"/>
      <c r="I14" s="38"/>
      <c r="J14" s="39"/>
      <c r="K14" s="40"/>
      <c r="L14" s="41">
        <f>SUM(L8:L13)</f>
        <v>14</v>
      </c>
    </row>
    <row r="15" ht="15" spans="1:26">
      <c r="A15" s="18"/>
      <c r="B15" s="19"/>
      <c r="C15" s="26"/>
      <c r="D15" s="20"/>
      <c r="E15" s="12" t="s">
        <v>169</v>
      </c>
      <c r="F15" s="11" t="s">
        <v>56</v>
      </c>
      <c r="G15" s="13">
        <v>1</v>
      </c>
      <c r="H15" s="265" t="s">
        <v>249</v>
      </c>
      <c r="I15" s="15" t="s">
        <v>237</v>
      </c>
      <c r="J15" s="266"/>
      <c r="K15" s="30"/>
      <c r="L15" s="44"/>
    </row>
    <row r="16" ht="15" spans="1:26">
      <c r="A16" s="18"/>
      <c r="B16" s="19"/>
      <c r="C16" s="26"/>
      <c r="D16" s="20"/>
      <c r="E16" s="12"/>
      <c r="F16" s="11"/>
      <c r="G16" s="13">
        <v>2</v>
      </c>
      <c r="H16" s="14" t="s">
        <v>250</v>
      </c>
      <c r="I16" s="15" t="s">
        <v>245</v>
      </c>
      <c r="J16" s="16"/>
      <c r="K16" s="30"/>
      <c r="L16" s="44"/>
    </row>
    <row r="17" ht="15" spans="1:12">
      <c r="A17" s="18"/>
      <c r="B17" s="19"/>
      <c r="C17" s="26"/>
      <c r="D17" s="20"/>
      <c r="E17" s="12"/>
      <c r="F17" s="11"/>
      <c r="G17" s="13">
        <v>3</v>
      </c>
      <c r="H17" s="14" t="s">
        <v>251</v>
      </c>
      <c r="I17" s="15" t="s">
        <v>246</v>
      </c>
      <c r="J17" s="16"/>
      <c r="K17" s="30"/>
      <c r="L17" s="44"/>
    </row>
    <row r="18" ht="15" spans="1:12">
      <c r="A18" s="18"/>
      <c r="B18" s="19"/>
      <c r="C18" s="26"/>
      <c r="D18" s="20"/>
      <c r="E18" s="12"/>
      <c r="F18" s="11"/>
      <c r="G18" s="13">
        <v>4</v>
      </c>
      <c r="H18" s="14" t="s">
        <v>252</v>
      </c>
      <c r="I18" s="15" t="s">
        <v>239</v>
      </c>
      <c r="J18" s="16"/>
      <c r="K18" s="30"/>
      <c r="L18" s="44"/>
    </row>
    <row r="19" ht="15" spans="1:12">
      <c r="A19" s="3" t="s">
        <v>253</v>
      </c>
      <c r="B19" s="17" t="s">
        <v>144</v>
      </c>
      <c r="C19" s="13"/>
      <c r="D19" s="13"/>
      <c r="E19" s="30" t="s">
        <v>171</v>
      </c>
      <c r="F19" s="13" t="s">
        <v>134</v>
      </c>
      <c r="G19" s="13">
        <v>1</v>
      </c>
      <c r="H19" s="14" t="s">
        <v>254</v>
      </c>
      <c r="I19" s="15" t="s">
        <v>255</v>
      </c>
      <c r="J19" s="16">
        <v>0.95</v>
      </c>
      <c r="K19" s="30"/>
      <c r="L19" s="44">
        <v>2</v>
      </c>
    </row>
    <row r="20" ht="15" spans="1:12">
      <c r="A20" s="3"/>
      <c r="B20" s="17"/>
      <c r="C20" s="13"/>
      <c r="D20" s="13"/>
      <c r="E20" s="30"/>
      <c r="F20" s="13"/>
      <c r="G20" s="13">
        <v>2</v>
      </c>
      <c r="H20" s="14" t="s">
        <v>256</v>
      </c>
      <c r="I20" s="15" t="s">
        <v>239</v>
      </c>
      <c r="J20" s="16">
        <v>1</v>
      </c>
      <c r="K20" s="30"/>
      <c r="L20" s="44">
        <v>0.5</v>
      </c>
    </row>
    <row r="21" ht="15" spans="1:12">
      <c r="A21" s="3"/>
      <c r="B21" s="17"/>
      <c r="C21" s="13"/>
      <c r="D21" s="13"/>
      <c r="E21" s="30"/>
      <c r="F21" s="13"/>
      <c r="G21" s="13">
        <v>3</v>
      </c>
      <c r="H21" s="14" t="s">
        <v>257</v>
      </c>
      <c r="I21" s="15" t="s">
        <v>60</v>
      </c>
      <c r="J21" s="16">
        <v>1</v>
      </c>
      <c r="K21" s="30"/>
      <c r="L21" s="44">
        <v>1</v>
      </c>
    </row>
    <row r="22" ht="15" spans="1:12">
      <c r="A22" s="3"/>
      <c r="B22" s="17"/>
      <c r="C22" s="13"/>
      <c r="D22" s="13"/>
      <c r="E22" s="30"/>
      <c r="F22" s="13"/>
      <c r="G22" s="13">
        <v>4</v>
      </c>
      <c r="H22" s="14" t="s">
        <v>258</v>
      </c>
      <c r="I22" s="15" t="s">
        <v>259</v>
      </c>
      <c r="J22" s="16">
        <v>0.9</v>
      </c>
      <c r="K22" s="30"/>
      <c r="L22" s="44">
        <v>3.5</v>
      </c>
    </row>
    <row r="23" ht="15" spans="1:12">
      <c r="A23" s="3"/>
      <c r="B23" s="17"/>
      <c r="C23" s="13"/>
      <c r="D23" s="13"/>
      <c r="E23" s="30"/>
      <c r="F23" s="13"/>
      <c r="G23" s="13"/>
      <c r="H23" s="14"/>
      <c r="I23" s="15" t="s">
        <v>41</v>
      </c>
      <c r="J23" s="16"/>
      <c r="K23" s="30"/>
      <c r="L23" s="44">
        <v>1</v>
      </c>
    </row>
    <row r="24" ht="15" spans="1:12">
      <c r="A24" s="3"/>
      <c r="B24" s="17"/>
      <c r="C24" s="13"/>
      <c r="D24" s="13"/>
      <c r="E24" s="30"/>
      <c r="F24" s="13"/>
      <c r="G24" s="13"/>
      <c r="H24" s="14"/>
      <c r="I24" s="15" t="s">
        <v>245</v>
      </c>
      <c r="J24" s="16"/>
      <c r="K24" s="30"/>
      <c r="L24" s="44">
        <v>2</v>
      </c>
    </row>
    <row r="25" ht="15" spans="1:12">
      <c r="A25" s="3"/>
      <c r="B25" s="17"/>
      <c r="C25" s="13"/>
      <c r="D25" s="13"/>
      <c r="E25" s="30"/>
      <c r="F25" s="13"/>
      <c r="G25" s="13"/>
      <c r="H25" s="14"/>
      <c r="I25" s="15" t="s">
        <v>260</v>
      </c>
      <c r="J25" s="16"/>
      <c r="K25" s="30"/>
      <c r="L25" s="44">
        <v>4</v>
      </c>
    </row>
    <row r="26" ht="15" spans="1:12">
      <c r="A26" s="3"/>
      <c r="B26" s="17"/>
      <c r="C26" s="13"/>
      <c r="D26" s="13"/>
      <c r="E26" s="30"/>
      <c r="F26" s="13"/>
      <c r="G26" s="13"/>
      <c r="H26" s="14"/>
      <c r="I26" s="15" t="s">
        <v>261</v>
      </c>
      <c r="J26" s="16"/>
      <c r="K26" s="30"/>
      <c r="L26" s="44">
        <v>0.5</v>
      </c>
    </row>
    <row r="27" ht="15" spans="1:12">
      <c r="A27" s="3"/>
      <c r="B27" s="17"/>
      <c r="C27" s="13"/>
      <c r="D27" s="13"/>
      <c r="E27" s="30"/>
      <c r="F27" s="13"/>
      <c r="G27" s="13"/>
      <c r="H27" s="14"/>
      <c r="I27" s="15" t="s">
        <v>60</v>
      </c>
      <c r="J27" s="16"/>
      <c r="K27" s="30"/>
      <c r="L27" s="44">
        <v>1</v>
      </c>
    </row>
    <row r="28" ht="15" spans="1:12">
      <c r="A28" s="3"/>
      <c r="B28" s="17"/>
      <c r="C28" s="13"/>
      <c r="D28" s="13"/>
      <c r="E28" s="30"/>
      <c r="F28" s="13"/>
      <c r="G28" s="13"/>
      <c r="H28" s="14"/>
      <c r="I28" s="15" t="s">
        <v>239</v>
      </c>
      <c r="J28" s="16"/>
      <c r="K28" s="30"/>
      <c r="L28" s="44">
        <v>1.5</v>
      </c>
    </row>
    <row r="29" ht="15" spans="1:12">
      <c r="A29" s="3"/>
      <c r="B29" s="17"/>
      <c r="C29" s="13"/>
      <c r="D29" s="13"/>
      <c r="E29" s="38" t="s">
        <v>168</v>
      </c>
      <c r="F29" s="38"/>
      <c r="G29" s="38"/>
      <c r="H29" s="38"/>
      <c r="I29" s="38"/>
      <c r="J29" s="39"/>
      <c r="K29" s="40"/>
      <c r="L29" s="41">
        <f>SUM(L19:L28)</f>
        <v>17</v>
      </c>
    </row>
    <row r="30" ht="15" spans="1:12">
      <c r="A30" s="3"/>
      <c r="B30" s="17"/>
      <c r="C30" s="13"/>
      <c r="D30" s="13"/>
      <c r="E30" s="30" t="s">
        <v>169</v>
      </c>
      <c r="F30" s="30" t="s">
        <v>134</v>
      </c>
      <c r="G30" s="13">
        <v>1</v>
      </c>
      <c r="H30" s="265" t="s">
        <v>262</v>
      </c>
      <c r="I30" s="15" t="s">
        <v>60</v>
      </c>
      <c r="J30" s="43"/>
      <c r="K30" s="30"/>
      <c r="L30" s="44"/>
    </row>
    <row r="31" ht="15" spans="1:12">
      <c r="A31" s="3"/>
      <c r="B31" s="17"/>
      <c r="C31" s="13"/>
      <c r="D31" s="13"/>
      <c r="E31" s="30"/>
      <c r="F31" s="30"/>
      <c r="G31" s="13">
        <v>2</v>
      </c>
      <c r="H31" s="14" t="s">
        <v>263</v>
      </c>
      <c r="I31" s="15" t="s">
        <v>239</v>
      </c>
      <c r="J31" s="43"/>
      <c r="K31" s="30"/>
      <c r="L31" s="44"/>
    </row>
  </sheetData>
  <mergeCells count="33">
    <mergeCell ref="E5:H5"/>
    <mergeCell ref="E14:H14"/>
    <mergeCell ref="E29:H29"/>
    <mergeCell ref="A2:A7"/>
    <mergeCell ref="A8:A18"/>
    <mergeCell ref="A19:A31"/>
    <mergeCell ref="B2:B7"/>
    <mergeCell ref="B8:B18"/>
    <mergeCell ref="B19:B31"/>
    <mergeCell ref="C2:C7"/>
    <mergeCell ref="C8:C18"/>
    <mergeCell ref="C19:C31"/>
    <mergeCell ref="D2:D7"/>
    <mergeCell ref="D8:D18"/>
    <mergeCell ref="D19:D31"/>
    <mergeCell ref="E2:E4"/>
    <mergeCell ref="E6:E7"/>
    <mergeCell ref="E8:E13"/>
    <mergeCell ref="E15:E18"/>
    <mergeCell ref="E19:E28"/>
    <mergeCell ref="E30:E31"/>
    <mergeCell ref="F2:F4"/>
    <mergeCell ref="F6:F7"/>
    <mergeCell ref="F8:F13"/>
    <mergeCell ref="F15:F18"/>
    <mergeCell ref="F19:F28"/>
    <mergeCell ref="F30:F31"/>
    <mergeCell ref="G9:G11"/>
    <mergeCell ref="G22:G28"/>
    <mergeCell ref="H9:H11"/>
    <mergeCell ref="H22:H28"/>
    <mergeCell ref="J9:J11"/>
    <mergeCell ref="J22:J28"/>
  </mergeCells>
  <pageMargins left="0.699305555555556" right="0.699305555555556" top="0.75" bottom="0.75" header="0.3" footer="0.3"/>
  <pageSetup paperSize="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FF"/>
  </sheetPr>
  <dimension ref="A1:Z27"/>
  <sheetViews>
    <sheetView workbookViewId="0">
      <pane ySplit="1" topLeftCell="A2" activePane="bottomLeft" state="frozen"/>
      <selection/>
      <selection pane="bottomLeft" activeCell="L12" sqref="L12"/>
    </sheetView>
  </sheetViews>
  <sheetFormatPr defaultColWidth="9.13888888888889" defaultRowHeight="13.2"/>
  <cols>
    <col min="1" max="1" width="22.4259259259259" style="1" customWidth="1"/>
    <col min="2" max="2" width="11.712962962963" style="1" customWidth="1"/>
    <col min="3" max="3" width="12.5" style="1"/>
    <col min="4" max="7" width="9.13888888888889" style="1"/>
    <col min="8" max="8" width="59.712962962963" style="1" customWidth="1"/>
    <col min="9" max="11" width="9.13888888888889" style="1"/>
    <col min="12" max="12" width="19.5740740740741" style="2" customWidth="1"/>
    <col min="13" max="16384" width="9.13888888888889" style="1"/>
  </cols>
  <sheetData>
    <row r="1" ht="51.75" customHeight="1" spans="1:26">
      <c r="A1" s="3" t="s">
        <v>146</v>
      </c>
      <c r="B1" s="4" t="s">
        <v>6</v>
      </c>
      <c r="C1" s="3" t="s">
        <v>147</v>
      </c>
      <c r="D1" s="3" t="s">
        <v>148</v>
      </c>
      <c r="E1" s="4" t="s">
        <v>149</v>
      </c>
      <c r="F1" s="3" t="s">
        <v>150</v>
      </c>
      <c r="G1" s="3" t="s">
        <v>1</v>
      </c>
      <c r="H1" s="5" t="s">
        <v>151</v>
      </c>
      <c r="I1" s="3" t="s">
        <v>152</v>
      </c>
      <c r="J1" s="6" t="s">
        <v>153</v>
      </c>
      <c r="K1" s="3" t="s">
        <v>154</v>
      </c>
      <c r="L1" s="7" t="s">
        <v>155</v>
      </c>
      <c r="M1" s="8"/>
      <c r="N1" s="8"/>
      <c r="O1" s="8"/>
      <c r="P1" s="8"/>
      <c r="Q1" s="8"/>
      <c r="R1" s="8"/>
      <c r="S1" s="8"/>
      <c r="T1" s="8"/>
      <c r="U1" s="8"/>
      <c r="V1" s="8"/>
      <c r="W1" s="8"/>
      <c r="X1" s="8"/>
      <c r="Y1" s="8"/>
      <c r="Z1" s="8"/>
    </row>
    <row r="2" ht="15" spans="1:26">
      <c r="A2" s="212" t="s">
        <v>264</v>
      </c>
      <c r="B2" s="213" t="s">
        <v>69</v>
      </c>
      <c r="C2" s="214" t="s">
        <v>265</v>
      </c>
      <c r="D2" s="215"/>
      <c r="E2" s="216" t="s">
        <v>171</v>
      </c>
      <c r="F2" s="215" t="s">
        <v>56</v>
      </c>
      <c r="G2" s="27">
        <v>1</v>
      </c>
      <c r="H2" s="217" t="s">
        <v>266</v>
      </c>
      <c r="I2" s="218" t="s">
        <v>79</v>
      </c>
      <c r="J2" s="219">
        <v>1</v>
      </c>
      <c r="K2" s="220"/>
      <c r="L2" s="221">
        <v>1.5</v>
      </c>
    </row>
    <row r="3" ht="15" spans="1:26">
      <c r="A3" s="222"/>
      <c r="B3" s="223"/>
      <c r="C3" s="224"/>
      <c r="D3" s="220"/>
      <c r="E3" s="225"/>
      <c r="F3" s="220"/>
      <c r="G3" s="13">
        <v>2</v>
      </c>
      <c r="H3" s="226"/>
      <c r="I3" s="218"/>
      <c r="J3" s="219"/>
      <c r="K3" s="220"/>
      <c r="L3" s="221"/>
    </row>
    <row r="4" ht="15" spans="1:26">
      <c r="A4" s="222"/>
      <c r="B4" s="223"/>
      <c r="C4" s="224"/>
      <c r="D4" s="220"/>
      <c r="E4" s="227"/>
      <c r="F4" s="228"/>
      <c r="G4" s="11">
        <v>3</v>
      </c>
      <c r="H4" s="211"/>
      <c r="I4" s="218"/>
      <c r="J4" s="219"/>
      <c r="K4" s="218"/>
      <c r="L4" s="221"/>
    </row>
    <row r="5" ht="15" spans="1:26">
      <c r="A5" s="222"/>
      <c r="B5" s="223"/>
      <c r="C5" s="224"/>
      <c r="D5" s="220"/>
      <c r="E5" s="229" t="s">
        <v>168</v>
      </c>
      <c r="F5" s="230"/>
      <c r="G5" s="230"/>
      <c r="H5" s="231"/>
      <c r="I5" s="232"/>
      <c r="J5" s="233"/>
      <c r="K5" s="234"/>
      <c r="L5" s="235">
        <f>SUM(L2:L4)</f>
        <v>1.5</v>
      </c>
    </row>
    <row r="6" ht="15.6" spans="1:26">
      <c r="A6" s="222"/>
      <c r="B6" s="223"/>
      <c r="C6" s="224"/>
      <c r="D6" s="220"/>
      <c r="E6" s="216" t="s">
        <v>169</v>
      </c>
      <c r="F6" s="236" t="s">
        <v>56</v>
      </c>
      <c r="G6" s="27">
        <v>1</v>
      </c>
      <c r="H6" s="237"/>
      <c r="I6" s="220"/>
      <c r="J6" s="238"/>
      <c r="K6" s="225"/>
      <c r="L6" s="221"/>
    </row>
    <row r="7" ht="15.6" spans="1:26">
      <c r="A7" s="222"/>
      <c r="B7" s="223"/>
      <c r="C7" s="224"/>
      <c r="D7" s="220"/>
      <c r="E7" s="225"/>
      <c r="F7" s="239"/>
      <c r="G7" s="13">
        <v>2</v>
      </c>
      <c r="H7" s="240"/>
      <c r="I7" s="225"/>
      <c r="J7" s="238"/>
      <c r="K7" s="225"/>
      <c r="L7" s="221"/>
    </row>
    <row r="8" ht="18" customHeight="1" spans="1:26">
      <c r="A8" s="212" t="s">
        <v>267</v>
      </c>
      <c r="B8" s="213" t="s">
        <v>69</v>
      </c>
      <c r="C8" s="214" t="s">
        <v>268</v>
      </c>
      <c r="D8" s="215"/>
      <c r="E8" s="216" t="s">
        <v>171</v>
      </c>
      <c r="F8" s="215" t="s">
        <v>56</v>
      </c>
      <c r="G8" s="13">
        <v>1</v>
      </c>
      <c r="H8" s="241" t="s">
        <v>269</v>
      </c>
      <c r="I8" s="242" t="s">
        <v>79</v>
      </c>
      <c r="J8" s="219">
        <v>1</v>
      </c>
      <c r="K8" s="220"/>
      <c r="L8" s="221">
        <v>2</v>
      </c>
    </row>
    <row r="9" ht="15" customHeight="1" spans="1:26">
      <c r="A9" s="212"/>
      <c r="B9" s="213"/>
      <c r="C9" s="214"/>
      <c r="D9" s="215"/>
      <c r="E9" s="216"/>
      <c r="F9" s="215"/>
      <c r="G9" s="13">
        <v>2</v>
      </c>
      <c r="H9" s="243"/>
      <c r="I9" s="242" t="s">
        <v>270</v>
      </c>
      <c r="J9" s="219">
        <v>1</v>
      </c>
      <c r="K9" s="220"/>
      <c r="L9" s="221">
        <v>2</v>
      </c>
    </row>
    <row r="10" ht="18" customHeight="1" spans="1:26">
      <c r="A10" s="212"/>
      <c r="B10" s="213"/>
      <c r="C10" s="214"/>
      <c r="D10" s="215"/>
      <c r="E10" s="216"/>
      <c r="F10" s="215"/>
      <c r="G10" s="13">
        <v>3</v>
      </c>
      <c r="H10" s="243"/>
      <c r="I10" s="242" t="s">
        <v>69</v>
      </c>
      <c r="J10" s="219">
        <v>1</v>
      </c>
      <c r="K10" s="220"/>
      <c r="L10" s="221">
        <v>1</v>
      </c>
    </row>
    <row r="11" ht="15" spans="1:26">
      <c r="A11" s="212"/>
      <c r="B11" s="213"/>
      <c r="C11" s="214"/>
      <c r="D11" s="215"/>
      <c r="E11" s="216"/>
      <c r="F11" s="215"/>
      <c r="G11" s="13">
        <v>4</v>
      </c>
      <c r="H11" s="243"/>
      <c r="I11" s="242" t="s">
        <v>271</v>
      </c>
      <c r="J11" s="219">
        <v>1</v>
      </c>
      <c r="K11" s="220"/>
      <c r="L11" s="221">
        <v>2</v>
      </c>
    </row>
    <row r="12" ht="68" customHeight="1" spans="1:26">
      <c r="A12" s="212"/>
      <c r="B12" s="213"/>
      <c r="C12" s="214"/>
      <c r="D12" s="215"/>
      <c r="E12" s="216"/>
      <c r="F12" s="215"/>
      <c r="G12" s="13">
        <v>5</v>
      </c>
      <c r="H12" s="244"/>
      <c r="I12" s="242"/>
      <c r="J12" s="219"/>
      <c r="K12" s="220"/>
      <c r="L12" s="221"/>
    </row>
    <row r="13" ht="15" spans="1:26">
      <c r="A13" s="212"/>
      <c r="B13" s="213"/>
      <c r="C13" s="214"/>
      <c r="D13" s="215"/>
      <c r="E13" s="245" t="s">
        <v>168</v>
      </c>
      <c r="F13" s="245"/>
      <c r="G13" s="245"/>
      <c r="H13" s="245"/>
      <c r="I13" s="245"/>
      <c r="J13" s="233"/>
      <c r="K13" s="234"/>
      <c r="L13" s="235">
        <f>SUM(L8:L12)</f>
        <v>7</v>
      </c>
    </row>
    <row r="14" ht="15" spans="1:26">
      <c r="A14" s="212"/>
      <c r="B14" s="213"/>
      <c r="C14" s="214"/>
      <c r="D14" s="215"/>
      <c r="E14" s="225" t="s">
        <v>169</v>
      </c>
      <c r="F14" s="225" t="s">
        <v>56</v>
      </c>
      <c r="G14" s="13">
        <v>1</v>
      </c>
      <c r="H14" s="246"/>
      <c r="I14" s="242"/>
      <c r="J14" s="247"/>
      <c r="K14" s="225"/>
      <c r="L14" s="221"/>
    </row>
    <row r="15" ht="15" spans="1:26">
      <c r="A15" s="212"/>
      <c r="B15" s="213"/>
      <c r="C15" s="214"/>
      <c r="D15" s="215"/>
      <c r="E15" s="225"/>
      <c r="F15" s="225"/>
      <c r="G15" s="13">
        <v>2</v>
      </c>
      <c r="H15" s="246"/>
      <c r="I15" s="242"/>
      <c r="J15" s="247"/>
      <c r="K15" s="225"/>
      <c r="L15" s="221"/>
    </row>
    <row r="16" ht="15" spans="1:26">
      <c r="A16" s="222" t="s">
        <v>272</v>
      </c>
      <c r="B16" s="223" t="s">
        <v>69</v>
      </c>
      <c r="C16" s="224" t="s">
        <v>273</v>
      </c>
      <c r="D16" s="220"/>
      <c r="E16" s="227" t="s">
        <v>171</v>
      </c>
      <c r="F16" s="228" t="s">
        <v>56</v>
      </c>
      <c r="G16" s="13">
        <v>1</v>
      </c>
      <c r="H16" s="248" t="s">
        <v>274</v>
      </c>
      <c r="I16" s="242" t="s">
        <v>69</v>
      </c>
      <c r="J16" s="219">
        <v>0.2</v>
      </c>
      <c r="K16" s="220"/>
      <c r="L16" s="221">
        <v>3</v>
      </c>
    </row>
    <row r="17" ht="15" spans="1:12">
      <c r="A17" s="222"/>
      <c r="B17" s="223"/>
      <c r="C17" s="224"/>
      <c r="D17" s="220"/>
      <c r="E17" s="227"/>
      <c r="F17" s="228"/>
      <c r="G17" s="13">
        <v>2</v>
      </c>
      <c r="H17" s="249"/>
      <c r="I17" s="242" t="s">
        <v>271</v>
      </c>
      <c r="J17" s="219">
        <v>0.2</v>
      </c>
      <c r="K17" s="220"/>
      <c r="L17" s="221">
        <v>2</v>
      </c>
    </row>
    <row r="18" ht="15" customHeight="1" spans="1:12">
      <c r="A18" s="222"/>
      <c r="B18" s="223"/>
      <c r="C18" s="224"/>
      <c r="D18" s="220"/>
      <c r="E18" s="227"/>
      <c r="F18" s="228"/>
      <c r="G18" s="13">
        <v>3</v>
      </c>
      <c r="H18" s="250"/>
      <c r="I18" s="242" t="s">
        <v>270</v>
      </c>
      <c r="J18" s="219">
        <v>0.2</v>
      </c>
      <c r="K18" s="220"/>
      <c r="L18" s="221">
        <v>2</v>
      </c>
    </row>
    <row r="19" ht="15" spans="1:12">
      <c r="A19" s="222"/>
      <c r="B19" s="223"/>
      <c r="C19" s="224"/>
      <c r="D19" s="220"/>
      <c r="E19" s="245" t="s">
        <v>168</v>
      </c>
      <c r="F19" s="245"/>
      <c r="G19" s="245"/>
      <c r="H19" s="245"/>
      <c r="I19" s="245"/>
      <c r="J19" s="233"/>
      <c r="K19" s="234"/>
      <c r="L19" s="235">
        <f>SUM(L16:L18)</f>
        <v>7</v>
      </c>
    </row>
    <row r="20" ht="15" spans="1:12">
      <c r="A20" s="222"/>
      <c r="B20" s="223"/>
      <c r="C20" s="224"/>
      <c r="D20" s="220"/>
      <c r="E20" s="225" t="s">
        <v>169</v>
      </c>
      <c r="F20" s="225" t="s">
        <v>56</v>
      </c>
      <c r="G20" s="13">
        <v>1</v>
      </c>
      <c r="H20" s="246"/>
      <c r="I20" s="242"/>
      <c r="J20" s="247"/>
      <c r="K20" s="225"/>
      <c r="L20" s="221"/>
    </row>
    <row r="21" ht="15" spans="1:12">
      <c r="A21" s="222"/>
      <c r="B21" s="223"/>
      <c r="C21" s="224"/>
      <c r="D21" s="220"/>
      <c r="E21" s="225"/>
      <c r="F21" s="225"/>
      <c r="G21" s="13">
        <v>2</v>
      </c>
      <c r="H21" s="251"/>
      <c r="I21" s="242"/>
      <c r="J21" s="247"/>
      <c r="K21" s="225"/>
      <c r="L21" s="221"/>
    </row>
    <row r="22" ht="15" spans="1:12">
      <c r="A22" s="252" t="s">
        <v>275</v>
      </c>
      <c r="B22" s="253" t="s">
        <v>79</v>
      </c>
      <c r="C22" s="254" t="s">
        <v>265</v>
      </c>
      <c r="D22" s="255"/>
      <c r="E22" s="256" t="s">
        <v>171</v>
      </c>
      <c r="F22" s="255" t="s">
        <v>56</v>
      </c>
      <c r="G22" s="13">
        <v>1</v>
      </c>
      <c r="H22" s="257"/>
      <c r="I22" s="242"/>
      <c r="J22" s="219"/>
      <c r="K22" s="258"/>
      <c r="L22" s="209"/>
    </row>
    <row r="23" ht="15" spans="1:12">
      <c r="A23" s="252"/>
      <c r="B23" s="253"/>
      <c r="C23" s="254"/>
      <c r="D23" s="255"/>
      <c r="E23" s="256"/>
      <c r="F23" s="255"/>
      <c r="G23" s="13">
        <v>2</v>
      </c>
      <c r="H23" s="243"/>
      <c r="I23" s="242"/>
      <c r="J23" s="219"/>
      <c r="K23" s="258"/>
      <c r="L23" s="209"/>
    </row>
    <row r="24" ht="15" spans="1:12">
      <c r="A24" s="252"/>
      <c r="B24" s="253"/>
      <c r="C24" s="254"/>
      <c r="D24" s="255"/>
      <c r="E24" s="256"/>
      <c r="F24" s="255"/>
      <c r="G24" s="13">
        <v>3</v>
      </c>
      <c r="H24" s="259"/>
      <c r="I24" s="242"/>
      <c r="J24" s="208"/>
      <c r="K24" s="258"/>
      <c r="L24" s="209"/>
    </row>
    <row r="25" ht="15" spans="1:12">
      <c r="A25" s="252"/>
      <c r="B25" s="253"/>
      <c r="C25" s="254"/>
      <c r="D25" s="255"/>
      <c r="E25" s="260" t="s">
        <v>168</v>
      </c>
      <c r="F25" s="230"/>
      <c r="G25" s="230"/>
      <c r="H25" s="261"/>
      <c r="I25" s="39"/>
      <c r="J25" s="39"/>
      <c r="K25" s="262"/>
      <c r="L25" s="41">
        <f>SUM(L22:L24)</f>
        <v>0</v>
      </c>
    </row>
    <row r="26" ht="15" spans="1:12">
      <c r="A26" s="252"/>
      <c r="B26" s="253"/>
      <c r="C26" s="254"/>
      <c r="D26" s="255"/>
      <c r="E26" s="256" t="s">
        <v>169</v>
      </c>
      <c r="F26" s="256" t="s">
        <v>56</v>
      </c>
      <c r="G26" s="13">
        <v>1</v>
      </c>
      <c r="H26" s="263"/>
      <c r="I26" s="242"/>
      <c r="J26" s="208"/>
      <c r="K26" s="256"/>
      <c r="L26" s="209"/>
    </row>
    <row r="27" ht="15" spans="1:12">
      <c r="A27" s="252"/>
      <c r="B27" s="253"/>
      <c r="C27" s="254"/>
      <c r="D27" s="255"/>
      <c r="E27" s="256"/>
      <c r="F27" s="256"/>
      <c r="G27" s="13">
        <v>2</v>
      </c>
      <c r="H27" s="264"/>
      <c r="I27" s="242"/>
      <c r="J27" s="208"/>
      <c r="K27" s="256"/>
      <c r="L27" s="209"/>
    </row>
  </sheetData>
  <mergeCells count="40">
    <mergeCell ref="E5:H5"/>
    <mergeCell ref="E13:H13"/>
    <mergeCell ref="E19:H19"/>
    <mergeCell ref="E25:H25"/>
    <mergeCell ref="A2:A7"/>
    <mergeCell ref="A8:A15"/>
    <mergeCell ref="A16:A21"/>
    <mergeCell ref="A22:A27"/>
    <mergeCell ref="B2:B7"/>
    <mergeCell ref="B8:B15"/>
    <mergeCell ref="B16:B21"/>
    <mergeCell ref="B22:B27"/>
    <mergeCell ref="C2:C7"/>
    <mergeCell ref="C8:C15"/>
    <mergeCell ref="C16:C21"/>
    <mergeCell ref="C22:C27"/>
    <mergeCell ref="D2:D7"/>
    <mergeCell ref="D8:D15"/>
    <mergeCell ref="D16:D21"/>
    <mergeCell ref="D22:D27"/>
    <mergeCell ref="E2:E4"/>
    <mergeCell ref="E6:E7"/>
    <mergeCell ref="E8:E12"/>
    <mergeCell ref="E14:E15"/>
    <mergeCell ref="E16:E18"/>
    <mergeCell ref="E20:E21"/>
    <mergeCell ref="E22:E24"/>
    <mergeCell ref="E26:E27"/>
    <mergeCell ref="F2:F4"/>
    <mergeCell ref="F6:F7"/>
    <mergeCell ref="F8:F12"/>
    <mergeCell ref="F14:F15"/>
    <mergeCell ref="F16:F18"/>
    <mergeCell ref="F20:F21"/>
    <mergeCell ref="F22:F24"/>
    <mergeCell ref="F26:F27"/>
    <mergeCell ref="H2:H3"/>
    <mergeCell ref="H8:H12"/>
    <mergeCell ref="H16:H18"/>
    <mergeCell ref="H22:H24"/>
  </mergeCells>
  <pageMargins left="0.7" right="0.7" top="0.75" bottom="0.75" header="0.3" footer="0.3"/>
  <pageSetup paperSize="9"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FF"/>
  </sheetPr>
  <dimension ref="A1:Z7"/>
  <sheetViews>
    <sheetView zoomScale="115" zoomScaleNormal="115" workbookViewId="0">
      <pane ySplit="1" topLeftCell="A2" activePane="bottomLeft" state="frozen"/>
      <selection/>
      <selection pane="bottomLeft" activeCell="E6" sqref="E6:H6"/>
    </sheetView>
  </sheetViews>
  <sheetFormatPr defaultColWidth="9.16666666666667" defaultRowHeight="13.2" outlineLevelRow="6"/>
  <cols>
    <col min="1" max="1" width="22.4166666666667" style="185" customWidth="1"/>
    <col min="2" max="2" width="11.75" style="185" customWidth="1"/>
    <col min="3" max="7" width="9.16666666666667" style="185"/>
    <col min="8" max="8" width="54" style="185" customWidth="1"/>
    <col min="9" max="11" width="9.16666666666667" style="185"/>
    <col min="12" max="12" width="16.6666666666667" style="186" customWidth="1"/>
    <col min="13" max="16384" width="9.16666666666667" style="185"/>
  </cols>
  <sheetData>
    <row r="1" ht="69.6" spans="1:26">
      <c r="A1" s="187" t="s">
        <v>146</v>
      </c>
      <c r="B1" s="188" t="s">
        <v>6</v>
      </c>
      <c r="C1" s="187" t="s">
        <v>147</v>
      </c>
      <c r="D1" s="187" t="s">
        <v>148</v>
      </c>
      <c r="E1" s="188" t="s">
        <v>149</v>
      </c>
      <c r="F1" s="187" t="s">
        <v>150</v>
      </c>
      <c r="G1" s="187" t="s">
        <v>1</v>
      </c>
      <c r="H1" s="189" t="s">
        <v>151</v>
      </c>
      <c r="I1" s="187" t="s">
        <v>152</v>
      </c>
      <c r="J1" s="190" t="s">
        <v>153</v>
      </c>
      <c r="K1" s="187" t="s">
        <v>154</v>
      </c>
      <c r="L1" s="191" t="s">
        <v>155</v>
      </c>
      <c r="M1" s="192"/>
      <c r="N1" s="192"/>
      <c r="O1" s="192"/>
      <c r="P1" s="192"/>
      <c r="Q1" s="192"/>
      <c r="R1" s="192"/>
      <c r="S1" s="192"/>
      <c r="T1" s="192"/>
      <c r="U1" s="192"/>
      <c r="V1" s="192"/>
      <c r="W1" s="192"/>
      <c r="X1" s="192"/>
      <c r="Y1" s="192"/>
      <c r="Z1" s="192"/>
    </row>
    <row r="2" ht="30" customHeight="1" spans="1:26">
      <c r="A2" s="193" t="s">
        <v>87</v>
      </c>
      <c r="B2" s="194" t="s">
        <v>85</v>
      </c>
      <c r="C2" s="195"/>
      <c r="D2" s="196"/>
      <c r="E2" s="197" t="s">
        <v>171</v>
      </c>
      <c r="F2" s="196" t="s">
        <v>191</v>
      </c>
      <c r="G2" s="198">
        <v>1</v>
      </c>
      <c r="H2" s="199" t="s">
        <v>276</v>
      </c>
      <c r="I2" s="15" t="s">
        <v>85</v>
      </c>
      <c r="J2" s="200">
        <v>1</v>
      </c>
      <c r="K2" s="201"/>
      <c r="L2" s="202">
        <v>4</v>
      </c>
    </row>
    <row r="3" ht="27" customHeight="1" spans="1:26">
      <c r="A3" s="203"/>
      <c r="B3" s="204"/>
      <c r="C3" s="205"/>
      <c r="D3" s="206"/>
      <c r="E3" s="38" t="s">
        <v>168</v>
      </c>
      <c r="F3" s="38"/>
      <c r="G3" s="38"/>
      <c r="H3" s="38"/>
      <c r="I3" s="38"/>
      <c r="J3" s="39"/>
      <c r="K3" s="40"/>
      <c r="L3" s="41">
        <f>SUM(L2:L2)</f>
        <v>4</v>
      </c>
    </row>
    <row r="4" ht="25.5" customHeight="1" spans="1:26">
      <c r="A4" s="203"/>
      <c r="B4" s="204"/>
      <c r="C4" s="205"/>
      <c r="D4" s="206"/>
      <c r="E4" s="207"/>
      <c r="F4" s="201" t="s">
        <v>56</v>
      </c>
      <c r="G4" s="201">
        <v>1</v>
      </c>
      <c r="H4" s="199" t="s">
        <v>277</v>
      </c>
      <c r="I4" s="198" t="s">
        <v>85</v>
      </c>
      <c r="J4" s="208">
        <v>1</v>
      </c>
      <c r="K4" s="201"/>
      <c r="L4" s="209">
        <v>5</v>
      </c>
    </row>
    <row r="5" ht="26" customHeight="1" spans="1:26">
      <c r="A5" s="187" t="s">
        <v>278</v>
      </c>
      <c r="B5" s="210" t="s">
        <v>85</v>
      </c>
      <c r="C5" s="200">
        <v>0.95</v>
      </c>
      <c r="D5" s="198"/>
      <c r="E5" s="201" t="s">
        <v>171</v>
      </c>
      <c r="F5" s="198" t="s">
        <v>191</v>
      </c>
      <c r="G5" s="198">
        <v>1</v>
      </c>
      <c r="H5" s="211" t="s">
        <v>279</v>
      </c>
      <c r="I5" s="15" t="s">
        <v>280</v>
      </c>
      <c r="J5" s="208">
        <v>1</v>
      </c>
      <c r="K5" s="201"/>
      <c r="L5" s="209">
        <v>4</v>
      </c>
    </row>
    <row r="6" ht="19" customHeight="1" spans="1:26">
      <c r="A6" s="187"/>
      <c r="B6" s="210"/>
      <c r="C6" s="198"/>
      <c r="D6" s="198"/>
      <c r="E6" s="38" t="s">
        <v>168</v>
      </c>
      <c r="F6" s="38"/>
      <c r="G6" s="38"/>
      <c r="H6" s="38"/>
      <c r="I6" s="38"/>
      <c r="J6" s="39"/>
      <c r="K6" s="40"/>
      <c r="L6" s="41">
        <f>SUM(L5:L5)</f>
        <v>4</v>
      </c>
    </row>
    <row r="7" ht="22.5" customHeight="1" spans="1:26">
      <c r="A7" s="187"/>
      <c r="B7" s="210"/>
      <c r="C7" s="198"/>
      <c r="D7" s="198"/>
      <c r="E7" s="201" t="s">
        <v>169</v>
      </c>
      <c r="F7" s="198" t="s">
        <v>191</v>
      </c>
      <c r="G7" s="198">
        <v>1</v>
      </c>
      <c r="H7" s="211" t="s">
        <v>279</v>
      </c>
      <c r="I7" s="15" t="s">
        <v>280</v>
      </c>
      <c r="J7" s="208"/>
      <c r="K7" s="201"/>
      <c r="L7" s="209">
        <v>5</v>
      </c>
    </row>
  </sheetData>
  <mergeCells count="10">
    <mergeCell ref="E3:H3"/>
    <mergeCell ref="E6:H6"/>
    <mergeCell ref="A2:A4"/>
    <mergeCell ref="A5:A7"/>
    <mergeCell ref="B2:B4"/>
    <mergeCell ref="B5:B7"/>
    <mergeCell ref="C2:C4"/>
    <mergeCell ref="C5:C7"/>
    <mergeCell ref="D2:D4"/>
    <mergeCell ref="D5:D7"/>
  </mergeCells>
  <pageMargins left="0.7" right="0.7" top="0.75" bottom="0.75" header="0.3" footer="0.3"/>
  <pageSetup paperSize="9"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FF"/>
  </sheetPr>
  <dimension ref="A1:L41"/>
  <sheetViews>
    <sheetView topLeftCell="A11" workbookViewId="0">
      <selection activeCell="A35" sqref="A35:K41"/>
    </sheetView>
  </sheetViews>
  <sheetFormatPr defaultColWidth="26.8518518518519" defaultRowHeight="13.2"/>
  <cols>
    <col min="1" max="1" width="26.712962962963" style="130" customWidth="1"/>
    <col min="2" max="3" width="8.57407407407407" style="130" customWidth="1"/>
    <col min="4" max="4" width="12.4259259259259" style="130" customWidth="1"/>
    <col min="5" max="5" width="9.28703703703704" style="130" customWidth="1"/>
    <col min="6" max="6" width="8.57407407407407" style="130" customWidth="1"/>
    <col min="7" max="7" width="4.85185185185185" style="130" customWidth="1"/>
    <col min="8" max="8" width="70.712962962963" style="130" customWidth="1"/>
    <col min="9" max="9" width="22.1388888888889" style="130" customWidth="1"/>
    <col min="10" max="10" width="6.71296296296296" style="130" customWidth="1"/>
    <col min="11" max="11" width="14.4259259259259" style="130" customWidth="1"/>
    <col min="12" max="12" width="14.4259259259259" style="131" customWidth="1"/>
    <col min="13" max="16384" width="26.8518518518519" style="130"/>
  </cols>
  <sheetData>
    <row r="1" ht="15.6" spans="1:12">
      <c r="A1" s="132" t="s">
        <v>146</v>
      </c>
      <c r="B1" s="133" t="s">
        <v>6</v>
      </c>
      <c r="C1" s="134" t="s">
        <v>147</v>
      </c>
      <c r="D1" s="134" t="s">
        <v>148</v>
      </c>
      <c r="E1" s="133" t="s">
        <v>149</v>
      </c>
      <c r="F1" s="134" t="s">
        <v>150</v>
      </c>
      <c r="G1" s="134" t="s">
        <v>1</v>
      </c>
      <c r="H1" s="135" t="s">
        <v>151</v>
      </c>
      <c r="I1" s="134" t="s">
        <v>152</v>
      </c>
      <c r="J1" s="136" t="s">
        <v>153</v>
      </c>
      <c r="K1" s="134" t="s">
        <v>154</v>
      </c>
      <c r="L1" s="137" t="s">
        <v>155</v>
      </c>
    </row>
    <row r="2" spans="1:12">
      <c r="A2" s="138" t="s">
        <v>106</v>
      </c>
      <c r="B2" s="139" t="s">
        <v>107</v>
      </c>
      <c r="C2" s="140" t="s">
        <v>23</v>
      </c>
      <c r="D2" s="140"/>
      <c r="E2" s="141" t="s">
        <v>171</v>
      </c>
      <c r="F2" s="140" t="s">
        <v>56</v>
      </c>
      <c r="G2" s="133">
        <v>1</v>
      </c>
      <c r="H2" s="142"/>
      <c r="I2" s="143"/>
      <c r="J2" s="136"/>
      <c r="K2" s="134"/>
      <c r="L2" s="137"/>
    </row>
    <row r="3" spans="1:12">
      <c r="A3" s="144"/>
      <c r="B3" s="145"/>
      <c r="C3" s="146"/>
      <c r="D3" s="146"/>
      <c r="E3" s="147"/>
      <c r="F3" s="148"/>
      <c r="G3" s="133">
        <v>2</v>
      </c>
      <c r="H3" s="149"/>
      <c r="I3" s="150"/>
      <c r="J3" s="151"/>
      <c r="K3" s="140"/>
      <c r="L3" s="152"/>
    </row>
    <row r="4" spans="1:12">
      <c r="A4" s="144"/>
      <c r="B4" s="145"/>
      <c r="C4" s="146"/>
      <c r="D4" s="146"/>
      <c r="E4" s="147"/>
      <c r="F4" s="140" t="s">
        <v>177</v>
      </c>
      <c r="G4" s="153">
        <v>1</v>
      </c>
      <c r="H4" s="154" t="s">
        <v>281</v>
      </c>
      <c r="I4" s="143" t="s">
        <v>110</v>
      </c>
      <c r="J4" s="136">
        <v>1</v>
      </c>
      <c r="K4" s="134"/>
      <c r="L4" s="137">
        <v>2.5</v>
      </c>
    </row>
    <row r="5" spans="1:12">
      <c r="A5" s="144"/>
      <c r="B5" s="145"/>
      <c r="C5" s="146"/>
      <c r="D5" s="146"/>
      <c r="E5" s="155"/>
      <c r="F5" s="148"/>
      <c r="G5" s="153">
        <v>2</v>
      </c>
      <c r="H5" s="156"/>
      <c r="I5" s="143"/>
      <c r="J5" s="136"/>
      <c r="K5" s="134"/>
      <c r="L5" s="137"/>
    </row>
    <row r="6" spans="1:12">
      <c r="A6" s="144"/>
      <c r="B6" s="145"/>
      <c r="C6" s="146"/>
      <c r="D6" s="146"/>
      <c r="E6" s="157" t="s">
        <v>168</v>
      </c>
      <c r="F6" s="158"/>
      <c r="G6" s="158"/>
      <c r="H6" s="159"/>
      <c r="I6" s="160"/>
      <c r="J6" s="161"/>
      <c r="K6" s="162"/>
      <c r="L6" s="163">
        <v>2.5</v>
      </c>
    </row>
    <row r="7" spans="1:12">
      <c r="A7" s="164"/>
      <c r="B7" s="165"/>
      <c r="C7" s="148"/>
      <c r="D7" s="148"/>
      <c r="E7" s="133" t="s">
        <v>169</v>
      </c>
      <c r="F7" s="133" t="s">
        <v>56</v>
      </c>
      <c r="G7" s="133">
        <v>1</v>
      </c>
      <c r="H7" s="142"/>
      <c r="I7" s="143"/>
      <c r="J7" s="166"/>
      <c r="K7" s="133"/>
      <c r="L7" s="137"/>
    </row>
    <row r="8" ht="72" spans="1:12">
      <c r="A8" s="138" t="s">
        <v>282</v>
      </c>
      <c r="B8" s="139"/>
      <c r="C8" s="140">
        <v>35</v>
      </c>
      <c r="D8" s="140"/>
      <c r="E8" s="141" t="s">
        <v>171</v>
      </c>
      <c r="F8" s="140" t="s">
        <v>56</v>
      </c>
      <c r="G8" s="133">
        <v>1</v>
      </c>
      <c r="H8" s="154" t="s">
        <v>283</v>
      </c>
      <c r="I8" s="143" t="s">
        <v>284</v>
      </c>
      <c r="J8" s="136">
        <v>1</v>
      </c>
      <c r="K8" s="134"/>
      <c r="L8" s="137">
        <v>4</v>
      </c>
    </row>
    <row r="9" ht="36" spans="1:12">
      <c r="A9" s="144"/>
      <c r="B9" s="145"/>
      <c r="C9" s="146"/>
      <c r="D9" s="146"/>
      <c r="E9" s="147"/>
      <c r="F9" s="146"/>
      <c r="G9" s="133">
        <v>2</v>
      </c>
      <c r="H9" s="167" t="s">
        <v>285</v>
      </c>
      <c r="I9" s="143" t="s">
        <v>286</v>
      </c>
      <c r="J9" s="151">
        <v>1</v>
      </c>
      <c r="K9" s="140"/>
      <c r="L9" s="152">
        <v>4</v>
      </c>
    </row>
    <row r="10" ht="36" spans="1:12">
      <c r="A10" s="144"/>
      <c r="B10" s="145"/>
      <c r="C10" s="146"/>
      <c r="D10" s="146"/>
      <c r="E10" s="147"/>
      <c r="F10" s="146"/>
      <c r="G10" s="133">
        <v>3</v>
      </c>
      <c r="H10" s="154" t="s">
        <v>287</v>
      </c>
      <c r="I10" s="168" t="s">
        <v>288</v>
      </c>
      <c r="J10" s="136">
        <v>0.6</v>
      </c>
      <c r="K10" s="136"/>
      <c r="L10" s="137">
        <v>4</v>
      </c>
    </row>
    <row r="11" ht="84" spans="1:12">
      <c r="A11" s="144"/>
      <c r="B11" s="145"/>
      <c r="C11" s="146"/>
      <c r="D11" s="146"/>
      <c r="E11" s="147"/>
      <c r="F11" s="146"/>
      <c r="G11" s="133">
        <v>4</v>
      </c>
      <c r="H11" s="154" t="s">
        <v>289</v>
      </c>
      <c r="I11" s="169" t="s">
        <v>290</v>
      </c>
      <c r="J11" s="136">
        <v>0.9</v>
      </c>
      <c r="K11" s="134"/>
      <c r="L11" s="137">
        <v>4</v>
      </c>
    </row>
    <row r="12" ht="36" spans="1:12">
      <c r="A12" s="144"/>
      <c r="B12" s="145"/>
      <c r="C12" s="146"/>
      <c r="D12" s="146"/>
      <c r="E12" s="147"/>
      <c r="F12" s="146"/>
      <c r="G12" s="153">
        <v>5</v>
      </c>
      <c r="H12" s="170" t="s">
        <v>291</v>
      </c>
      <c r="I12" s="168" t="s">
        <v>292</v>
      </c>
      <c r="J12" s="136">
        <v>0.9</v>
      </c>
      <c r="K12" s="171"/>
      <c r="L12" s="137">
        <v>3</v>
      </c>
    </row>
    <row r="13" spans="1:12">
      <c r="A13" s="144"/>
      <c r="B13" s="145"/>
      <c r="C13" s="146"/>
      <c r="D13" s="146"/>
      <c r="E13" s="147"/>
      <c r="F13" s="146"/>
      <c r="G13" s="153">
        <v>6</v>
      </c>
      <c r="H13" s="172"/>
      <c r="I13" s="173"/>
      <c r="J13" s="136"/>
      <c r="K13" s="134"/>
      <c r="L13" s="137"/>
    </row>
    <row r="14" spans="1:12">
      <c r="A14" s="144"/>
      <c r="B14" s="145"/>
      <c r="C14" s="146"/>
      <c r="D14" s="146"/>
      <c r="E14" s="147"/>
      <c r="F14" s="148"/>
      <c r="G14" s="133">
        <v>7</v>
      </c>
      <c r="H14" s="174"/>
      <c r="I14" s="168"/>
      <c r="J14" s="136"/>
      <c r="K14" s="134"/>
      <c r="L14" s="137"/>
    </row>
    <row r="15" spans="1:12">
      <c r="A15" s="144"/>
      <c r="B15" s="145"/>
      <c r="C15" s="146"/>
      <c r="D15" s="146"/>
      <c r="E15" s="147"/>
      <c r="F15" s="141" t="s">
        <v>177</v>
      </c>
      <c r="G15" s="133">
        <v>1</v>
      </c>
      <c r="H15" s="135"/>
      <c r="I15" s="133"/>
      <c r="J15" s="175"/>
      <c r="K15" s="176"/>
      <c r="L15" s="177"/>
    </row>
    <row r="16" spans="1:12">
      <c r="A16" s="144"/>
      <c r="B16" s="145"/>
      <c r="C16" s="146"/>
      <c r="D16" s="146"/>
      <c r="E16" s="155"/>
      <c r="F16" s="155"/>
      <c r="G16" s="133">
        <v>2</v>
      </c>
      <c r="H16" s="178"/>
      <c r="I16" s="133"/>
      <c r="J16" s="179"/>
      <c r="K16" s="171"/>
      <c r="L16" s="137"/>
    </row>
    <row r="17" spans="1:12">
      <c r="A17" s="144"/>
      <c r="B17" s="145"/>
      <c r="C17" s="146"/>
      <c r="D17" s="146"/>
      <c r="E17" s="157" t="s">
        <v>168</v>
      </c>
      <c r="F17" s="158"/>
      <c r="G17" s="158"/>
      <c r="H17" s="159"/>
      <c r="I17" s="180"/>
      <c r="J17" s="181"/>
      <c r="K17" s="182"/>
      <c r="L17" s="183">
        <v>19</v>
      </c>
    </row>
    <row r="18" spans="1:12">
      <c r="A18" s="164"/>
      <c r="B18" s="165"/>
      <c r="C18" s="148"/>
      <c r="D18" s="148"/>
      <c r="E18" s="133" t="s">
        <v>169</v>
      </c>
      <c r="F18" s="133" t="s">
        <v>56</v>
      </c>
      <c r="G18" s="133">
        <v>1</v>
      </c>
      <c r="H18" s="142"/>
      <c r="I18" s="143"/>
      <c r="J18" s="166"/>
      <c r="K18" s="133"/>
      <c r="L18" s="137"/>
    </row>
    <row r="19" spans="1:12">
      <c r="A19" s="138" t="s">
        <v>293</v>
      </c>
      <c r="B19" s="139" t="s">
        <v>107</v>
      </c>
      <c r="C19" s="140">
        <v>20</v>
      </c>
      <c r="D19" s="140"/>
      <c r="E19" s="141" t="s">
        <v>171</v>
      </c>
      <c r="F19" s="140" t="s">
        <v>56</v>
      </c>
      <c r="G19" s="133">
        <v>1</v>
      </c>
      <c r="H19" s="154" t="s">
        <v>294</v>
      </c>
      <c r="I19" s="143" t="s">
        <v>107</v>
      </c>
      <c r="J19" s="136">
        <v>1</v>
      </c>
      <c r="K19" s="134"/>
      <c r="L19" s="137">
        <v>1</v>
      </c>
    </row>
    <row r="20" spans="1:12">
      <c r="A20" s="144"/>
      <c r="B20" s="145"/>
      <c r="C20" s="146"/>
      <c r="D20" s="146"/>
      <c r="E20" s="147"/>
      <c r="F20" s="146"/>
      <c r="G20" s="133">
        <v>2</v>
      </c>
      <c r="H20" s="167" t="s">
        <v>295</v>
      </c>
      <c r="I20" s="143" t="s">
        <v>107</v>
      </c>
      <c r="J20" s="136">
        <v>1</v>
      </c>
      <c r="K20" s="134"/>
      <c r="L20" s="137">
        <v>1</v>
      </c>
    </row>
    <row r="21" spans="1:12">
      <c r="A21" s="144"/>
      <c r="B21" s="145"/>
      <c r="C21" s="146"/>
      <c r="D21" s="146"/>
      <c r="E21" s="147"/>
      <c r="F21" s="146"/>
      <c r="G21" s="133">
        <v>3</v>
      </c>
      <c r="H21" s="154" t="s">
        <v>296</v>
      </c>
      <c r="I21" s="143" t="s">
        <v>107</v>
      </c>
      <c r="J21" s="136">
        <v>1</v>
      </c>
      <c r="K21" s="136"/>
      <c r="L21" s="137">
        <v>0.5</v>
      </c>
    </row>
    <row r="22" spans="1:12">
      <c r="A22" s="144"/>
      <c r="B22" s="145"/>
      <c r="C22" s="146"/>
      <c r="D22" s="146"/>
      <c r="E22" s="147"/>
      <c r="F22" s="146"/>
      <c r="G22" s="133">
        <v>4</v>
      </c>
      <c r="H22" s="154" t="s">
        <v>297</v>
      </c>
      <c r="I22" s="143" t="s">
        <v>107</v>
      </c>
      <c r="J22" s="136">
        <v>1</v>
      </c>
      <c r="K22" s="136"/>
      <c r="L22" s="137">
        <v>1.5</v>
      </c>
    </row>
    <row r="23" ht="24" spans="1:12">
      <c r="A23" s="144"/>
      <c r="B23" s="145"/>
      <c r="C23" s="146"/>
      <c r="D23" s="146"/>
      <c r="E23" s="147"/>
      <c r="F23" s="146"/>
      <c r="G23" s="133">
        <v>5</v>
      </c>
      <c r="H23" s="154" t="s">
        <v>298</v>
      </c>
      <c r="I23" s="143" t="s">
        <v>34</v>
      </c>
      <c r="J23" s="136">
        <v>1</v>
      </c>
      <c r="K23" s="134"/>
      <c r="L23" s="137">
        <v>1</v>
      </c>
    </row>
    <row r="24" spans="1:12">
      <c r="A24" s="144"/>
      <c r="B24" s="145"/>
      <c r="C24" s="146"/>
      <c r="D24" s="146"/>
      <c r="E24" s="147"/>
      <c r="F24" s="146"/>
      <c r="G24" s="133">
        <v>6</v>
      </c>
      <c r="H24" s="154" t="s">
        <v>299</v>
      </c>
      <c r="I24" s="143" t="s">
        <v>34</v>
      </c>
      <c r="J24" s="136">
        <v>1</v>
      </c>
      <c r="K24" s="134"/>
      <c r="L24" s="137">
        <v>1</v>
      </c>
    </row>
    <row r="25" ht="60" spans="1:12">
      <c r="A25" s="144"/>
      <c r="B25" s="145"/>
      <c r="C25" s="146"/>
      <c r="D25" s="146"/>
      <c r="E25" s="155"/>
      <c r="F25" s="148"/>
      <c r="G25" s="133">
        <v>7</v>
      </c>
      <c r="H25" s="154" t="s">
        <v>300</v>
      </c>
      <c r="I25" s="143" t="s">
        <v>34</v>
      </c>
      <c r="J25" s="136">
        <v>1</v>
      </c>
      <c r="K25" s="134"/>
      <c r="L25" s="137">
        <v>1</v>
      </c>
    </row>
    <row r="26" spans="1:12">
      <c r="A26" s="144"/>
      <c r="B26" s="145"/>
      <c r="C26" s="146"/>
      <c r="D26" s="146"/>
      <c r="E26" s="157" t="s">
        <v>168</v>
      </c>
      <c r="F26" s="158"/>
      <c r="G26" s="158"/>
      <c r="H26" s="159"/>
      <c r="I26" s="180"/>
      <c r="J26" s="181"/>
      <c r="K26" s="182"/>
      <c r="L26" s="183">
        <v>7</v>
      </c>
    </row>
    <row r="27" spans="1:12">
      <c r="A27" s="164"/>
      <c r="B27" s="165"/>
      <c r="C27" s="148"/>
      <c r="D27" s="148"/>
      <c r="E27" s="133" t="s">
        <v>169</v>
      </c>
      <c r="F27" s="133" t="s">
        <v>56</v>
      </c>
      <c r="G27" s="133">
        <v>1</v>
      </c>
      <c r="H27" s="142"/>
      <c r="I27" s="143"/>
      <c r="J27" s="166"/>
      <c r="K27" s="133"/>
      <c r="L27" s="137"/>
    </row>
    <row r="28" ht="36" spans="1:12">
      <c r="A28" s="138" t="s">
        <v>156</v>
      </c>
      <c r="B28" s="139" t="s">
        <v>22</v>
      </c>
      <c r="C28" s="140" t="s">
        <v>23</v>
      </c>
      <c r="D28" s="140"/>
      <c r="E28" s="141" t="s">
        <v>171</v>
      </c>
      <c r="F28" s="140" t="s">
        <v>56</v>
      </c>
      <c r="G28" s="133">
        <v>1</v>
      </c>
      <c r="H28" s="154" t="s">
        <v>301</v>
      </c>
      <c r="I28" s="143" t="s">
        <v>302</v>
      </c>
      <c r="J28" s="136">
        <v>1</v>
      </c>
      <c r="K28" s="134"/>
      <c r="L28" s="137">
        <v>4</v>
      </c>
    </row>
    <row r="29" ht="36" spans="1:12">
      <c r="A29" s="144"/>
      <c r="B29" s="145"/>
      <c r="C29" s="146"/>
      <c r="D29" s="146"/>
      <c r="E29" s="147"/>
      <c r="F29" s="146"/>
      <c r="G29" s="133">
        <v>2</v>
      </c>
      <c r="H29" s="167" t="s">
        <v>303</v>
      </c>
      <c r="I29" s="143" t="s">
        <v>104</v>
      </c>
      <c r="J29" s="136">
        <v>1</v>
      </c>
      <c r="K29" s="134"/>
      <c r="L29" s="137">
        <v>4</v>
      </c>
    </row>
    <row r="30" spans="1:12">
      <c r="A30" s="144"/>
      <c r="B30" s="145"/>
      <c r="C30" s="146"/>
      <c r="D30" s="146"/>
      <c r="E30" s="147"/>
      <c r="F30" s="148"/>
      <c r="G30" s="133">
        <v>3</v>
      </c>
      <c r="H30" s="142"/>
      <c r="I30" s="143"/>
      <c r="J30" s="136"/>
      <c r="K30" s="136"/>
      <c r="L30" s="137"/>
    </row>
    <row r="31" spans="1:12">
      <c r="A31" s="144"/>
      <c r="B31" s="145"/>
      <c r="C31" s="146"/>
      <c r="D31" s="146"/>
      <c r="E31" s="147"/>
      <c r="F31" s="133" t="s">
        <v>177</v>
      </c>
      <c r="G31" s="133">
        <v>4</v>
      </c>
      <c r="H31" s="154" t="s">
        <v>304</v>
      </c>
      <c r="I31" s="143" t="s">
        <v>110</v>
      </c>
      <c r="J31" s="136">
        <v>1</v>
      </c>
      <c r="K31" s="136"/>
      <c r="L31" s="137">
        <v>1.5</v>
      </c>
    </row>
    <row r="32" spans="1:12">
      <c r="A32" s="144"/>
      <c r="B32" s="145"/>
      <c r="C32" s="146"/>
      <c r="D32" s="146"/>
      <c r="E32" s="155"/>
      <c r="F32" s="171"/>
      <c r="G32" s="133">
        <v>5</v>
      </c>
      <c r="H32" s="142"/>
      <c r="I32" s="143"/>
      <c r="J32" s="136"/>
      <c r="K32" s="134"/>
      <c r="L32" s="137"/>
    </row>
    <row r="33" spans="1:12">
      <c r="A33" s="144"/>
      <c r="B33" s="145"/>
      <c r="C33" s="146"/>
      <c r="D33" s="146"/>
      <c r="E33" s="157" t="s">
        <v>168</v>
      </c>
      <c r="F33" s="158"/>
      <c r="G33" s="158"/>
      <c r="H33" s="159"/>
      <c r="I33" s="180"/>
      <c r="J33" s="181"/>
      <c r="K33" s="182"/>
      <c r="L33" s="183">
        <v>9.5</v>
      </c>
    </row>
    <row r="34" spans="1:12">
      <c r="A34" s="164"/>
      <c r="B34" s="165"/>
      <c r="C34" s="148"/>
      <c r="D34" s="148"/>
      <c r="E34" s="133" t="s">
        <v>169</v>
      </c>
      <c r="F34" s="133" t="s">
        <v>56</v>
      </c>
      <c r="G34" s="133">
        <v>1</v>
      </c>
      <c r="H34" s="142"/>
      <c r="I34" s="143"/>
      <c r="J34" s="166"/>
      <c r="K34" s="133"/>
      <c r="L34" s="137"/>
    </row>
    <row r="35" spans="1:12">
      <c r="A35" s="138" t="s">
        <v>267</v>
      </c>
      <c r="B35" s="139" t="s">
        <v>69</v>
      </c>
      <c r="C35" s="140" t="s">
        <v>23</v>
      </c>
      <c r="D35" s="140"/>
      <c r="E35" s="141" t="s">
        <v>171</v>
      </c>
      <c r="F35" s="140" t="s">
        <v>177</v>
      </c>
      <c r="G35" s="133">
        <v>1</v>
      </c>
      <c r="H35" s="154" t="s">
        <v>305</v>
      </c>
      <c r="I35" s="143" t="s">
        <v>34</v>
      </c>
      <c r="J35" s="136">
        <v>1</v>
      </c>
      <c r="K35" s="134"/>
      <c r="L35" s="137">
        <v>1</v>
      </c>
    </row>
    <row r="36" spans="1:12">
      <c r="A36" s="144"/>
      <c r="B36" s="145"/>
      <c r="C36" s="146"/>
      <c r="D36" s="146"/>
      <c r="E36" s="147"/>
      <c r="F36" s="146"/>
      <c r="G36" s="133">
        <v>2</v>
      </c>
      <c r="H36" s="184"/>
      <c r="I36" s="143"/>
      <c r="J36" s="136"/>
      <c r="K36" s="134"/>
      <c r="L36" s="137"/>
    </row>
    <row r="37" spans="1:12">
      <c r="A37" s="144"/>
      <c r="B37" s="145"/>
      <c r="C37" s="146"/>
      <c r="D37" s="146"/>
      <c r="E37" s="147"/>
      <c r="F37" s="146"/>
      <c r="G37" s="133">
        <v>3</v>
      </c>
      <c r="H37" s="184"/>
      <c r="I37" s="143"/>
      <c r="J37" s="136"/>
      <c r="K37" s="134"/>
      <c r="L37" s="137"/>
    </row>
    <row r="38" spans="1:12">
      <c r="A38" s="144"/>
      <c r="B38" s="145"/>
      <c r="C38" s="146"/>
      <c r="D38" s="146"/>
      <c r="E38" s="147"/>
      <c r="F38" s="146"/>
      <c r="G38" s="133">
        <v>4</v>
      </c>
      <c r="H38" s="184"/>
      <c r="I38" s="143"/>
      <c r="J38" s="136"/>
      <c r="K38" s="134"/>
      <c r="L38" s="137"/>
    </row>
    <row r="39" spans="1:12">
      <c r="A39" s="144"/>
      <c r="B39" s="145"/>
      <c r="C39" s="146"/>
      <c r="D39" s="146"/>
      <c r="E39" s="155"/>
      <c r="F39" s="148"/>
      <c r="G39" s="133">
        <v>5</v>
      </c>
      <c r="H39" s="142"/>
      <c r="I39" s="143"/>
      <c r="J39" s="136"/>
      <c r="K39" s="136"/>
      <c r="L39" s="137"/>
    </row>
    <row r="40" spans="1:12">
      <c r="A40" s="144"/>
      <c r="B40" s="145"/>
      <c r="C40" s="146"/>
      <c r="D40" s="146"/>
      <c r="E40" s="157" t="s">
        <v>168</v>
      </c>
      <c r="F40" s="158"/>
      <c r="G40" s="158"/>
      <c r="H40" s="159"/>
      <c r="I40" s="180"/>
      <c r="J40" s="181"/>
      <c r="K40" s="182"/>
      <c r="L40" s="183">
        <v>1</v>
      </c>
    </row>
    <row r="41" spans="1:12">
      <c r="A41" s="164"/>
      <c r="B41" s="165"/>
      <c r="C41" s="148"/>
      <c r="D41" s="148"/>
      <c r="E41" s="133" t="s">
        <v>169</v>
      </c>
      <c r="F41" s="133" t="s">
        <v>56</v>
      </c>
      <c r="G41" s="133">
        <v>1</v>
      </c>
      <c r="H41" s="142"/>
      <c r="I41" s="143"/>
      <c r="J41" s="166"/>
      <c r="K41" s="133"/>
      <c r="L41" s="137"/>
    </row>
  </sheetData>
  <mergeCells count="37">
    <mergeCell ref="E6:H6"/>
    <mergeCell ref="E17:H17"/>
    <mergeCell ref="E26:H26"/>
    <mergeCell ref="E33:H33"/>
    <mergeCell ref="E40:H40"/>
    <mergeCell ref="A2:A7"/>
    <mergeCell ref="A8:A18"/>
    <mergeCell ref="A19:A27"/>
    <mergeCell ref="A28:A34"/>
    <mergeCell ref="A35:A41"/>
    <mergeCell ref="B2:B7"/>
    <mergeCell ref="B8:B18"/>
    <mergeCell ref="B19:B27"/>
    <mergeCell ref="B28:B34"/>
    <mergeCell ref="B35:B41"/>
    <mergeCell ref="C2:C7"/>
    <mergeCell ref="C8:C18"/>
    <mergeCell ref="C19:C27"/>
    <mergeCell ref="C28:C34"/>
    <mergeCell ref="C35:C41"/>
    <mergeCell ref="D2:D7"/>
    <mergeCell ref="D8:D18"/>
    <mergeCell ref="D19:D27"/>
    <mergeCell ref="D28:D34"/>
    <mergeCell ref="D35:D41"/>
    <mergeCell ref="E2:E5"/>
    <mergeCell ref="E8:E16"/>
    <mergeCell ref="E19:E25"/>
    <mergeCell ref="E28:E32"/>
    <mergeCell ref="E35:E39"/>
    <mergeCell ref="F2:F3"/>
    <mergeCell ref="F4:F5"/>
    <mergeCell ref="F8:F14"/>
    <mergeCell ref="F15:F16"/>
    <mergeCell ref="F19:F25"/>
    <mergeCell ref="F28:F30"/>
    <mergeCell ref="F35:F39"/>
  </mergeCells>
  <pageMargins left="0.7" right="0.7" top="0.75" bottom="0.75" header="0.3" footer="0.3"/>
  <pageSetup paperSize="9"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FF"/>
  </sheetPr>
  <dimension ref="A1:Z88"/>
  <sheetViews>
    <sheetView workbookViewId="0">
      <pane ySplit="1" topLeftCell="A58" activePane="bottomLeft" state="frozen"/>
      <selection/>
      <selection pane="bottomLeft" activeCell="H11" sqref="H11"/>
    </sheetView>
  </sheetViews>
  <sheetFormatPr defaultColWidth="9.16666666666667" defaultRowHeight="13.8"/>
  <cols>
    <col min="1" max="1" width="22.5" style="46" customWidth="1"/>
    <col min="2" max="2" width="11.6666666666667" style="46" customWidth="1"/>
    <col min="3" max="7" width="9.16666666666667" style="46"/>
    <col min="8" max="8" width="59.6666666666667" style="46" customWidth="1"/>
    <col min="9" max="9" width="17.5" style="46" customWidth="1"/>
    <col min="10" max="11" width="9.16666666666667" style="46"/>
    <col min="12" max="12" width="19.5" style="47" customWidth="1"/>
    <col min="13" max="26" width="9.16666666666667" style="46"/>
    <col min="27" max="16384" width="9.16666666666667" style="48"/>
  </cols>
  <sheetData>
    <row r="1" ht="52.2" spans="1:26">
      <c r="A1" s="49" t="s">
        <v>146</v>
      </c>
      <c r="B1" s="50" t="s">
        <v>6</v>
      </c>
      <c r="C1" s="49" t="s">
        <v>147</v>
      </c>
      <c r="D1" s="49" t="s">
        <v>148</v>
      </c>
      <c r="E1" s="50" t="s">
        <v>149</v>
      </c>
      <c r="F1" s="49" t="s">
        <v>150</v>
      </c>
      <c r="G1" s="49" t="s">
        <v>1</v>
      </c>
      <c r="H1" s="51" t="s">
        <v>151</v>
      </c>
      <c r="I1" s="49" t="s">
        <v>152</v>
      </c>
      <c r="J1" s="52" t="s">
        <v>153</v>
      </c>
      <c r="K1" s="49" t="s">
        <v>154</v>
      </c>
      <c r="L1" s="53" t="s">
        <v>155</v>
      </c>
      <c r="M1" s="54"/>
      <c r="N1" s="54"/>
      <c r="O1" s="54"/>
      <c r="P1" s="54"/>
      <c r="Q1" s="54"/>
      <c r="R1" s="54"/>
      <c r="S1" s="54"/>
      <c r="T1" s="54"/>
      <c r="U1" s="54"/>
      <c r="V1" s="54"/>
      <c r="W1" s="54"/>
      <c r="X1" s="54"/>
      <c r="Y1" s="54"/>
      <c r="Z1" s="54"/>
    </row>
    <row r="2" ht="15" spans="1:26">
      <c r="A2" s="49" t="s">
        <v>306</v>
      </c>
      <c r="B2" s="55" t="s">
        <v>118</v>
      </c>
      <c r="C2" s="56">
        <v>0.92</v>
      </c>
      <c r="D2" s="57"/>
      <c r="E2" s="58" t="s">
        <v>171</v>
      </c>
      <c r="F2" s="59" t="s">
        <v>56</v>
      </c>
      <c r="G2" s="57">
        <v>1</v>
      </c>
      <c r="H2" s="60" t="s">
        <v>307</v>
      </c>
      <c r="I2" s="61" t="s">
        <v>308</v>
      </c>
      <c r="J2" s="56">
        <v>1</v>
      </c>
      <c r="K2" s="58"/>
      <c r="L2" s="62">
        <v>1</v>
      </c>
    </row>
    <row r="3" ht="105" spans="1:26">
      <c r="A3" s="49"/>
      <c r="B3" s="55"/>
      <c r="C3" s="57"/>
      <c r="D3" s="57"/>
      <c r="E3" s="58"/>
      <c r="F3" s="63"/>
      <c r="G3" s="64">
        <v>2</v>
      </c>
      <c r="H3" s="65" t="s">
        <v>309</v>
      </c>
      <c r="I3" s="64" t="s">
        <v>310</v>
      </c>
      <c r="J3" s="66">
        <v>1</v>
      </c>
      <c r="K3" s="67"/>
      <c r="L3" s="62">
        <v>2.4</v>
      </c>
    </row>
    <row r="4" ht="15" spans="1:26">
      <c r="A4" s="49"/>
      <c r="B4" s="55"/>
      <c r="C4" s="57"/>
      <c r="D4" s="57"/>
      <c r="E4" s="58"/>
      <c r="F4" s="63"/>
      <c r="G4" s="64">
        <v>3</v>
      </c>
      <c r="H4" s="68" t="s">
        <v>311</v>
      </c>
      <c r="I4" s="64" t="s">
        <v>312</v>
      </c>
      <c r="J4" s="66">
        <v>0.5</v>
      </c>
      <c r="K4" s="67"/>
      <c r="L4" s="62">
        <v>1.5</v>
      </c>
    </row>
    <row r="5" ht="30" spans="1:26">
      <c r="A5" s="49"/>
      <c r="B5" s="55"/>
      <c r="C5" s="57"/>
      <c r="D5" s="57"/>
      <c r="E5" s="58"/>
      <c r="F5" s="63"/>
      <c r="G5" s="69">
        <v>4</v>
      </c>
      <c r="H5" s="70" t="s">
        <v>313</v>
      </c>
      <c r="I5" s="71" t="s">
        <v>314</v>
      </c>
      <c r="J5" s="72">
        <v>0.5</v>
      </c>
      <c r="K5" s="73"/>
      <c r="L5" s="74">
        <v>2</v>
      </c>
    </row>
    <row r="6" ht="20.25" customHeight="1" spans="1:26">
      <c r="A6" s="49"/>
      <c r="B6" s="55"/>
      <c r="C6" s="57"/>
      <c r="D6" s="57"/>
      <c r="E6" s="58"/>
      <c r="F6" s="75"/>
      <c r="G6" s="76">
        <v>5</v>
      </c>
      <c r="H6" s="77" t="s">
        <v>315</v>
      </c>
      <c r="I6" s="76" t="s">
        <v>316</v>
      </c>
      <c r="J6" s="78">
        <v>1</v>
      </c>
      <c r="K6" s="79"/>
      <c r="L6" s="80">
        <v>0.6</v>
      </c>
    </row>
    <row r="7" ht="15" spans="1:26">
      <c r="A7" s="49"/>
      <c r="B7" s="55"/>
      <c r="C7" s="57"/>
      <c r="D7" s="57"/>
      <c r="E7" s="58"/>
      <c r="F7" s="75"/>
      <c r="G7" s="76">
        <v>6</v>
      </c>
      <c r="H7" s="81" t="s">
        <v>317</v>
      </c>
      <c r="I7" s="76" t="s">
        <v>318</v>
      </c>
      <c r="J7" s="78">
        <v>1</v>
      </c>
      <c r="K7" s="79"/>
      <c r="L7" s="80">
        <v>0.25</v>
      </c>
    </row>
    <row r="8" ht="15" spans="1:26">
      <c r="A8" s="49"/>
      <c r="B8" s="55"/>
      <c r="C8" s="57"/>
      <c r="D8" s="57"/>
      <c r="E8" s="58"/>
      <c r="F8" s="75"/>
      <c r="G8" s="76">
        <v>7</v>
      </c>
      <c r="H8" s="77"/>
      <c r="I8" s="82"/>
      <c r="J8" s="78"/>
      <c r="K8" s="79"/>
      <c r="L8" s="80"/>
    </row>
    <row r="9" ht="15" spans="1:26">
      <c r="A9" s="49"/>
      <c r="B9" s="55"/>
      <c r="C9" s="57"/>
      <c r="D9" s="57"/>
      <c r="E9" s="58"/>
      <c r="F9" s="75"/>
      <c r="G9" s="76">
        <v>8</v>
      </c>
      <c r="H9" s="83"/>
      <c r="I9" s="83"/>
      <c r="J9" s="83"/>
      <c r="K9" s="83"/>
      <c r="L9" s="84"/>
    </row>
    <row r="10" ht="15" spans="1:26">
      <c r="A10" s="49"/>
      <c r="B10" s="55"/>
      <c r="C10" s="57"/>
      <c r="D10" s="57"/>
      <c r="E10" s="58"/>
      <c r="F10" s="75"/>
      <c r="G10" s="76">
        <v>9</v>
      </c>
      <c r="H10" s="85"/>
      <c r="I10" s="86"/>
      <c r="J10" s="87"/>
      <c r="K10" s="83"/>
      <c r="L10" s="88"/>
    </row>
    <row r="11" ht="15" spans="1:26">
      <c r="A11" s="49"/>
      <c r="B11" s="55"/>
      <c r="C11" s="57"/>
      <c r="D11" s="57"/>
      <c r="E11" s="58"/>
      <c r="F11" s="75"/>
      <c r="G11" s="76">
        <v>10</v>
      </c>
      <c r="H11" s="85"/>
      <c r="I11" s="86"/>
      <c r="J11" s="89"/>
      <c r="K11" s="83"/>
      <c r="L11" s="88"/>
    </row>
    <row r="12" ht="168" customHeight="1" spans="1:26">
      <c r="A12" s="49"/>
      <c r="B12" s="55"/>
      <c r="C12" s="57"/>
      <c r="D12" s="57"/>
      <c r="E12" s="58"/>
      <c r="F12" s="63"/>
      <c r="G12" s="90">
        <v>11</v>
      </c>
      <c r="H12" s="91" t="s">
        <v>319</v>
      </c>
      <c r="I12" s="86" t="s">
        <v>118</v>
      </c>
      <c r="J12" s="89">
        <v>1</v>
      </c>
      <c r="K12" s="92"/>
      <c r="L12" s="88">
        <v>4</v>
      </c>
    </row>
    <row r="13" ht="15" spans="1:26">
      <c r="A13" s="49"/>
      <c r="B13" s="55"/>
      <c r="C13" s="57"/>
      <c r="D13" s="57"/>
      <c r="E13" s="58"/>
      <c r="F13" s="93"/>
      <c r="G13" s="94">
        <v>12</v>
      </c>
      <c r="H13" s="95"/>
      <c r="I13" s="96" t="s">
        <v>121</v>
      </c>
      <c r="J13" s="78">
        <v>1</v>
      </c>
      <c r="K13" s="97"/>
      <c r="L13" s="62">
        <v>2</v>
      </c>
    </row>
    <row r="14" ht="15" spans="1:26">
      <c r="A14" s="49"/>
      <c r="B14" s="55"/>
      <c r="C14" s="57"/>
      <c r="D14" s="57"/>
      <c r="E14" s="98" t="s">
        <v>168</v>
      </c>
      <c r="F14" s="98"/>
      <c r="G14" s="98"/>
      <c r="H14" s="99"/>
      <c r="I14" s="98"/>
      <c r="J14" s="100"/>
      <c r="K14" s="101"/>
      <c r="L14" s="102">
        <f>SUM(L2:L13)</f>
        <v>13.75</v>
      </c>
    </row>
    <row r="15" ht="15.6" spans="1:26">
      <c r="A15" s="49"/>
      <c r="B15" s="55"/>
      <c r="C15" s="57"/>
      <c r="D15" s="57"/>
      <c r="E15" s="58" t="s">
        <v>169</v>
      </c>
      <c r="F15" s="58" t="s">
        <v>56</v>
      </c>
      <c r="G15" s="58">
        <v>1</v>
      </c>
      <c r="H15" s="103"/>
      <c r="I15" s="57"/>
      <c r="J15" s="104"/>
      <c r="K15" s="58"/>
      <c r="L15" s="62"/>
    </row>
    <row r="16" ht="15" spans="1:26">
      <c r="A16" s="49"/>
      <c r="B16" s="55"/>
      <c r="C16" s="57"/>
      <c r="D16" s="57"/>
      <c r="E16" s="58"/>
      <c r="F16" s="58"/>
      <c r="G16" s="58">
        <v>2</v>
      </c>
      <c r="H16" s="60"/>
      <c r="I16" s="58"/>
      <c r="J16" s="104"/>
      <c r="K16" s="58"/>
      <c r="L16" s="62"/>
    </row>
    <row r="17" ht="15" spans="1:12">
      <c r="A17" s="49" t="s">
        <v>320</v>
      </c>
      <c r="B17" s="55" t="s">
        <v>121</v>
      </c>
      <c r="C17" s="56">
        <v>0.96</v>
      </c>
      <c r="D17" s="57"/>
      <c r="E17" s="58" t="s">
        <v>171</v>
      </c>
      <c r="F17" s="57" t="s">
        <v>56</v>
      </c>
      <c r="G17" s="57">
        <v>1</v>
      </c>
      <c r="H17" s="60" t="s">
        <v>321</v>
      </c>
      <c r="I17" s="61" t="s">
        <v>322</v>
      </c>
      <c r="J17" s="56">
        <v>0.9</v>
      </c>
      <c r="K17" s="57"/>
      <c r="L17" s="62">
        <v>4</v>
      </c>
    </row>
    <row r="18" ht="15" spans="1:12">
      <c r="A18" s="49"/>
      <c r="B18" s="55"/>
      <c r="C18" s="57"/>
      <c r="D18" s="57"/>
      <c r="E18" s="58"/>
      <c r="F18" s="57"/>
      <c r="G18" s="57">
        <v>2</v>
      </c>
      <c r="H18" s="60" t="s">
        <v>323</v>
      </c>
      <c r="I18" s="61" t="s">
        <v>308</v>
      </c>
      <c r="J18" s="56">
        <v>1</v>
      </c>
      <c r="K18" s="57"/>
      <c r="L18" s="62">
        <v>2</v>
      </c>
    </row>
    <row r="19" ht="15" spans="1:12">
      <c r="A19" s="49"/>
      <c r="B19" s="55"/>
      <c r="C19" s="57"/>
      <c r="D19" s="57"/>
      <c r="E19" s="58"/>
      <c r="F19" s="57"/>
      <c r="G19" s="57">
        <v>3</v>
      </c>
      <c r="H19" s="60" t="s">
        <v>324</v>
      </c>
      <c r="I19" s="61" t="s">
        <v>325</v>
      </c>
      <c r="J19" s="56">
        <v>0.9</v>
      </c>
      <c r="K19" s="57"/>
      <c r="L19" s="62">
        <v>3</v>
      </c>
    </row>
    <row r="20" ht="90" spans="1:12">
      <c r="A20" s="49"/>
      <c r="B20" s="55"/>
      <c r="C20" s="57"/>
      <c r="D20" s="57"/>
      <c r="E20" s="58"/>
      <c r="F20" s="57"/>
      <c r="G20" s="57">
        <v>4</v>
      </c>
      <c r="H20" s="60" t="s">
        <v>326</v>
      </c>
      <c r="I20" s="61" t="s">
        <v>310</v>
      </c>
      <c r="J20" s="56">
        <v>1</v>
      </c>
      <c r="K20" s="57"/>
      <c r="L20" s="62">
        <v>1.6</v>
      </c>
    </row>
    <row r="21" ht="15" spans="1:12">
      <c r="A21" s="49"/>
      <c r="B21" s="55"/>
      <c r="C21" s="57"/>
      <c r="D21" s="57"/>
      <c r="E21" s="58"/>
      <c r="F21" s="57"/>
      <c r="G21" s="57">
        <v>5</v>
      </c>
      <c r="H21" s="105"/>
      <c r="I21" s="61"/>
      <c r="J21" s="56"/>
      <c r="K21" s="57"/>
      <c r="L21" s="62"/>
    </row>
    <row r="22" ht="15" spans="1:12">
      <c r="A22" s="49"/>
      <c r="B22" s="55"/>
      <c r="C22" s="57"/>
      <c r="D22" s="57"/>
      <c r="E22" s="58"/>
      <c r="F22" s="57"/>
      <c r="G22" s="57">
        <v>6</v>
      </c>
      <c r="H22" s="106"/>
      <c r="I22" s="57"/>
      <c r="J22" s="56"/>
      <c r="K22" s="57"/>
      <c r="L22" s="62"/>
    </row>
    <row r="23" ht="15" spans="1:12">
      <c r="A23" s="49"/>
      <c r="B23" s="55"/>
      <c r="C23" s="57"/>
      <c r="D23" s="57"/>
      <c r="E23" s="58"/>
      <c r="F23" s="57"/>
      <c r="G23" s="58">
        <v>7</v>
      </c>
      <c r="H23" s="60"/>
      <c r="I23" s="57"/>
      <c r="J23" s="56"/>
      <c r="K23" s="57"/>
      <c r="L23" s="62"/>
    </row>
    <row r="24" ht="15" spans="1:12">
      <c r="A24" s="49"/>
      <c r="B24" s="55"/>
      <c r="C24" s="57"/>
      <c r="D24" s="57"/>
      <c r="E24" s="58"/>
      <c r="F24" s="57"/>
      <c r="G24" s="57">
        <v>8</v>
      </c>
      <c r="H24" s="60"/>
      <c r="I24" s="57"/>
      <c r="J24" s="56"/>
      <c r="K24" s="57"/>
      <c r="L24" s="62"/>
    </row>
    <row r="25" ht="15" spans="1:12">
      <c r="A25" s="49"/>
      <c r="B25" s="55"/>
      <c r="C25" s="57"/>
      <c r="D25" s="57"/>
      <c r="E25" s="58"/>
      <c r="F25" s="57"/>
      <c r="G25" s="57">
        <v>9</v>
      </c>
      <c r="H25" s="60"/>
      <c r="I25" s="57"/>
      <c r="J25" s="56"/>
      <c r="K25" s="57"/>
      <c r="L25" s="62"/>
    </row>
    <row r="26" ht="15" spans="1:12">
      <c r="A26" s="49"/>
      <c r="B26" s="55"/>
      <c r="C26" s="57"/>
      <c r="D26" s="57"/>
      <c r="E26" s="98" t="s">
        <v>168</v>
      </c>
      <c r="F26" s="98"/>
      <c r="G26" s="98"/>
      <c r="H26" s="98"/>
      <c r="I26" s="98"/>
      <c r="J26" s="107"/>
      <c r="K26" s="101"/>
      <c r="L26" s="102">
        <f>SUM(L17:L25)</f>
        <v>10.6</v>
      </c>
    </row>
    <row r="27" ht="15.6" spans="1:12">
      <c r="A27" s="49"/>
      <c r="B27" s="55"/>
      <c r="C27" s="57"/>
      <c r="D27" s="57"/>
      <c r="E27" s="58" t="s">
        <v>169</v>
      </c>
      <c r="F27" s="58" t="s">
        <v>56</v>
      </c>
      <c r="G27" s="58">
        <v>1</v>
      </c>
      <c r="H27" s="103"/>
      <c r="I27" s="57"/>
      <c r="J27" s="104"/>
      <c r="K27" s="58"/>
      <c r="L27" s="108"/>
    </row>
    <row r="28" ht="15.6" spans="1:12">
      <c r="A28" s="49"/>
      <c r="B28" s="55"/>
      <c r="C28" s="57"/>
      <c r="D28" s="57"/>
      <c r="E28" s="58"/>
      <c r="F28" s="58"/>
      <c r="G28" s="58">
        <v>2</v>
      </c>
      <c r="H28" s="109"/>
      <c r="I28" s="110"/>
      <c r="J28" s="111"/>
      <c r="K28" s="110"/>
      <c r="L28" s="112"/>
    </row>
    <row r="29" ht="45" spans="1:12">
      <c r="A29" s="49" t="s">
        <v>327</v>
      </c>
      <c r="B29" s="55" t="s">
        <v>121</v>
      </c>
      <c r="C29" s="57" t="s">
        <v>328</v>
      </c>
      <c r="D29" s="57"/>
      <c r="E29" s="58" t="s">
        <v>171</v>
      </c>
      <c r="F29" s="59" t="s">
        <v>56</v>
      </c>
      <c r="G29" s="113">
        <v>1</v>
      </c>
      <c r="H29" s="105" t="s">
        <v>329</v>
      </c>
      <c r="I29" s="61" t="s">
        <v>318</v>
      </c>
      <c r="J29" s="114">
        <v>0.3</v>
      </c>
      <c r="K29" s="57"/>
      <c r="L29" s="115">
        <v>2.75</v>
      </c>
    </row>
    <row r="30" ht="30" spans="1:12">
      <c r="A30" s="49"/>
      <c r="B30" s="55"/>
      <c r="C30" s="57"/>
      <c r="D30" s="57"/>
      <c r="E30" s="58"/>
      <c r="F30" s="116"/>
      <c r="G30" s="113">
        <v>2</v>
      </c>
      <c r="H30" s="105" t="s">
        <v>330</v>
      </c>
      <c r="I30" s="61" t="s">
        <v>312</v>
      </c>
      <c r="J30" s="56">
        <v>0.7</v>
      </c>
      <c r="K30" s="57"/>
      <c r="L30" s="115">
        <v>2.5</v>
      </c>
    </row>
    <row r="31" ht="45" spans="1:12">
      <c r="A31" s="49"/>
      <c r="B31" s="55"/>
      <c r="C31" s="57"/>
      <c r="D31" s="57"/>
      <c r="E31" s="58"/>
      <c r="F31" s="116"/>
      <c r="G31" s="57">
        <v>3</v>
      </c>
      <c r="H31" s="105" t="s">
        <v>331</v>
      </c>
      <c r="I31" s="61" t="s">
        <v>121</v>
      </c>
      <c r="J31" s="56">
        <v>0.7</v>
      </c>
      <c r="K31" s="57"/>
      <c r="L31" s="115">
        <v>2</v>
      </c>
    </row>
    <row r="32" ht="15.6" spans="1:12">
      <c r="A32" s="49"/>
      <c r="B32" s="55"/>
      <c r="C32" s="57"/>
      <c r="D32" s="57"/>
      <c r="E32" s="58"/>
      <c r="F32" s="116"/>
      <c r="G32" s="57">
        <v>4</v>
      </c>
      <c r="H32" s="60"/>
      <c r="I32" s="61"/>
      <c r="J32" s="56"/>
      <c r="K32" s="57"/>
      <c r="L32" s="55"/>
    </row>
    <row r="33" ht="15.6" spans="1:12">
      <c r="A33" s="49"/>
      <c r="B33" s="55"/>
      <c r="C33" s="57"/>
      <c r="D33" s="57"/>
      <c r="E33" s="58"/>
      <c r="F33" s="116"/>
      <c r="G33" s="57">
        <v>5</v>
      </c>
      <c r="H33" s="60"/>
      <c r="I33" s="65"/>
      <c r="J33" s="56"/>
      <c r="K33" s="57"/>
      <c r="L33" s="55"/>
    </row>
    <row r="34" ht="15.6" spans="1:12">
      <c r="A34" s="49"/>
      <c r="B34" s="55"/>
      <c r="C34" s="57"/>
      <c r="D34" s="57"/>
      <c r="E34" s="58"/>
      <c r="F34" s="117"/>
      <c r="G34" s="57">
        <v>6</v>
      </c>
      <c r="H34" s="106"/>
      <c r="I34" s="57"/>
      <c r="J34" s="56"/>
      <c r="K34" s="57"/>
      <c r="L34" s="55"/>
    </row>
    <row r="35" ht="15.6" spans="1:12">
      <c r="A35" s="49"/>
      <c r="B35" s="55"/>
      <c r="C35" s="57"/>
      <c r="D35" s="57"/>
      <c r="E35" s="58"/>
      <c r="F35" s="59" t="s">
        <v>332</v>
      </c>
      <c r="G35" s="58">
        <v>1</v>
      </c>
      <c r="H35" s="60"/>
      <c r="I35" s="61"/>
      <c r="J35" s="56"/>
      <c r="K35" s="57"/>
      <c r="L35" s="55"/>
    </row>
    <row r="36" ht="15.6" spans="1:12">
      <c r="A36" s="49"/>
      <c r="B36" s="55"/>
      <c r="C36" s="57"/>
      <c r="D36" s="57"/>
      <c r="E36" s="58"/>
      <c r="F36" s="116"/>
      <c r="G36" s="57">
        <v>2</v>
      </c>
      <c r="H36" s="60"/>
      <c r="I36" s="57"/>
      <c r="J36" s="56"/>
      <c r="K36" s="57"/>
      <c r="L36" s="55"/>
    </row>
    <row r="37" ht="15.6" spans="1:12">
      <c r="A37" s="49"/>
      <c r="B37" s="55"/>
      <c r="C37" s="57"/>
      <c r="D37" s="57"/>
      <c r="E37" s="58"/>
      <c r="F37" s="117"/>
      <c r="G37" s="57">
        <v>3</v>
      </c>
      <c r="H37" s="60"/>
      <c r="I37" s="57"/>
      <c r="J37" s="56"/>
      <c r="K37" s="57"/>
      <c r="L37" s="55"/>
    </row>
    <row r="38" ht="15" spans="1:12">
      <c r="A38" s="49"/>
      <c r="B38" s="55"/>
      <c r="C38" s="57"/>
      <c r="D38" s="57"/>
      <c r="E38" s="98" t="s">
        <v>168</v>
      </c>
      <c r="F38" s="98"/>
      <c r="G38" s="98"/>
      <c r="H38" s="98"/>
      <c r="I38" s="98"/>
      <c r="J38" s="107"/>
      <c r="K38" s="101"/>
      <c r="L38" s="102">
        <f>SUM(L29:L37)</f>
        <v>7.25</v>
      </c>
    </row>
    <row r="39" ht="15.6" spans="1:12">
      <c r="A39" s="49"/>
      <c r="B39" s="55"/>
      <c r="C39" s="57"/>
      <c r="D39" s="57"/>
      <c r="E39" s="58" t="s">
        <v>169</v>
      </c>
      <c r="F39" s="58" t="s">
        <v>56</v>
      </c>
      <c r="G39" s="58">
        <v>1</v>
      </c>
      <c r="H39" s="103"/>
      <c r="I39" s="57"/>
      <c r="J39" s="104"/>
      <c r="K39" s="58"/>
      <c r="L39" s="108"/>
    </row>
    <row r="40" ht="15.6" spans="1:12">
      <c r="A40" s="49"/>
      <c r="B40" s="55"/>
      <c r="C40" s="57"/>
      <c r="D40" s="57"/>
      <c r="E40" s="58"/>
      <c r="F40" s="58"/>
      <c r="G40" s="58">
        <v>2</v>
      </c>
      <c r="H40" s="103"/>
      <c r="I40" s="58"/>
      <c r="J40" s="104"/>
      <c r="K40" s="58"/>
      <c r="L40" s="62"/>
    </row>
    <row r="41" ht="30" spans="1:12">
      <c r="A41" s="49" t="s">
        <v>333</v>
      </c>
      <c r="B41" s="55" t="s">
        <v>121</v>
      </c>
      <c r="C41" s="57" t="s">
        <v>328</v>
      </c>
      <c r="D41" s="57"/>
      <c r="E41" s="58" t="s">
        <v>171</v>
      </c>
      <c r="F41" s="59" t="s">
        <v>56</v>
      </c>
      <c r="G41" s="57">
        <v>1</v>
      </c>
      <c r="H41" s="105" t="s">
        <v>334</v>
      </c>
      <c r="I41" s="61" t="s">
        <v>318</v>
      </c>
      <c r="J41" s="114">
        <v>1</v>
      </c>
      <c r="K41" s="57"/>
      <c r="L41" s="115">
        <v>1</v>
      </c>
    </row>
    <row r="42" ht="15.6" spans="1:12">
      <c r="A42" s="49"/>
      <c r="B42" s="55"/>
      <c r="C42" s="57"/>
      <c r="D42" s="57"/>
      <c r="E42" s="58"/>
      <c r="F42" s="116"/>
      <c r="G42" s="57">
        <v>2</v>
      </c>
      <c r="H42" s="105"/>
      <c r="I42" s="61"/>
      <c r="J42" s="114"/>
      <c r="K42" s="57"/>
      <c r="L42" s="115"/>
    </row>
    <row r="43" ht="15.6" spans="1:12">
      <c r="A43" s="49"/>
      <c r="B43" s="55"/>
      <c r="C43" s="57"/>
      <c r="D43" s="57"/>
      <c r="E43" s="58"/>
      <c r="F43" s="116"/>
      <c r="G43" s="57">
        <v>3</v>
      </c>
      <c r="I43" s="61"/>
      <c r="J43" s="114"/>
      <c r="K43" s="57"/>
      <c r="L43" s="115"/>
    </row>
    <row r="44" ht="15.6" spans="1:12">
      <c r="A44" s="49"/>
      <c r="B44" s="55"/>
      <c r="C44" s="57"/>
      <c r="D44" s="57"/>
      <c r="E44" s="58"/>
      <c r="F44" s="116"/>
      <c r="G44" s="57">
        <v>4</v>
      </c>
      <c r="H44" s="60"/>
      <c r="I44" s="61"/>
      <c r="J44" s="56"/>
      <c r="K44" s="57"/>
      <c r="L44" s="55"/>
    </row>
    <row r="45" ht="15.6" spans="1:12">
      <c r="A45" s="49"/>
      <c r="B45" s="55"/>
      <c r="C45" s="57"/>
      <c r="D45" s="57"/>
      <c r="E45" s="58"/>
      <c r="F45" s="116"/>
      <c r="G45" s="57">
        <v>5</v>
      </c>
      <c r="H45" s="60"/>
      <c r="I45" s="61"/>
      <c r="J45" s="56"/>
      <c r="K45" s="57"/>
      <c r="L45" s="55"/>
    </row>
    <row r="46" ht="15.6" spans="1:12">
      <c r="A46" s="49"/>
      <c r="B46" s="55"/>
      <c r="C46" s="57"/>
      <c r="D46" s="57"/>
      <c r="E46" s="58"/>
      <c r="F46" s="117"/>
      <c r="G46" s="57">
        <v>6</v>
      </c>
      <c r="H46" s="106"/>
      <c r="I46" s="57"/>
      <c r="J46" s="56"/>
      <c r="K46" s="57"/>
      <c r="L46" s="55"/>
    </row>
    <row r="47" ht="15.6" spans="1:12">
      <c r="A47" s="49"/>
      <c r="B47" s="55"/>
      <c r="C47" s="57"/>
      <c r="D47" s="57"/>
      <c r="E47" s="58"/>
      <c r="F47" s="59" t="s">
        <v>191</v>
      </c>
      <c r="G47" s="58">
        <v>1</v>
      </c>
      <c r="H47" s="60"/>
      <c r="I47" s="61"/>
      <c r="J47" s="56"/>
      <c r="K47" s="57"/>
      <c r="L47" s="55"/>
    </row>
    <row r="48" ht="15.6" spans="1:12">
      <c r="A48" s="49"/>
      <c r="B48" s="55"/>
      <c r="C48" s="57"/>
      <c r="D48" s="57"/>
      <c r="E48" s="58"/>
      <c r="F48" s="116"/>
      <c r="G48" s="57">
        <v>2</v>
      </c>
      <c r="H48" s="60"/>
      <c r="I48" s="57"/>
      <c r="J48" s="56"/>
      <c r="K48" s="57"/>
      <c r="L48" s="55"/>
    </row>
    <row r="49" ht="15.6" spans="1:12">
      <c r="A49" s="49"/>
      <c r="B49" s="55"/>
      <c r="C49" s="57"/>
      <c r="D49" s="57"/>
      <c r="E49" s="58"/>
      <c r="F49" s="117"/>
      <c r="G49" s="57">
        <v>3</v>
      </c>
      <c r="H49" s="60"/>
      <c r="I49" s="57"/>
      <c r="J49" s="56"/>
      <c r="K49" s="57"/>
      <c r="L49" s="55"/>
    </row>
    <row r="50" ht="15" spans="1:12">
      <c r="A50" s="49"/>
      <c r="B50" s="55"/>
      <c r="C50" s="57"/>
      <c r="D50" s="57"/>
      <c r="E50" s="98" t="s">
        <v>168</v>
      </c>
      <c r="F50" s="98"/>
      <c r="G50" s="98"/>
      <c r="H50" s="98"/>
      <c r="I50" s="98"/>
      <c r="J50" s="107"/>
      <c r="K50" s="101"/>
      <c r="L50" s="102">
        <f>SUM(L41:L49)</f>
        <v>1</v>
      </c>
    </row>
    <row r="51" ht="15.6" spans="1:12">
      <c r="A51" s="49"/>
      <c r="B51" s="55"/>
      <c r="C51" s="57"/>
      <c r="D51" s="57"/>
      <c r="E51" s="58" t="s">
        <v>169</v>
      </c>
      <c r="F51" s="58" t="s">
        <v>56</v>
      </c>
      <c r="G51" s="58">
        <v>1</v>
      </c>
      <c r="H51" s="103"/>
      <c r="I51" s="57"/>
      <c r="J51" s="104"/>
      <c r="K51" s="58"/>
      <c r="L51" s="108"/>
    </row>
    <row r="52" ht="15.6" spans="1:12">
      <c r="A52" s="49"/>
      <c r="B52" s="55"/>
      <c r="C52" s="57"/>
      <c r="D52" s="57"/>
      <c r="E52" s="58"/>
      <c r="F52" s="58"/>
      <c r="G52" s="58">
        <v>2</v>
      </c>
      <c r="H52" s="103"/>
      <c r="I52" s="58"/>
      <c r="J52" s="104"/>
      <c r="K52" s="58"/>
      <c r="L52" s="62"/>
    </row>
    <row r="53" ht="15" spans="1:12">
      <c r="A53" s="49" t="s">
        <v>335</v>
      </c>
      <c r="B53" s="55" t="s">
        <v>121</v>
      </c>
      <c r="C53" s="56">
        <v>0.96</v>
      </c>
      <c r="D53" s="57"/>
      <c r="E53" s="58" t="s">
        <v>171</v>
      </c>
      <c r="F53" s="59" t="s">
        <v>56</v>
      </c>
      <c r="G53" s="57">
        <v>1</v>
      </c>
      <c r="H53" s="60"/>
      <c r="I53" s="61"/>
      <c r="J53" s="56"/>
      <c r="K53" s="57"/>
      <c r="L53" s="62"/>
    </row>
    <row r="54" ht="15" spans="1:12">
      <c r="A54" s="49"/>
      <c r="B54" s="55"/>
      <c r="C54" s="57"/>
      <c r="D54" s="57"/>
      <c r="E54" s="58"/>
      <c r="F54" s="63"/>
      <c r="G54" s="57">
        <v>2</v>
      </c>
      <c r="H54" s="60"/>
      <c r="I54" s="61"/>
      <c r="J54" s="56"/>
      <c r="K54" s="57"/>
      <c r="L54" s="62"/>
    </row>
    <row r="55" ht="15" spans="1:12">
      <c r="A55" s="49"/>
      <c r="B55" s="55"/>
      <c r="C55" s="57"/>
      <c r="D55" s="57"/>
      <c r="E55" s="58"/>
      <c r="F55" s="63"/>
      <c r="G55" s="57">
        <v>3</v>
      </c>
      <c r="H55" s="118"/>
      <c r="I55" s="61"/>
      <c r="J55" s="56"/>
      <c r="K55" s="57"/>
      <c r="L55" s="62"/>
    </row>
    <row r="56" ht="15" spans="1:12">
      <c r="A56" s="49"/>
      <c r="B56" s="55"/>
      <c r="C56" s="57"/>
      <c r="D56" s="57"/>
      <c r="E56" s="58"/>
      <c r="F56" s="63"/>
      <c r="G56" s="57">
        <v>4</v>
      </c>
      <c r="H56" s="60"/>
      <c r="I56" s="61"/>
      <c r="J56" s="56"/>
      <c r="K56" s="57"/>
      <c r="L56" s="62"/>
    </row>
    <row r="57" ht="15" spans="1:12">
      <c r="A57" s="49"/>
      <c r="B57" s="55"/>
      <c r="C57" s="57"/>
      <c r="D57" s="57"/>
      <c r="E57" s="58"/>
      <c r="F57" s="63"/>
      <c r="G57" s="57">
        <v>5</v>
      </c>
      <c r="H57" s="60"/>
      <c r="I57" s="61"/>
      <c r="J57" s="56"/>
      <c r="K57" s="57"/>
      <c r="L57" s="62"/>
    </row>
    <row r="58" ht="15" spans="1:12">
      <c r="A58" s="49"/>
      <c r="B58" s="55"/>
      <c r="C58" s="57"/>
      <c r="D58" s="57"/>
      <c r="E58" s="58"/>
      <c r="F58" s="93"/>
      <c r="G58" s="57">
        <v>6</v>
      </c>
      <c r="H58" s="119"/>
      <c r="I58" s="61"/>
      <c r="J58" s="120"/>
      <c r="K58" s="57"/>
      <c r="L58" s="62"/>
    </row>
    <row r="59" ht="15" spans="1:12">
      <c r="A59" s="49"/>
      <c r="B59" s="55"/>
      <c r="C59" s="57"/>
      <c r="D59" s="57"/>
      <c r="E59" s="58"/>
      <c r="F59" s="59" t="s">
        <v>336</v>
      </c>
      <c r="G59" s="121">
        <v>1</v>
      </c>
      <c r="H59" s="122"/>
      <c r="I59" s="123"/>
      <c r="J59" s="124"/>
      <c r="K59" s="125"/>
      <c r="L59" s="62"/>
    </row>
    <row r="60" ht="15" spans="1:12">
      <c r="A60" s="49"/>
      <c r="B60" s="55"/>
      <c r="C60" s="57"/>
      <c r="D60" s="57"/>
      <c r="E60" s="58"/>
      <c r="F60" s="63"/>
      <c r="G60" s="113">
        <v>2</v>
      </c>
      <c r="H60" s="122"/>
      <c r="I60" s="126"/>
      <c r="J60" s="124"/>
      <c r="K60" s="125"/>
      <c r="L60" s="62"/>
    </row>
    <row r="61" ht="15" spans="1:12">
      <c r="A61" s="49"/>
      <c r="B61" s="55"/>
      <c r="C61" s="57"/>
      <c r="D61" s="57"/>
      <c r="E61" s="58"/>
      <c r="F61" s="93"/>
      <c r="G61" s="57">
        <v>3</v>
      </c>
      <c r="H61" s="127"/>
      <c r="I61" s="57"/>
      <c r="J61" s="128"/>
      <c r="K61" s="57"/>
      <c r="L61" s="62"/>
    </row>
    <row r="62" ht="15" spans="1:12">
      <c r="A62" s="49"/>
      <c r="B62" s="55"/>
      <c r="C62" s="57"/>
      <c r="D62" s="57"/>
      <c r="E62" s="98" t="s">
        <v>168</v>
      </c>
      <c r="F62" s="98"/>
      <c r="G62" s="98"/>
      <c r="H62" s="98"/>
      <c r="I62" s="98"/>
      <c r="J62" s="107"/>
      <c r="K62" s="101"/>
      <c r="L62" s="102">
        <f>SUM(L53:L61)</f>
        <v>0</v>
      </c>
    </row>
    <row r="63" ht="15.6" spans="1:12">
      <c r="A63" s="49"/>
      <c r="B63" s="55"/>
      <c r="C63" s="57"/>
      <c r="D63" s="57"/>
      <c r="E63" s="58" t="s">
        <v>169</v>
      </c>
      <c r="F63" s="58" t="s">
        <v>56</v>
      </c>
      <c r="G63" s="58">
        <v>1</v>
      </c>
      <c r="H63" s="103"/>
      <c r="I63" s="57"/>
      <c r="J63" s="104"/>
      <c r="K63" s="58"/>
      <c r="L63" s="108"/>
    </row>
    <row r="64" ht="15.6" spans="1:12">
      <c r="A64" s="49"/>
      <c r="B64" s="55"/>
      <c r="C64" s="57"/>
      <c r="D64" s="57"/>
      <c r="E64" s="58"/>
      <c r="F64" s="58"/>
      <c r="G64" s="58">
        <v>2</v>
      </c>
      <c r="H64" s="103"/>
      <c r="I64" s="58"/>
      <c r="J64" s="104"/>
      <c r="K64" s="58"/>
      <c r="L64" s="108"/>
    </row>
    <row r="65" ht="15" spans="1:12">
      <c r="A65" s="49" t="s">
        <v>337</v>
      </c>
      <c r="B65" s="55" t="s">
        <v>121</v>
      </c>
      <c r="C65" s="57" t="s">
        <v>328</v>
      </c>
      <c r="D65" s="57"/>
      <c r="E65" s="58" t="s">
        <v>171</v>
      </c>
      <c r="F65" s="57" t="s">
        <v>56</v>
      </c>
      <c r="G65" s="57">
        <v>1</v>
      </c>
      <c r="H65" s="60"/>
      <c r="I65" s="61"/>
      <c r="J65" s="56"/>
      <c r="K65" s="57"/>
      <c r="L65" s="62"/>
    </row>
    <row r="66" ht="15" spans="1:12">
      <c r="A66" s="49"/>
      <c r="B66" s="55"/>
      <c r="C66" s="57"/>
      <c r="D66" s="57"/>
      <c r="E66" s="58"/>
      <c r="F66" s="57"/>
      <c r="G66" s="57">
        <v>2</v>
      </c>
      <c r="H66" s="106"/>
      <c r="I66" s="61"/>
      <c r="J66" s="56"/>
      <c r="K66" s="57"/>
      <c r="L66" s="62"/>
    </row>
    <row r="67" ht="15" spans="1:12">
      <c r="A67" s="49"/>
      <c r="B67" s="55"/>
      <c r="C67" s="57"/>
      <c r="D67" s="57"/>
      <c r="E67" s="58"/>
      <c r="F67" s="57"/>
      <c r="G67" s="57">
        <v>3</v>
      </c>
      <c r="H67" s="60"/>
      <c r="I67" s="61"/>
      <c r="J67" s="56"/>
      <c r="K67" s="57"/>
      <c r="L67" s="62"/>
    </row>
    <row r="68" ht="15" spans="1:12">
      <c r="A68" s="49"/>
      <c r="B68" s="55"/>
      <c r="C68" s="57"/>
      <c r="D68" s="57"/>
      <c r="E68" s="58"/>
      <c r="F68" s="57"/>
      <c r="G68" s="57">
        <v>4</v>
      </c>
      <c r="H68" s="60"/>
      <c r="I68" s="61"/>
      <c r="J68" s="56"/>
      <c r="K68" s="57"/>
      <c r="L68" s="62"/>
    </row>
    <row r="69" ht="15" spans="1:12">
      <c r="A69" s="49"/>
      <c r="B69" s="55"/>
      <c r="C69" s="57"/>
      <c r="D69" s="57"/>
      <c r="E69" s="58"/>
      <c r="F69" s="57"/>
      <c r="G69" s="57">
        <v>5</v>
      </c>
      <c r="H69" s="60"/>
      <c r="I69" s="61"/>
      <c r="J69" s="56"/>
      <c r="K69" s="57"/>
      <c r="L69" s="62"/>
    </row>
    <row r="70" ht="15" spans="1:12">
      <c r="A70" s="49"/>
      <c r="B70" s="55"/>
      <c r="C70" s="57"/>
      <c r="D70" s="57"/>
      <c r="E70" s="58"/>
      <c r="F70" s="57"/>
      <c r="G70" s="57">
        <v>6</v>
      </c>
      <c r="H70" s="106"/>
      <c r="I70" s="57"/>
      <c r="J70" s="56"/>
      <c r="K70" s="57"/>
      <c r="L70" s="62"/>
    </row>
    <row r="71" ht="15" spans="1:12">
      <c r="A71" s="49"/>
      <c r="B71" s="55"/>
      <c r="C71" s="57"/>
      <c r="D71" s="57"/>
      <c r="E71" s="58"/>
      <c r="F71" s="57"/>
      <c r="G71" s="58">
        <v>7</v>
      </c>
      <c r="H71" s="60"/>
      <c r="I71" s="57"/>
      <c r="J71" s="56"/>
      <c r="K71" s="57"/>
      <c r="L71" s="62"/>
    </row>
    <row r="72" ht="15" spans="1:12">
      <c r="A72" s="49"/>
      <c r="B72" s="55"/>
      <c r="C72" s="57"/>
      <c r="D72" s="57"/>
      <c r="E72" s="58"/>
      <c r="F72" s="57"/>
      <c r="G72" s="57">
        <v>8</v>
      </c>
      <c r="H72" s="60"/>
      <c r="I72" s="57"/>
      <c r="J72" s="56"/>
      <c r="K72" s="57"/>
      <c r="L72" s="62"/>
    </row>
    <row r="73" ht="15" spans="1:12">
      <c r="A73" s="49"/>
      <c r="B73" s="55"/>
      <c r="C73" s="57"/>
      <c r="D73" s="57"/>
      <c r="E73" s="58"/>
      <c r="F73" s="57"/>
      <c r="G73" s="57">
        <v>9</v>
      </c>
      <c r="H73" s="60"/>
      <c r="I73" s="57"/>
      <c r="J73" s="56"/>
      <c r="K73" s="57"/>
      <c r="L73" s="62"/>
    </row>
    <row r="74" ht="15" spans="1:12">
      <c r="A74" s="49"/>
      <c r="B74" s="55"/>
      <c r="C74" s="57"/>
      <c r="D74" s="57"/>
      <c r="E74" s="98" t="s">
        <v>168</v>
      </c>
      <c r="F74" s="98"/>
      <c r="G74" s="98"/>
      <c r="H74" s="98"/>
      <c r="I74" s="98"/>
      <c r="J74" s="107"/>
      <c r="K74" s="101"/>
      <c r="L74" s="102">
        <f>SUM(L65:L73)</f>
        <v>0</v>
      </c>
    </row>
    <row r="75" ht="15.6" spans="1:12">
      <c r="A75" s="49"/>
      <c r="B75" s="55"/>
      <c r="C75" s="57"/>
      <c r="D75" s="57"/>
      <c r="E75" s="58" t="s">
        <v>169</v>
      </c>
      <c r="F75" s="58" t="s">
        <v>56</v>
      </c>
      <c r="G75" s="58">
        <v>1</v>
      </c>
      <c r="H75" s="103"/>
      <c r="I75" s="57"/>
      <c r="J75" s="104"/>
      <c r="K75" s="58"/>
      <c r="L75" s="62"/>
    </row>
    <row r="76" ht="15.6" spans="1:12">
      <c r="A76" s="49"/>
      <c r="B76" s="55"/>
      <c r="C76" s="57"/>
      <c r="D76" s="57"/>
      <c r="E76" s="58"/>
      <c r="F76" s="58"/>
      <c r="G76" s="58">
        <v>2</v>
      </c>
      <c r="H76" s="103"/>
      <c r="I76" s="58"/>
      <c r="J76" s="104"/>
      <c r="K76" s="58"/>
      <c r="L76" s="62"/>
    </row>
    <row r="77" ht="27.6" spans="1:12">
      <c r="A77" s="49" t="s">
        <v>338</v>
      </c>
      <c r="B77" s="55" t="s">
        <v>314</v>
      </c>
      <c r="C77" s="57" t="s">
        <v>328</v>
      </c>
      <c r="D77" s="57"/>
      <c r="E77" s="58" t="s">
        <v>171</v>
      </c>
      <c r="F77" s="57" t="s">
        <v>56</v>
      </c>
      <c r="G77" s="57">
        <v>1</v>
      </c>
      <c r="H77" s="129" t="s">
        <v>339</v>
      </c>
      <c r="I77" s="61" t="s">
        <v>314</v>
      </c>
      <c r="J77" s="56">
        <v>1</v>
      </c>
      <c r="K77" s="57"/>
      <c r="L77" s="62">
        <v>2</v>
      </c>
    </row>
    <row r="78" ht="15" spans="1:12">
      <c r="A78" s="49"/>
      <c r="B78" s="55"/>
      <c r="C78" s="57"/>
      <c r="D78" s="57"/>
      <c r="E78" s="58"/>
      <c r="F78" s="57"/>
      <c r="G78" s="57">
        <v>2</v>
      </c>
      <c r="H78" s="106"/>
      <c r="I78" s="61"/>
      <c r="J78" s="56"/>
      <c r="K78" s="57"/>
      <c r="L78" s="62"/>
    </row>
    <row r="79" ht="15" spans="1:12">
      <c r="A79" s="49"/>
      <c r="B79" s="55"/>
      <c r="C79" s="57"/>
      <c r="D79" s="57"/>
      <c r="E79" s="58"/>
      <c r="F79" s="57"/>
      <c r="G79" s="57">
        <v>3</v>
      </c>
      <c r="H79" s="60"/>
      <c r="I79" s="61"/>
      <c r="J79" s="56"/>
      <c r="K79" s="57"/>
      <c r="L79" s="62"/>
    </row>
    <row r="80" ht="15" spans="1:12">
      <c r="A80" s="49"/>
      <c r="B80" s="55"/>
      <c r="C80" s="57"/>
      <c r="D80" s="57"/>
      <c r="E80" s="58"/>
      <c r="F80" s="57"/>
      <c r="G80" s="57">
        <v>4</v>
      </c>
      <c r="H80" s="60"/>
      <c r="I80" s="61"/>
      <c r="J80" s="56"/>
      <c r="K80" s="57"/>
      <c r="L80" s="62"/>
    </row>
    <row r="81" ht="15" spans="1:12">
      <c r="A81" s="49"/>
      <c r="B81" s="55"/>
      <c r="C81" s="57"/>
      <c r="D81" s="57"/>
      <c r="E81" s="58"/>
      <c r="F81" s="57"/>
      <c r="G81" s="57">
        <v>5</v>
      </c>
      <c r="H81" s="60"/>
      <c r="I81" s="61"/>
      <c r="J81" s="56"/>
      <c r="K81" s="57"/>
      <c r="L81" s="62"/>
    </row>
    <row r="82" ht="15" spans="1:12">
      <c r="A82" s="49"/>
      <c r="B82" s="55"/>
      <c r="C82" s="57"/>
      <c r="D82" s="57"/>
      <c r="E82" s="58"/>
      <c r="F82" s="57"/>
      <c r="G82" s="57">
        <v>6</v>
      </c>
      <c r="H82" s="106"/>
      <c r="I82" s="57"/>
      <c r="J82" s="56"/>
      <c r="K82" s="57"/>
      <c r="L82" s="62"/>
    </row>
    <row r="83" ht="15" spans="1:12">
      <c r="A83" s="49"/>
      <c r="B83" s="55"/>
      <c r="C83" s="57"/>
      <c r="D83" s="57"/>
      <c r="E83" s="58"/>
      <c r="F83" s="57"/>
      <c r="G83" s="58">
        <v>7</v>
      </c>
      <c r="H83" s="60"/>
      <c r="I83" s="57"/>
      <c r="J83" s="56"/>
      <c r="K83" s="57"/>
      <c r="L83" s="62"/>
    </row>
    <row r="84" ht="15" spans="1:12">
      <c r="A84" s="49"/>
      <c r="B84" s="55"/>
      <c r="C84" s="57"/>
      <c r="D84" s="57"/>
      <c r="E84" s="58"/>
      <c r="F84" s="57"/>
      <c r="G84" s="57">
        <v>8</v>
      </c>
      <c r="H84" s="60"/>
      <c r="I84" s="57"/>
      <c r="J84" s="56"/>
      <c r="K84" s="57"/>
      <c r="L84" s="62"/>
    </row>
    <row r="85" ht="15" spans="1:12">
      <c r="A85" s="49"/>
      <c r="B85" s="55"/>
      <c r="C85" s="57"/>
      <c r="D85" s="57"/>
      <c r="E85" s="58"/>
      <c r="F85" s="57"/>
      <c r="G85" s="57">
        <v>9</v>
      </c>
      <c r="H85" s="60"/>
      <c r="I85" s="57"/>
      <c r="J85" s="56"/>
      <c r="K85" s="57"/>
      <c r="L85" s="62"/>
    </row>
    <row r="86" ht="15" spans="1:12">
      <c r="A86" s="49"/>
      <c r="B86" s="55"/>
      <c r="C86" s="57"/>
      <c r="D86" s="57"/>
      <c r="E86" s="98" t="s">
        <v>168</v>
      </c>
      <c r="F86" s="98"/>
      <c r="G86" s="98"/>
      <c r="H86" s="98"/>
      <c r="I86" s="98"/>
      <c r="J86" s="107"/>
      <c r="K86" s="101"/>
      <c r="L86" s="102">
        <f>SUM(L77:L85)</f>
        <v>2</v>
      </c>
    </row>
    <row r="87" ht="15.6" spans="1:12">
      <c r="A87" s="49"/>
      <c r="B87" s="55"/>
      <c r="C87" s="57"/>
      <c r="D87" s="57"/>
      <c r="E87" s="58" t="s">
        <v>169</v>
      </c>
      <c r="F87" s="58" t="s">
        <v>56</v>
      </c>
      <c r="G87" s="58">
        <v>1</v>
      </c>
      <c r="H87" s="103"/>
      <c r="I87" s="57"/>
      <c r="J87" s="104"/>
      <c r="K87" s="58"/>
      <c r="L87" s="108"/>
    </row>
    <row r="88" ht="15.6" spans="1:12">
      <c r="A88" s="49"/>
      <c r="B88" s="55"/>
      <c r="C88" s="57"/>
      <c r="D88" s="57"/>
      <c r="E88" s="58"/>
      <c r="F88" s="58"/>
      <c r="G88" s="58">
        <v>2</v>
      </c>
      <c r="H88" s="103"/>
      <c r="I88" s="58"/>
      <c r="J88" s="104"/>
      <c r="K88" s="58"/>
      <c r="L88" s="108"/>
    </row>
  </sheetData>
  <autoFilter xmlns:etc="http://www.wps.cn/officeDocument/2017/etCustomData" ref="I1:I56" etc:filterBottomFollowUsedRange="0">
    <extLst/>
  </autoFilter>
  <mergeCells count="67">
    <mergeCell ref="E14:H14"/>
    <mergeCell ref="E26:H26"/>
    <mergeCell ref="E38:H38"/>
    <mergeCell ref="E50:H50"/>
    <mergeCell ref="E62:H62"/>
    <mergeCell ref="E74:H74"/>
    <mergeCell ref="E86:H86"/>
    <mergeCell ref="A2:A16"/>
    <mergeCell ref="A17:A28"/>
    <mergeCell ref="A29:A40"/>
    <mergeCell ref="A41:A52"/>
    <mergeCell ref="A53:A64"/>
    <mergeCell ref="A65:A76"/>
    <mergeCell ref="A77:A88"/>
    <mergeCell ref="B2:B16"/>
    <mergeCell ref="B17:B28"/>
    <mergeCell ref="B29:B40"/>
    <mergeCell ref="B41:B52"/>
    <mergeCell ref="B53:B64"/>
    <mergeCell ref="B65:B76"/>
    <mergeCell ref="B77:B88"/>
    <mergeCell ref="C2:C16"/>
    <mergeCell ref="C17:C28"/>
    <mergeCell ref="C29:C40"/>
    <mergeCell ref="C41:C52"/>
    <mergeCell ref="C53:C64"/>
    <mergeCell ref="C65:C76"/>
    <mergeCell ref="C77:C88"/>
    <mergeCell ref="D2:D16"/>
    <mergeCell ref="D17:D28"/>
    <mergeCell ref="D29:D40"/>
    <mergeCell ref="D41:D52"/>
    <mergeCell ref="D53:D64"/>
    <mergeCell ref="D65:D76"/>
    <mergeCell ref="D77:D88"/>
    <mergeCell ref="E2:E13"/>
    <mergeCell ref="E15:E16"/>
    <mergeCell ref="E17:E25"/>
    <mergeCell ref="E27:E28"/>
    <mergeCell ref="E29:E37"/>
    <mergeCell ref="E39:E40"/>
    <mergeCell ref="E41:E49"/>
    <mergeCell ref="E51:E52"/>
    <mergeCell ref="E53:E61"/>
    <mergeCell ref="E63:E64"/>
    <mergeCell ref="E65:E73"/>
    <mergeCell ref="E75:E76"/>
    <mergeCell ref="E77:E85"/>
    <mergeCell ref="E87:E88"/>
    <mergeCell ref="F2:F13"/>
    <mergeCell ref="F15:F16"/>
    <mergeCell ref="F17:F25"/>
    <mergeCell ref="F27:F28"/>
    <mergeCell ref="F29:F34"/>
    <mergeCell ref="F35:F37"/>
    <mergeCell ref="F39:F40"/>
    <mergeCell ref="F41:F46"/>
    <mergeCell ref="F47:F49"/>
    <mergeCell ref="F51:F52"/>
    <mergeCell ref="F53:F58"/>
    <mergeCell ref="F59:F61"/>
    <mergeCell ref="F63:F64"/>
    <mergeCell ref="F65:F73"/>
    <mergeCell ref="F75:F76"/>
    <mergeCell ref="F77:F85"/>
    <mergeCell ref="F87:F88"/>
    <mergeCell ref="H12:H13"/>
  </mergeCells>
  <pageMargins left="0.7" right="0.7" top="0.75" bottom="0.75" header="0.3" footer="0.3"/>
  <pageSetup paperSize="9" orientation="portrait"/>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FF"/>
  </sheetPr>
  <dimension ref="A1:Z41"/>
  <sheetViews>
    <sheetView tabSelected="1" workbookViewId="0">
      <pane ySplit="1" topLeftCell="A23" activePane="bottomLeft" state="frozen"/>
      <selection/>
      <selection pane="bottomLeft" activeCell="H8" sqref="H8:H9"/>
    </sheetView>
  </sheetViews>
  <sheetFormatPr defaultColWidth="9.13888888888889" defaultRowHeight="13.2"/>
  <cols>
    <col min="1" max="1" width="22.4259259259259" style="1" customWidth="1"/>
    <col min="2" max="2" width="11.712962962963" style="1" customWidth="1"/>
    <col min="3" max="7" width="9.13888888888889" style="1"/>
    <col min="8" max="8" width="59.712962962963" style="1" customWidth="1"/>
    <col min="9" max="11" width="9.13888888888889" style="1"/>
    <col min="12" max="12" width="19.5740740740741" style="2" customWidth="1"/>
    <col min="13" max="16384" width="9.13888888888889" style="1"/>
  </cols>
  <sheetData>
    <row r="1" ht="69.6" spans="1:26">
      <c r="A1" s="3" t="s">
        <v>146</v>
      </c>
      <c r="B1" s="4" t="s">
        <v>6</v>
      </c>
      <c r="C1" s="3" t="s">
        <v>147</v>
      </c>
      <c r="D1" s="3" t="s">
        <v>148</v>
      </c>
      <c r="E1" s="4" t="s">
        <v>149</v>
      </c>
      <c r="F1" s="3" t="s">
        <v>150</v>
      </c>
      <c r="G1" s="3" t="s">
        <v>1</v>
      </c>
      <c r="H1" s="5" t="s">
        <v>151</v>
      </c>
      <c r="I1" s="3" t="s">
        <v>152</v>
      </c>
      <c r="J1" s="6" t="s">
        <v>153</v>
      </c>
      <c r="K1" s="3" t="s">
        <v>154</v>
      </c>
      <c r="L1" s="7" t="s">
        <v>155</v>
      </c>
      <c r="M1" s="8"/>
      <c r="N1" s="8"/>
      <c r="O1" s="8"/>
      <c r="P1" s="8"/>
      <c r="Q1" s="8"/>
      <c r="R1" s="8"/>
      <c r="S1" s="8"/>
      <c r="T1" s="8"/>
      <c r="U1" s="8"/>
      <c r="V1" s="8"/>
      <c r="W1" s="8"/>
      <c r="X1" s="8"/>
      <c r="Y1" s="8"/>
      <c r="Z1" s="8"/>
    </row>
    <row r="2" ht="15.6" spans="1:26">
      <c r="A2" s="9" t="s">
        <v>340</v>
      </c>
      <c r="B2" s="10" t="s">
        <v>60</v>
      </c>
      <c r="C2" s="387" t="s">
        <v>328</v>
      </c>
      <c r="D2" s="11"/>
      <c r="E2" s="12" t="s">
        <v>171</v>
      </c>
      <c r="F2" s="11" t="s">
        <v>56</v>
      </c>
      <c r="G2" s="13">
        <v>1</v>
      </c>
      <c r="H2" s="14" t="s">
        <v>341</v>
      </c>
      <c r="I2" s="15" t="s">
        <v>342</v>
      </c>
      <c r="J2" s="16">
        <v>1</v>
      </c>
      <c r="K2" s="13"/>
      <c r="L2" s="17"/>
    </row>
    <row r="3" ht="15.6" spans="1:26">
      <c r="A3" s="18"/>
      <c r="B3" s="19"/>
      <c r="C3" s="20"/>
      <c r="D3" s="20"/>
      <c r="E3" s="21"/>
      <c r="F3" s="20"/>
      <c r="G3" s="13">
        <v>2</v>
      </c>
      <c r="H3" s="22" t="s">
        <v>343</v>
      </c>
      <c r="I3" s="15" t="s">
        <v>344</v>
      </c>
      <c r="J3" s="16">
        <v>1</v>
      </c>
      <c r="K3" s="13" t="s">
        <v>345</v>
      </c>
      <c r="L3" s="17"/>
    </row>
    <row r="4" ht="24" customHeight="1" spans="1:26">
      <c r="A4" s="18"/>
      <c r="B4" s="19"/>
      <c r="C4" s="20"/>
      <c r="D4" s="20"/>
      <c r="E4" s="21"/>
      <c r="F4" s="20"/>
      <c r="G4" s="11">
        <v>3</v>
      </c>
      <c r="H4" s="23" t="s">
        <v>346</v>
      </c>
      <c r="I4" s="15" t="s">
        <v>347</v>
      </c>
      <c r="J4" s="24">
        <v>0.98</v>
      </c>
      <c r="K4" s="11" t="s">
        <v>348</v>
      </c>
      <c r="L4" s="17"/>
    </row>
    <row r="5" ht="22" customHeight="1" spans="1:26">
      <c r="A5" s="18"/>
      <c r="B5" s="19"/>
      <c r="C5" s="20"/>
      <c r="D5" s="20"/>
      <c r="E5" s="21"/>
      <c r="F5" s="20"/>
      <c r="G5" s="20"/>
      <c r="H5" s="25"/>
      <c r="I5" s="15" t="s">
        <v>349</v>
      </c>
      <c r="J5" s="26"/>
      <c r="K5" s="20"/>
      <c r="L5" s="17"/>
    </row>
    <row r="6" ht="22" customHeight="1" spans="1:26">
      <c r="A6" s="18"/>
      <c r="B6" s="19"/>
      <c r="C6" s="20"/>
      <c r="D6" s="20"/>
      <c r="E6" s="21"/>
      <c r="F6" s="20"/>
      <c r="G6" s="27"/>
      <c r="H6" s="28"/>
      <c r="I6" s="15" t="s">
        <v>344</v>
      </c>
      <c r="J6" s="29"/>
      <c r="K6" s="27"/>
      <c r="L6" s="17"/>
    </row>
    <row r="7" ht="22" customHeight="1" spans="1:26">
      <c r="A7" s="18"/>
      <c r="B7" s="19"/>
      <c r="C7" s="20"/>
      <c r="D7" s="20"/>
      <c r="E7" s="21"/>
      <c r="F7" s="20"/>
      <c r="G7" s="13">
        <v>4</v>
      </c>
      <c r="H7" s="14" t="s">
        <v>350</v>
      </c>
      <c r="I7" s="15" t="s">
        <v>349</v>
      </c>
      <c r="J7" s="16">
        <v>1</v>
      </c>
      <c r="K7" s="13" t="s">
        <v>345</v>
      </c>
      <c r="L7" s="17"/>
    </row>
    <row r="8" ht="22" customHeight="1" spans="1:26">
      <c r="A8" s="18"/>
      <c r="B8" s="19"/>
      <c r="C8" s="20"/>
      <c r="D8" s="20"/>
      <c r="E8" s="21"/>
      <c r="F8" s="20"/>
      <c r="G8" s="11">
        <v>5</v>
      </c>
      <c r="H8" s="11" t="s">
        <v>351</v>
      </c>
      <c r="I8" s="15" t="s">
        <v>349</v>
      </c>
      <c r="J8" s="24">
        <v>1</v>
      </c>
      <c r="K8" s="11"/>
      <c r="L8" s="17"/>
    </row>
    <row r="9" ht="15.6" spans="1:26">
      <c r="A9" s="18"/>
      <c r="B9" s="19"/>
      <c r="C9" s="20"/>
      <c r="D9" s="20"/>
      <c r="E9" s="21"/>
      <c r="F9" s="20"/>
      <c r="G9" s="27"/>
      <c r="H9" s="28"/>
      <c r="I9" s="15" t="s">
        <v>347</v>
      </c>
      <c r="J9" s="29"/>
      <c r="K9" s="27"/>
      <c r="L9" s="17"/>
    </row>
    <row r="10" ht="21" customHeight="1" spans="1:26">
      <c r="A10" s="18"/>
      <c r="B10" s="19"/>
      <c r="C10" s="20"/>
      <c r="D10" s="20"/>
      <c r="E10" s="21"/>
      <c r="F10" s="20"/>
      <c r="G10" s="13">
        <v>6</v>
      </c>
      <c r="H10" s="22" t="s">
        <v>352</v>
      </c>
      <c r="I10" s="13" t="s">
        <v>342</v>
      </c>
      <c r="J10" s="16">
        <v>1</v>
      </c>
      <c r="K10" s="13"/>
      <c r="L10" s="17"/>
    </row>
    <row r="11" ht="30" spans="1:26">
      <c r="A11" s="18"/>
      <c r="B11" s="19"/>
      <c r="C11" s="20"/>
      <c r="D11" s="20"/>
      <c r="E11" s="21"/>
      <c r="F11" s="20"/>
      <c r="G11" s="30">
        <v>7</v>
      </c>
      <c r="H11" s="14" t="s">
        <v>353</v>
      </c>
      <c r="I11" s="13" t="s">
        <v>347</v>
      </c>
      <c r="J11" s="16">
        <v>1</v>
      </c>
      <c r="K11" s="13" t="s">
        <v>354</v>
      </c>
      <c r="L11" s="17"/>
    </row>
    <row r="12" ht="33" customHeight="1" spans="1:26">
      <c r="A12" s="18"/>
      <c r="B12" s="19"/>
      <c r="C12" s="20"/>
      <c r="D12" s="20"/>
      <c r="E12" s="21"/>
      <c r="F12" s="20"/>
      <c r="G12" s="13">
        <v>8</v>
      </c>
      <c r="H12" s="14" t="s">
        <v>355</v>
      </c>
      <c r="I12" s="13" t="s">
        <v>344</v>
      </c>
      <c r="J12" s="16">
        <v>1</v>
      </c>
      <c r="K12" s="13" t="s">
        <v>345</v>
      </c>
      <c r="L12" s="17"/>
    </row>
    <row r="13" ht="25" customHeight="1" spans="1:26">
      <c r="A13" s="18"/>
      <c r="B13" s="19"/>
      <c r="C13" s="20"/>
      <c r="D13" s="20"/>
      <c r="E13" s="21"/>
      <c r="F13" s="20"/>
      <c r="G13" s="11">
        <v>9</v>
      </c>
      <c r="H13" s="23" t="s">
        <v>356</v>
      </c>
      <c r="I13" s="13" t="s">
        <v>347</v>
      </c>
      <c r="J13" s="24">
        <v>0.8</v>
      </c>
      <c r="K13" s="11" t="s">
        <v>357</v>
      </c>
      <c r="L13" s="17"/>
    </row>
    <row r="14" ht="23" customHeight="1" spans="1:26">
      <c r="A14" s="18"/>
      <c r="B14" s="19"/>
      <c r="C14" s="20"/>
      <c r="D14" s="20"/>
      <c r="E14" s="21"/>
      <c r="F14" s="20"/>
      <c r="G14" s="27"/>
      <c r="H14" s="28"/>
      <c r="I14" s="13" t="s">
        <v>358</v>
      </c>
      <c r="J14" s="29"/>
      <c r="K14" s="27"/>
      <c r="L14" s="17"/>
    </row>
    <row r="15" ht="23" customHeight="1" spans="1:26">
      <c r="A15" s="18"/>
      <c r="B15" s="19"/>
      <c r="C15" s="20"/>
      <c r="D15" s="20"/>
      <c r="E15" s="21"/>
      <c r="F15" s="20"/>
      <c r="G15" s="20">
        <v>10</v>
      </c>
      <c r="H15" s="25" t="s">
        <v>359</v>
      </c>
      <c r="I15" s="13" t="s">
        <v>342</v>
      </c>
      <c r="J15" s="26">
        <v>0.9</v>
      </c>
      <c r="K15" s="20" t="s">
        <v>360</v>
      </c>
      <c r="L15" s="17"/>
    </row>
    <row r="16" ht="23" customHeight="1" spans="1:26">
      <c r="A16" s="18"/>
      <c r="B16" s="19"/>
      <c r="C16" s="20"/>
      <c r="D16" s="20"/>
      <c r="E16" s="21"/>
      <c r="F16" s="20"/>
      <c r="G16" s="20"/>
      <c r="H16" s="25"/>
      <c r="I16" s="13" t="s">
        <v>361</v>
      </c>
      <c r="J16" s="26"/>
      <c r="K16" s="20"/>
      <c r="L16" s="17"/>
    </row>
    <row r="17" ht="23" customHeight="1" spans="1:12">
      <c r="A17" s="18"/>
      <c r="B17" s="19"/>
      <c r="C17" s="20"/>
      <c r="D17" s="20"/>
      <c r="E17" s="21"/>
      <c r="F17" s="20"/>
      <c r="G17" s="27"/>
      <c r="H17" s="28"/>
      <c r="I17" s="13" t="s">
        <v>259</v>
      </c>
      <c r="J17" s="29"/>
      <c r="K17" s="27"/>
      <c r="L17" s="17"/>
    </row>
    <row r="18" ht="23" customHeight="1" spans="1:12">
      <c r="A18" s="18"/>
      <c r="B18" s="19"/>
      <c r="C18" s="20"/>
      <c r="D18" s="20"/>
      <c r="E18" s="21"/>
      <c r="F18" s="20"/>
      <c r="G18" s="20">
        <v>11</v>
      </c>
      <c r="H18" s="25" t="s">
        <v>362</v>
      </c>
      <c r="I18" s="13" t="s">
        <v>361</v>
      </c>
      <c r="J18" s="26">
        <v>0.8</v>
      </c>
      <c r="K18" s="27" t="s">
        <v>363</v>
      </c>
      <c r="L18" s="17">
        <v>1</v>
      </c>
    </row>
    <row r="19" ht="23" customHeight="1" spans="1:12">
      <c r="A19" s="18"/>
      <c r="B19" s="19"/>
      <c r="C19" s="20"/>
      <c r="D19" s="20"/>
      <c r="E19" s="21"/>
      <c r="F19" s="20"/>
      <c r="G19" s="27"/>
      <c r="H19" s="28"/>
      <c r="I19" s="13" t="s">
        <v>342</v>
      </c>
      <c r="J19" s="29"/>
      <c r="K19" s="27" t="s">
        <v>363</v>
      </c>
      <c r="L19" s="17"/>
    </row>
    <row r="20" ht="23" customHeight="1" spans="1:12">
      <c r="A20" s="18"/>
      <c r="B20" s="19"/>
      <c r="C20" s="20"/>
      <c r="D20" s="20"/>
      <c r="E20" s="21"/>
      <c r="F20" s="20"/>
      <c r="G20" s="31">
        <v>12</v>
      </c>
      <c r="H20" s="32" t="s">
        <v>364</v>
      </c>
      <c r="I20" s="33" t="s">
        <v>342</v>
      </c>
      <c r="J20" s="34">
        <v>0.65</v>
      </c>
      <c r="K20" s="31" t="s">
        <v>365</v>
      </c>
      <c r="L20" s="17">
        <v>4</v>
      </c>
    </row>
    <row r="21" ht="23" customHeight="1" spans="1:12">
      <c r="A21" s="18"/>
      <c r="B21" s="19"/>
      <c r="C21" s="20"/>
      <c r="D21" s="20"/>
      <c r="E21" s="21"/>
      <c r="F21" s="20"/>
      <c r="G21" s="31"/>
      <c r="H21" s="32"/>
      <c r="I21" s="33" t="s">
        <v>349</v>
      </c>
      <c r="J21" s="34"/>
      <c r="K21" s="31"/>
      <c r="L21" s="17">
        <v>4</v>
      </c>
    </row>
    <row r="22" ht="23" customHeight="1" spans="1:12">
      <c r="A22" s="18"/>
      <c r="B22" s="19"/>
      <c r="C22" s="20"/>
      <c r="D22" s="20"/>
      <c r="E22" s="21"/>
      <c r="F22" s="20"/>
      <c r="G22" s="31"/>
      <c r="H22" s="32"/>
      <c r="I22" s="33" t="s">
        <v>344</v>
      </c>
      <c r="J22" s="34"/>
      <c r="K22" s="31"/>
      <c r="L22" s="17">
        <v>3</v>
      </c>
    </row>
    <row r="23" ht="23" customHeight="1" spans="1:12">
      <c r="A23" s="18"/>
      <c r="B23" s="19"/>
      <c r="C23" s="20"/>
      <c r="D23" s="20"/>
      <c r="E23" s="21"/>
      <c r="F23" s="20"/>
      <c r="G23" s="31"/>
      <c r="H23" s="32"/>
      <c r="I23" s="33" t="s">
        <v>347</v>
      </c>
      <c r="J23" s="34"/>
      <c r="K23" s="31"/>
      <c r="L23" s="17">
        <v>4</v>
      </c>
    </row>
    <row r="24" ht="23" customHeight="1" spans="1:12">
      <c r="A24" s="18"/>
      <c r="B24" s="19"/>
      <c r="C24" s="20"/>
      <c r="D24" s="20"/>
      <c r="E24" s="21"/>
      <c r="F24" s="20"/>
      <c r="G24" s="31"/>
      <c r="H24" s="32"/>
      <c r="I24" s="33" t="s">
        <v>361</v>
      </c>
      <c r="J24" s="34"/>
      <c r="K24" s="31"/>
      <c r="L24" s="17">
        <v>1</v>
      </c>
    </row>
    <row r="25" ht="23" customHeight="1" spans="1:12">
      <c r="A25" s="18"/>
      <c r="B25" s="19"/>
      <c r="C25" s="20"/>
      <c r="D25" s="20"/>
      <c r="E25" s="21"/>
      <c r="F25" s="20"/>
      <c r="G25" s="31"/>
      <c r="H25" s="32"/>
      <c r="I25" s="13" t="s">
        <v>60</v>
      </c>
      <c r="J25" s="34"/>
      <c r="K25" s="35"/>
      <c r="L25" s="17">
        <v>1</v>
      </c>
    </row>
    <row r="26" ht="23" customHeight="1" spans="1:12">
      <c r="A26" s="18"/>
      <c r="B26" s="19"/>
      <c r="C26" s="20"/>
      <c r="D26" s="20"/>
      <c r="E26" s="21"/>
      <c r="F26" s="13" t="s">
        <v>366</v>
      </c>
      <c r="G26" s="13">
        <v>1</v>
      </c>
      <c r="H26" s="14" t="s">
        <v>367</v>
      </c>
      <c r="I26" s="13" t="s">
        <v>368</v>
      </c>
      <c r="J26" s="16">
        <v>1</v>
      </c>
      <c r="K26" s="13"/>
      <c r="L26" s="17">
        <v>4</v>
      </c>
    </row>
    <row r="27" ht="23" customHeight="1" spans="1:12">
      <c r="A27" s="18"/>
      <c r="B27" s="19"/>
      <c r="C27" s="20"/>
      <c r="D27" s="20"/>
      <c r="E27" s="21"/>
      <c r="F27" s="13"/>
      <c r="G27" s="13">
        <v>2</v>
      </c>
      <c r="H27" s="14" t="s">
        <v>369</v>
      </c>
      <c r="I27" s="13" t="s">
        <v>370</v>
      </c>
      <c r="J27" s="16">
        <v>1</v>
      </c>
      <c r="K27" s="13"/>
      <c r="L27" s="17">
        <v>4</v>
      </c>
    </row>
    <row r="28" ht="23" customHeight="1" spans="1:12">
      <c r="A28" s="18"/>
      <c r="B28" s="19"/>
      <c r="C28" s="20"/>
      <c r="D28" s="20"/>
      <c r="E28" s="21"/>
      <c r="F28" s="13"/>
      <c r="G28" s="13">
        <v>3</v>
      </c>
      <c r="H28" s="14" t="s">
        <v>369</v>
      </c>
      <c r="I28" s="13" t="s">
        <v>371</v>
      </c>
      <c r="J28" s="16">
        <v>1</v>
      </c>
      <c r="K28" s="13"/>
      <c r="L28" s="17">
        <v>4</v>
      </c>
    </row>
    <row r="29" ht="23" customHeight="1" spans="1:12">
      <c r="A29" s="18"/>
      <c r="B29" s="19"/>
      <c r="C29" s="20"/>
      <c r="D29" s="20"/>
      <c r="E29" s="21"/>
      <c r="F29" s="20" t="s">
        <v>372</v>
      </c>
      <c r="G29" s="13">
        <v>1</v>
      </c>
      <c r="H29" s="14" t="s">
        <v>373</v>
      </c>
      <c r="I29" s="13" t="s">
        <v>60</v>
      </c>
      <c r="J29" s="16">
        <v>0.1</v>
      </c>
      <c r="K29" s="13" t="s">
        <v>374</v>
      </c>
      <c r="L29" s="17"/>
    </row>
    <row r="30" ht="24" customHeight="1" spans="1:12">
      <c r="A30" s="18"/>
      <c r="B30" s="19"/>
      <c r="C30" s="20"/>
      <c r="D30" s="20"/>
      <c r="E30" s="21"/>
      <c r="F30" s="20"/>
      <c r="G30" s="13">
        <v>2</v>
      </c>
      <c r="H30" s="14" t="s">
        <v>375</v>
      </c>
      <c r="I30" s="13" t="s">
        <v>60</v>
      </c>
      <c r="J30" s="16">
        <v>0.15</v>
      </c>
      <c r="K30" s="13" t="s">
        <v>376</v>
      </c>
      <c r="L30" s="17"/>
    </row>
    <row r="31" ht="15.6" spans="1:12">
      <c r="A31" s="18"/>
      <c r="B31" s="19"/>
      <c r="C31" s="20"/>
      <c r="D31" s="20"/>
      <c r="E31" s="21"/>
      <c r="F31" s="20"/>
      <c r="G31" s="11">
        <v>3</v>
      </c>
      <c r="H31" s="23" t="s">
        <v>377</v>
      </c>
      <c r="I31" s="11" t="s">
        <v>60</v>
      </c>
      <c r="J31" s="24">
        <v>0.4</v>
      </c>
      <c r="K31" s="11" t="s">
        <v>378</v>
      </c>
      <c r="L31" s="17">
        <v>1</v>
      </c>
    </row>
    <row r="32" spans="1:12">
      <c r="A32" s="18"/>
      <c r="B32" s="19"/>
      <c r="C32" s="20"/>
      <c r="D32" s="20"/>
      <c r="E32" s="21"/>
      <c r="F32" s="20"/>
      <c r="G32" s="11"/>
      <c r="H32" s="23"/>
      <c r="I32" s="11"/>
      <c r="J32" s="24"/>
      <c r="K32" s="11"/>
      <c r="L32" s="10"/>
    </row>
    <row r="33" spans="1:12">
      <c r="A33" s="18"/>
      <c r="B33" s="19"/>
      <c r="C33" s="20"/>
      <c r="D33" s="20"/>
      <c r="E33" s="21"/>
      <c r="F33" s="20"/>
      <c r="G33" s="27"/>
      <c r="H33" s="28"/>
      <c r="I33" s="27"/>
      <c r="J33" s="29"/>
      <c r="K33" s="27"/>
      <c r="L33" s="36"/>
    </row>
    <row r="34" ht="15.6" spans="1:12">
      <c r="A34" s="18"/>
      <c r="B34" s="19"/>
      <c r="C34" s="20"/>
      <c r="D34" s="20"/>
      <c r="E34" s="37"/>
      <c r="F34" s="27"/>
      <c r="G34" s="11"/>
      <c r="H34" s="23"/>
      <c r="I34" s="11"/>
      <c r="J34" s="24"/>
      <c r="K34" s="11"/>
      <c r="L34" s="10"/>
    </row>
    <row r="35" ht="15" spans="1:12">
      <c r="A35" s="18"/>
      <c r="B35" s="19"/>
      <c r="C35" s="20"/>
      <c r="D35" s="20"/>
      <c r="E35" s="38" t="s">
        <v>168</v>
      </c>
      <c r="F35" s="38"/>
      <c r="G35" s="38"/>
      <c r="H35" s="38"/>
      <c r="I35" s="38"/>
      <c r="J35" s="39"/>
      <c r="K35" s="40"/>
      <c r="L35" s="41">
        <f>SUM(L2:L34)</f>
        <v>31</v>
      </c>
    </row>
    <row r="36" ht="78" spans="1:12">
      <c r="A36" s="18"/>
      <c r="B36" s="19"/>
      <c r="C36" s="20"/>
      <c r="D36" s="20"/>
      <c r="E36" s="12" t="s">
        <v>169</v>
      </c>
      <c r="F36" s="12" t="s">
        <v>56</v>
      </c>
      <c r="G36" s="30">
        <v>1</v>
      </c>
      <c r="H36" s="42" t="s">
        <v>364</v>
      </c>
      <c r="I36" s="13" t="s">
        <v>342</v>
      </c>
      <c r="J36" s="43">
        <v>0.7</v>
      </c>
      <c r="K36" s="30"/>
      <c r="L36" s="44"/>
    </row>
    <row r="37" ht="17" customHeight="1" spans="1:12">
      <c r="A37" s="18"/>
      <c r="B37" s="19"/>
      <c r="C37" s="20"/>
      <c r="D37" s="20"/>
      <c r="E37" s="21"/>
      <c r="F37" s="21"/>
      <c r="G37" s="30">
        <v>2</v>
      </c>
      <c r="H37" s="42" t="s">
        <v>379</v>
      </c>
      <c r="I37" s="30" t="s">
        <v>60</v>
      </c>
      <c r="J37" s="43">
        <v>1</v>
      </c>
      <c r="K37" s="30" t="s">
        <v>380</v>
      </c>
      <c r="L37" s="44"/>
    </row>
    <row r="38" ht="15.6" spans="1:12">
      <c r="A38" s="18"/>
      <c r="B38" s="19"/>
      <c r="C38" s="20"/>
      <c r="D38" s="20"/>
      <c r="E38" s="21"/>
      <c r="F38" s="37"/>
      <c r="G38" s="30">
        <v>3</v>
      </c>
      <c r="H38" s="42" t="s">
        <v>381</v>
      </c>
      <c r="I38" s="13" t="s">
        <v>347</v>
      </c>
      <c r="J38" s="43"/>
      <c r="K38" s="30"/>
      <c r="L38" s="44"/>
    </row>
    <row r="39" ht="15.6" spans="1:12">
      <c r="A39" s="18"/>
      <c r="B39" s="19"/>
      <c r="C39" s="20"/>
      <c r="D39" s="20"/>
      <c r="E39" s="21"/>
      <c r="F39" s="45" t="s">
        <v>372</v>
      </c>
      <c r="G39" s="30">
        <v>1</v>
      </c>
      <c r="H39" s="42" t="s">
        <v>382</v>
      </c>
      <c r="I39" s="13" t="s">
        <v>60</v>
      </c>
      <c r="J39" s="43"/>
      <c r="K39" s="30"/>
      <c r="L39" s="44"/>
    </row>
    <row r="40" ht="15.6" spans="1:12">
      <c r="A40" s="18"/>
      <c r="B40" s="19"/>
      <c r="C40" s="20"/>
      <c r="D40" s="20"/>
      <c r="E40" s="21"/>
      <c r="F40" s="45"/>
      <c r="G40" s="30">
        <v>2</v>
      </c>
      <c r="H40" s="42" t="s">
        <v>383</v>
      </c>
      <c r="I40" s="13" t="s">
        <v>60</v>
      </c>
      <c r="J40" s="43"/>
      <c r="K40" s="30"/>
      <c r="L40" s="44"/>
    </row>
    <row r="41" ht="21" customHeight="1" spans="1:12">
      <c r="A41" s="18"/>
      <c r="B41" s="19"/>
      <c r="C41" s="20"/>
      <c r="D41" s="20"/>
      <c r="E41" s="21"/>
      <c r="F41" s="45"/>
      <c r="G41" s="30">
        <v>3</v>
      </c>
      <c r="H41" s="42" t="s">
        <v>384</v>
      </c>
      <c r="I41" s="13" t="s">
        <v>60</v>
      </c>
      <c r="J41" s="43"/>
      <c r="K41" s="30"/>
      <c r="L41" s="44"/>
    </row>
  </sheetData>
  <autoFilter xmlns:etc="http://www.wps.cn/officeDocument/2017/etCustomData" ref="A1:Z41" etc:filterBottomFollowUsedRange="0">
    <extLst/>
  </autoFilter>
  <mergeCells count="41">
    <mergeCell ref="E35:H35"/>
    <mergeCell ref="A2:A41"/>
    <mergeCell ref="B2:B41"/>
    <mergeCell ref="C2:C41"/>
    <mergeCell ref="D2:D41"/>
    <mergeCell ref="E2:E34"/>
    <mergeCell ref="E36:E41"/>
    <mergeCell ref="F2:F24"/>
    <mergeCell ref="F26:F28"/>
    <mergeCell ref="F29:F34"/>
    <mergeCell ref="F36:F38"/>
    <mergeCell ref="F39:F41"/>
    <mergeCell ref="G4:G6"/>
    <mergeCell ref="G8:G9"/>
    <mergeCell ref="G13:G14"/>
    <mergeCell ref="G15:G17"/>
    <mergeCell ref="G18:G19"/>
    <mergeCell ref="G20:G25"/>
    <mergeCell ref="G32:G33"/>
    <mergeCell ref="H4:H6"/>
    <mergeCell ref="H8:H9"/>
    <mergeCell ref="H13:H14"/>
    <mergeCell ref="H15:H17"/>
    <mergeCell ref="H18:H19"/>
    <mergeCell ref="H20:H25"/>
    <mergeCell ref="H32:H33"/>
    <mergeCell ref="I32:I33"/>
    <mergeCell ref="J4:J6"/>
    <mergeCell ref="J8:J9"/>
    <mergeCell ref="J13:J14"/>
    <mergeCell ref="J15:J17"/>
    <mergeCell ref="J18:J19"/>
    <mergeCell ref="J20:J25"/>
    <mergeCell ref="J32:J33"/>
    <mergeCell ref="K4:K6"/>
    <mergeCell ref="K8:K9"/>
    <mergeCell ref="K13:K14"/>
    <mergeCell ref="K15:K17"/>
    <mergeCell ref="K20:K25"/>
    <mergeCell ref="K32:K33"/>
    <mergeCell ref="L32:L33"/>
  </mergeCells>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9</vt:i4>
      </vt:variant>
    </vt:vector>
  </HeadingPairs>
  <TitlesOfParts>
    <vt:vector size="9" baseType="lpstr">
      <vt:lpstr>项目汇总</vt:lpstr>
      <vt:lpstr>交付-不动产组</vt:lpstr>
      <vt:lpstr>交付-房产组</vt:lpstr>
      <vt:lpstr>交付-物业组</vt:lpstr>
      <vt:lpstr>交付-AI大数据组</vt:lpstr>
      <vt:lpstr>交付-JD组</vt:lpstr>
      <vt:lpstr>产品研发部</vt:lpstr>
      <vt:lpstr>汇房智选部</vt:lpstr>
      <vt:lpstr>软件项目部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王壮-leo</dc:creator>
  <cp:lastModifiedBy>阐述者 ~</cp:lastModifiedBy>
  <dcterms:created xsi:type="dcterms:W3CDTF">2015-06-05T18:19:00Z</dcterms:created>
  <dcterms:modified xsi:type="dcterms:W3CDTF">2026-05-09T15:33:12Z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8CE315F449C943B0A03441FAB45BFA52_13</vt:lpwstr>
  </property>
  <property fmtid="{D5CDD505-2E9C-101B-9397-08002B2CF9AE}" pid="3" name="KSOProductBuildVer">
    <vt:lpwstr>2052-12.1.0.25225</vt:lpwstr>
  </property>
  <property fmtid="{D5CDD505-2E9C-101B-9397-08002B2CF9AE}" pid="4" name="CalculationRule">
    <vt:i4>0</vt:i4>
  </property>
</Properties>
</file>