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bookViews>
  <sheets>
    <sheet name="项目汇总" sheetId="1" r:id="rId1"/>
    <sheet name="交付-不动产组" sheetId="2" r:id="rId2"/>
    <sheet name="交付-房产组" sheetId="7" r:id="rId3"/>
    <sheet name="交付-物业组" sheetId="3" r:id="rId4"/>
    <sheet name="交付-AI大数据组" sheetId="4" r:id="rId5"/>
    <sheet name="交付-JD组" sheetId="5" r:id="rId6"/>
    <sheet name="产品研发部" sheetId="6" r:id="rId7"/>
    <sheet name="汇房智选部" sheetId="8" r:id="rId8"/>
    <sheet name="软件项目部" sheetId="9" r:id="rId9"/>
  </sheets>
  <externalReferences>
    <externalReference r:id="rId10"/>
  </externalReferences>
  <definedNames>
    <definedName name="_xlnm._FilterDatabase" localSheetId="1" hidden="1">'交付-不动产组'!$A$1:$L$40</definedName>
    <definedName name="_xlnm._FilterDatabase" localSheetId="7" hidden="1">汇房智选部!$I$1:$I$56</definedName>
    <definedName name="_xlnm._FilterDatabase" localSheetId="8" hidden="1">软件项目部!$A$1:$Z$41</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 name="_xlnm._FilterDatabase" localSheetId="2"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<sst xmlns="http://schemas.openxmlformats.org/spreadsheetml/2006/main" count="945" uniqueCount="392">
  <si>
    <t>项目周报汇总（2026.4.7-2025.4.10）</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</si>
  <si>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</si>
  <si>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</si>
  <si>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</si>
  <si>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</si>
  <si>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</si>
  <si>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</si>
  <si>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</si>
  <si>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</si>
  <si>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</si>
  <si>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</si>
  <si>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</si>
  <si>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</si>
  <si>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</si>
  <si>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</si>
  <si>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</si>
  <si>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</si>
  <si>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</si>
  <si>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</si>
  <si>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</si>
  <si>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</si>
  <si>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</si>
  <si>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</si>
  <si>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</si>
  <si>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</si>
  <si>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</si>
  <si>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</si>
  <si>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</si>
  <si>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</si>
  <si>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</si>
  <si>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</si>
  <si>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</si>
  <si>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完成初验，目前处于各子系统陆续切换过程中，分好多系统需要信创上线  最后一个系统上线是今年10月份</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</si>
  <si>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</si>
  <si>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</si>
  <si>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</si>
  <si>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</si>
  <si>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</si>
  <si>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</si>
  <si>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</si>
  <si>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</si>
  <si>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</si>
  <si>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未签订</t>
  </si>
  <si>
    <t>济南房产交易与租赁服务平台</t>
  </si>
  <si>
    <t>李宪鹏</t>
  </si>
  <si>
    <t>严重延迟</t>
  </si>
  <si>
    <t>已签合同</t>
  </si>
  <si>
    <t>进度延迟严重</t>
  </si>
  <si>
    <t>2025年12月完成初验，目前调整及测试中，计划4月初上线</t>
  </si>
  <si>
    <t>21250606J</t>
  </si>
  <si>
    <t>山东省机关事务局职工房改管理系统适配改造项目</t>
  </si>
  <si>
    <t>付艳芳</t>
  </si>
  <si>
    <t>维护</t>
  </si>
  <si>
    <t>2025年12月完成终验，现在处于3年免费运维中</t>
  </si>
  <si>
    <t>宿松房产一体化平台</t>
  </si>
  <si>
    <t>刘存山</t>
  </si>
  <si>
    <t>实施</t>
  </si>
  <si>
    <t>立项工作准备中，计划下周立项</t>
  </si>
  <si>
    <t>物业组
（袁畅）</t>
  </si>
  <si>
    <t>日照市三平台融合、智慧物业、住宅专项维修资金系统信创改造项目</t>
  </si>
  <si>
    <t>王成</t>
  </si>
  <si>
    <t>还没组织验收，现在是上线配合推广阶段</t>
  </si>
  <si>
    <t>滨州智慧物业</t>
  </si>
  <si>
    <t>王壮</t>
  </si>
  <si>
    <t>有合同</t>
  </si>
  <si>
    <t>泉农通二期销售售前支持</t>
  </si>
  <si>
    <t>刘传祥</t>
  </si>
  <si>
    <t>销售立项</t>
  </si>
  <si>
    <t>售前</t>
  </si>
  <si>
    <t>AI大数据组
（李朔刚）</t>
  </si>
  <si>
    <t>济南市不动产登记全量数据汇交及比对系统</t>
  </si>
  <si>
    <t>李朔刚</t>
  </si>
  <si>
    <t>一直有新需求，持续开发</t>
  </si>
  <si>
    <t>济南市不动产登记电子监督系统功能拓展</t>
  </si>
  <si>
    <t>一直有新需求，交房即办证也有合同，还在执行中</t>
  </si>
  <si>
    <t>不动产登记人工智能数字人(一期)项目</t>
  </si>
  <si>
    <t>开发</t>
  </si>
  <si>
    <t>延迟</t>
  </si>
  <si>
    <t>无合同</t>
  </si>
  <si>
    <t>大汉平台对接不动产接口有问题，大汉一直在解决</t>
  </si>
  <si>
    <t>21250313J</t>
  </si>
  <si>
    <t>电子监督系统标准化产品改造</t>
  </si>
  <si>
    <t>佟丽</t>
  </si>
  <si>
    <t>发布</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</si>
  <si>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</si>
  <si>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</si>
  <si>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</si>
  <si>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</si>
  <si>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</si>
  <si>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</si>
  <si>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</si>
  <si>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</si>
  <si>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</si>
  <si>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</si>
  <si>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</si>
  <si>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</si>
  <si>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本周完成实际工作量核实</t>
  </si>
  <si>
    <t>房产项目运维</t>
  </si>
  <si>
    <t>智慧物业运维（维修资金）项目运维</t>
  </si>
  <si>
    <t>人力小计：</t>
  </si>
  <si>
    <t>人力饱和度</t>
  </si>
  <si>
    <t>产品研发部
（曹倩）</t>
  </si>
  <si>
    <t>研发项目</t>
  </si>
  <si>
    <t>21250925HF</t>
  </si>
  <si>
    <t>汇房智慧住房租赁综合管理与服务平台</t>
  </si>
  <si>
    <t>魏山明</t>
  </si>
  <si>
    <t>立项</t>
  </si>
  <si>
    <t>技术支撑平台</t>
  </si>
  <si>
    <t>石伟佳</t>
  </si>
  <si>
    <t>立项中</t>
  </si>
  <si>
    <t>原基础平台更名为技术支撑平台</t>
  </si>
  <si>
    <t>智慧房产产品线</t>
  </si>
  <si>
    <t>曹倩</t>
  </si>
  <si>
    <t>数据治理平台</t>
  </si>
  <si>
    <t>济南市不动产登记系统功能拓展(研发支持)</t>
  </si>
  <si>
    <t>汇房智选部
（任建伟）</t>
  </si>
  <si>
    <t>22250903HF</t>
  </si>
  <si>
    <t>济南市联合资产交易公示平台</t>
  </si>
  <si>
    <t>王帅</t>
  </si>
  <si>
    <t>汇房云经纪人</t>
  </si>
  <si>
    <t>任建伟</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</si>
  <si>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</si>
  <si>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</si>
  <si>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</si>
  <si>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</si>
  <si>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</si>
  <si>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</si>
  <si>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</si>
  <si>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</si>
  <si>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</si>
  <si>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t>
  </si>
  <si>
    <t>房源超市SaaS产品化改造(新房超市SaaS)</t>
  </si>
  <si>
    <t>李昱江</t>
  </si>
  <si>
    <t>卓识网安业务平台系统-知识库</t>
  </si>
  <si>
    <t>价格未谈拢</t>
  </si>
  <si>
    <t>房屋租赁管理系统(汇房云租)</t>
  </si>
  <si>
    <t>待立项</t>
  </si>
  <si>
    <t>挂起</t>
  </si>
  <si>
    <t>阳信房产超市运维&amp;乐居乳山</t>
  </si>
  <si>
    <t>安震、王帅</t>
  </si>
  <si>
    <t>软件项目部
(王成)</t>
  </si>
  <si>
    <t>日照银行智慧社区维护与升级</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</si>
  <si>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</si>
  <si>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</si>
  <si>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</si>
  <si>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</si>
  <si>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</si>
  <si>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</si>
  <si>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</si>
  <si>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</si>
  <si>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</si>
  <si>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</si>
  <si>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 xml:space="preserve">济南市不动产登记系统功能拓展
项目编号：22220901
</t>
  </si>
  <si>
    <t>--</t>
  </si>
  <si>
    <t>本周工作</t>
  </si>
  <si>
    <t>不动产登记中心参加会议：组织讨论量化登记系统需求落实细节，确定系统开发进度等相关事宜。</t>
  </si>
  <si>
    <t>电子勘误系统：根据信息开发部优化意见作部分功能调整。</t>
  </si>
  <si>
    <t>批量处理查封业务质检后又出现质检传递问题数据。</t>
  </si>
  <si>
    <t>不动产登记系统：图纸管理功能：在图纸管理里面，用业务号来判断是否已登簿或受理传递，若已受理传递或登簿，不允许再进行图纸的修改。</t>
  </si>
  <si>
    <t>查封登记业务、其他登记-协助登记业务，如果流程中没有受理，后台提取受理时间字段补充受理流程。历史数据批量更新。</t>
  </si>
  <si>
    <t>批量数据处理：根据提供业务号批量补充提取云柜台视频至业务数字化目录中。</t>
  </si>
  <si>
    <t>不动产统计任务：11条。</t>
  </si>
  <si>
    <t>土地量化需求讨论。</t>
  </si>
  <si>
    <t>李国强</t>
  </si>
  <si>
    <t>不动产智能审核：定位预购商品房业务，关联备案业务未归档未校验住的问题。</t>
  </si>
  <si>
    <t>张志鹏</t>
  </si>
  <si>
    <t>不动产登记系统-数据共享：法院接口，获取市县逻辑增加默认值，根据sql获取不到时增加默认值，提交新增ywlx判读入库业务逻辑。</t>
  </si>
  <si>
    <t>不动产登记系统：税务退件池功能实现。</t>
  </si>
  <si>
    <t>李中正</t>
  </si>
  <si>
    <t>网上抵押系统：对账单功能开发。</t>
  </si>
  <si>
    <t>增量数据汇交问题处理。</t>
  </si>
  <si>
    <t>房信通：排查房屋列表为空问题：解决第一个房屋单元号为空构建楼盘表失败问题、解决房号为空无法点击查询房屋详情问题</t>
  </si>
  <si>
    <t>登记系统移动端：优化宗地信息、合同信息模块。</t>
  </si>
  <si>
    <t>董文超</t>
  </si>
  <si>
    <t>合计</t>
  </si>
  <si>
    <t>下周计划</t>
  </si>
  <si>
    <t xml:space="preserve">济南市不动产登记中心不动产登记信息平台信创升级改造项目
项目编号：22250226
</t>
  </si>
  <si>
    <t>信创-登记系统</t>
  </si>
  <si>
    <t>梳理登记系统受理业务过程调用外部接口情况。并形成文档</t>
  </si>
  <si>
    <t>信创-电子监督系统、数据汇聚分平台</t>
  </si>
  <si>
    <t>1.信创加工语句更新，表结构调整
2.信创增量表数据同步。
3.信创超时未登簿、产权转让语句修改
4.修复线上celery配置，适配celery6.0
5.解决信创环境上传大批量文件502的问题
6.信创环境定时数据加工脚本修改
7.修复批量上传celery和minio同步错误
8.完善minio封装，动态响应信创环境请求ip
9.电子监督数据加工加入电子证照配置及导出逻辑
10.山东通访问信创服务跳转脚本开发
11.整合信创山东通配置，整合minio配置</t>
  </si>
  <si>
    <t>王建</t>
  </si>
  <si>
    <t>其他</t>
  </si>
  <si>
    <t>二手房预受理系统：梳理业务逻辑。</t>
  </si>
  <si>
    <t>电子证照系统信创上线准备。
1）、计划4月17-19日信创上线，
2）、梳理接口项目调用外部接口，网络打通情况
3）、连接测试瀚高库测试程序 
4）、整理信创上线方案100%
5）、测试ecipServie、ecip连接瀚高库</t>
  </si>
  <si>
    <t>二手房预受理信创：定位并解决jar包类冲突，签字接口报错等问题。业务流程进行测试，定位调试报错问题。搭建本地nginx服务，且更新二手房预受理代码与前端对接。</t>
  </si>
  <si>
    <t>济南市不动产登记云柜台（线上移动)系统
项目编号：22220202</t>
  </si>
  <si>
    <t>运维</t>
  </si>
  <si>
    <t>济南市不动产预受理系统
项目编号：22220701</t>
  </si>
  <si>
    <t>济南不动产登记平台运行维护
项目编号：41221101</t>
  </si>
  <si>
    <t>不动产软件运维</t>
  </si>
  <si>
    <t>处理登记系统、抵押系统等业务问题，共计 403 件，详情见附件1。
增量数据汇交每日巡检。</t>
  </si>
  <si>
    <t>李猛</t>
  </si>
  <si>
    <t>杨森</t>
  </si>
  <si>
    <t>不动产系统运维</t>
  </si>
  <si>
    <t>每日增量数据汇交系统查看。
电子证照生产库ecip迁移到93.184的瀚高库上，做测试库用。
二手房预受理后端(信创)机器调用172.22段的大数据局电子签章接口申请。
测试解决电子监督x86机器91.213访问信创12.88:5601和9090不通问题。
电子监督信创应用机器88申请扩容cpu和内存，整理扩容申请文档。
整理电子监督和电子证照非信创和信创打通的网络需求，形成策略申请文档。
电子证照生产库迁移到信创瀚高库，用时3个半小时。除constraint几个序列已存在，无其他问题。
第二天删掉电子证照瀚高库里边已有的序列，重新迁移一遍电子证照生产库。
10.11.5.86上面的tomcat7.0.53拷贝到172.20.93.179上。</t>
  </si>
  <si>
    <t>杨真真</t>
  </si>
  <si>
    <t>祝席成</t>
  </si>
  <si>
    <t>济南房产交易运维</t>
  </si>
  <si>
    <t>房管监测平台维护:
排查0点与住建差异数据
整理监测数据推送程序</t>
  </si>
  <si>
    <t>1.解决爱山东app申请证明失败等问题
2.修改接口项目解决房改证明总是出现在质检列表中的问题
3.为甲方导出御景城、纬十二路9号等关键字的商品房合同
4.解决接口项目开具证明与窗口开具证明偶尔有不一致问题</t>
  </si>
  <si>
    <t>1、修复老系统云网签资金监管业务无法关联主客体的bug（完成100%）
2、配合平安银行信创升级对接测试老系统资金监管接口（完成20%）
3、老系统资金监管云网签监管业务审核功能页面修改适配公积金监管模式的调整（完成100%）
4、处理老系统云网签业务无法同步删除监管业务的问题,增加删除逻辑（完成100%）</t>
  </si>
  <si>
    <t>张杨</t>
  </si>
  <si>
    <t>处理测绘挂接、网签备案等业务问题，共计  47 件，详情件附件2。
检测平台每日巡检。
交易接口日志每日巡检。</t>
  </si>
  <si>
    <t>每日数据巡检问题数据汇交。
每日数据迁移的查看日志并删除多余备份。</t>
  </si>
  <si>
    <t>处理网签合同模版投屏签批屏无反应问题；
修改变更/解除备案单保存逻辑；
人员弹窗选择其他证件时打开摄像头；
处理线上云网签业务问题；
整理接口文档；</t>
  </si>
  <si>
    <t>1、配合前端测试修改新平台网签业务中合同模板 备案单模板相关的问题（完成100%）
2、配合嘉友测试二楼自助机插件功能，以及新系统自助机逻辑（完成100%）
3、整理新平台用到的电子证照相关接口的文档表格（完成100%）</t>
  </si>
  <si>
    <t>整理新平台接口功能菜单及关键点逻辑文档</t>
  </si>
  <si>
    <t>山东省机关事务局职工房改管理系统适配改造项目：21250606J</t>
  </si>
  <si>
    <t>1.根据大数据局要求填写API风险调查表以及填写接口资产自查表                                                                            2.配合汉峪公寓房办理人员更换系统访问地址 ，帮汉峪配租人员重置联网系统登录密码
3.搭建济南市房改房管理系统运行环境                               4.汉峪配租数据已退房数据依然联网联出的问题处理        5.根据系统功能结合济南市公有住房出售需求规格说明书文档 熟悉济南市房改系统。                                                6.给汉峪配租修复因操作员失误导致不该续租的人员信息续租的数据</t>
  </si>
  <si>
    <t>1.给任玉清查询统计2003-2004 年排除 D 类型换购退房的房改，购买二套及以上 且有超标价款的数据并导出Excel文件；
2.协调对接推进房改查询民政婚姻接口更换工作，完成接口确认与申请填报工作；
3.接收房测院黄孟鸣提供的长清区房改数据 Excel 文件，并与房改处沟通数据导入相关事宜；
4.给莱芜专班孟立明处理集资房应提维修资金计价问题；
给历城区李宁宁处理集资建房计价方式错误导致职工工龄折扣优惠错误问题；
5.给槐荫区齐娜处理集资建房离异时间错误导致程序判断错误问题；                                                                               6.填写民政婚姻接口申请单                                                7.编写长清区县房改数据Excel文件导入房改库程序；（20%）</t>
  </si>
  <si>
    <t>宋雯雯</t>
  </si>
  <si>
    <t>编写长清区县房改数据Excel文件导入房改库程序未完成说明多年钱入库的区县数据，没有长清的，现系统经理几次迭代后，需重新修复导入程序，加上文件整理的不规范，程序</t>
  </si>
  <si>
    <t>1.房改房系统信创升级优化（房改房界面样式升级后，在国产电脑浏览器上弹窗页签样式显示异常重新优化相关样式。 ）</t>
  </si>
  <si>
    <t>公有住房系统危旧住房改造房屋房改管理功能（济南市房改管理系统）</t>
  </si>
  <si>
    <t>内部沟通、需求整理</t>
  </si>
  <si>
    <t>景旭</t>
  </si>
  <si>
    <t>维修资金系统部署</t>
  </si>
  <si>
    <t>王德智</t>
  </si>
  <si>
    <t>整理各子系统需求文档</t>
  </si>
  <si>
    <t>房产一体化项目：惠民、博兴、滨州、无棣、沾化维护</t>
  </si>
  <si>
    <t>房产一体化项目：阳信、滨州、无棣、沾化、乳山维护；</t>
  </si>
  <si>
    <t>万德跃</t>
  </si>
  <si>
    <t>房产一体化：安徽地区、五莲、诸城维护</t>
  </si>
  <si>
    <t>滨州房产一体化驻场维护</t>
  </si>
  <si>
    <t>吴胜傲</t>
  </si>
  <si>
    <t>维修资金项目运维</t>
  </si>
  <si>
    <t>维修资金系统维护：东营地区区、滨州地区维护</t>
  </si>
  <si>
    <t>牛丽君</t>
  </si>
  <si>
    <t>维修资金系统维护：高唐、滨州、东营、兖州、莱芜、潍坊滨海等地区维护</t>
  </si>
  <si>
    <t>赵衍峰</t>
  </si>
  <si>
    <t>日照维系资金驻场维护</t>
  </si>
  <si>
    <t>马睿</t>
  </si>
  <si>
    <t>日照维系资金维护</t>
  </si>
  <si>
    <t>许建飞</t>
  </si>
  <si>
    <t>惠民维修资金上线</t>
  </si>
  <si>
    <t>孙达</t>
  </si>
  <si>
    <t>各地维修资金维护</t>
  </si>
  <si>
    <t>智慧物业运维</t>
  </si>
  <si>
    <t>日照市三平台融合智慧物业维护</t>
  </si>
  <si>
    <t>日照市三平台融合、智慧物业、住宅专项维修资金系统信创改造项目
项目编号：22240822</t>
  </si>
  <si>
    <t>日照维修资金问题处理及测试</t>
  </si>
  <si>
    <t>潘春蕾</t>
  </si>
  <si>
    <t>智慧物业大屏问题处理</t>
  </si>
  <si>
    <t>时守杰</t>
  </si>
  <si>
    <t>智慧物业推进情况汇总跟进</t>
  </si>
  <si>
    <t>袁畅</t>
  </si>
  <si>
    <t>随手拍优化</t>
  </si>
  <si>
    <t>段佑轩</t>
  </si>
  <si>
    <t>公共收益优化</t>
  </si>
  <si>
    <t>拉取物业区域数据</t>
  </si>
  <si>
    <t>李淑英</t>
  </si>
  <si>
    <t>日照维修资金运维</t>
  </si>
  <si>
    <t>完成随手拍、数据看板功能优化</t>
  </si>
  <si>
    <t>滨州智慧物业
项目编号：23251211</t>
  </si>
  <si>
    <t>服务器资源申请</t>
  </si>
  <si>
    <t>公积金对接</t>
  </si>
  <si>
    <t>操作手册编制</t>
  </si>
  <si>
    <t>智慧物业推进</t>
  </si>
  <si>
    <t>泉农通二期销售售前支持
项目编号：
121018</t>
  </si>
  <si>
    <t>网信办-一张总屏+五张分屏指标分析</t>
  </si>
  <si>
    <t>韩华斌</t>
  </si>
  <si>
    <t>网信办-智慧农业一张图UI设计完成</t>
  </si>
  <si>
    <t>冯庆召</t>
  </si>
  <si>
    <t>张金枝</t>
  </si>
  <si>
    <t>网信办-方案调整</t>
  </si>
  <si>
    <t>网信办-汇报稿整理，大屏沟通汇报</t>
  </si>
  <si>
    <t>网信办-大屏调整，陈部长汇报</t>
  </si>
  <si>
    <t>网信办-立项材料准备，立项</t>
  </si>
  <si>
    <t>农业局-立项材料准备，立项</t>
  </si>
  <si>
    <t>农业局-泉农通小程序部分页面设计</t>
  </si>
  <si>
    <t>济南市不动产登记全量数据汇交及比对系统
项目编号：222201001</t>
  </si>
  <si>
    <t>99%</t>
  </si>
  <si>
    <t>1）3月份数据汇交，指数测算，存量数据统计，提交给部里。</t>
  </si>
  <si>
    <t>济南市不动产登记电子监督系统功能拓展
项目编号：22220905</t>
  </si>
  <si>
    <t>90%</t>
  </si>
  <si>
    <t>1）导出保交房问题项目最新数据，处理重复数据。
2）国有资产数字化管理需求字段确认。</t>
  </si>
  <si>
    <t>不动产登记人工智能数字人(一期)项目
项目编号：21250326</t>
  </si>
  <si>
    <t>85%</t>
  </si>
  <si>
    <t>1）文档编写：济南全域数字化转型试点重点场景统计表、济南城市全域数字化转型典型场景申报书。</t>
  </si>
  <si>
    <t>1）知识库检索：山东通手机端界面改成自适应，优化完善。</t>
  </si>
  <si>
    <t>闫元泉</t>
  </si>
  <si>
    <t>1）政务openclaw研究：DinTalClaw的源码GenericAgent研究与测试。
2）权利人名称变更登记预受理测试：采用dify+pdf转图片+审核规则（openclaw生成）+MCP接口+大模型方式。</t>
  </si>
  <si>
    <t>毕彦信</t>
  </si>
  <si>
    <t>电子监督系统标准化产品改造
项目编号：21250313J</t>
  </si>
  <si>
    <t>数据整理</t>
  </si>
  <si>
    <t>维修大队系统宣传视频素材</t>
  </si>
  <si>
    <t>住房贷款项目方案编写</t>
  </si>
  <si>
    <t>住房贷款项目开发</t>
  </si>
  <si>
    <t>许兴欣、闫元泉</t>
  </si>
  <si>
    <t>住房贷款项目开发与测试、方案编写</t>
  </si>
  <si>
    <t>基层经费监管系统升级研发（二期）
项目编号：
210123ZHJJ02</t>
  </si>
  <si>
    <t>系统运维管理</t>
  </si>
  <si>
    <t>王晓阳</t>
  </si>
  <si>
    <t>住房租赁管理服务平台（监管端）
项目编号：21250925HF</t>
  </si>
  <si>
    <t>技术委员会、部门协调、起草研发交接规范等</t>
  </si>
  <si>
    <t>智慧房产产品线
（立项阶段）</t>
  </si>
  <si>
    <t>租赁业务
1.租赁备案前端页面迁移整改；
2.房间备案申请后端接口迁移整改;
3.房间备案申请查询、租赁合同查询、房屋提取接口对接。
4.参加AI学习分享会议</t>
  </si>
  <si>
    <t>卢波</t>
  </si>
  <si>
    <t>租赁业务
1、授权协议签订（租赁企业）前后端完成
2、授权协议签订（开发企业）后端添加、查询、修改、删除、提交接口迁移完成
3、合同签订（按间） 保存 修改接口迁移完成
4.参加AI学习分享会议</t>
  </si>
  <si>
    <t>郭培培</t>
  </si>
  <si>
    <t>1. 梳理宿松房产需求文档
2. 参加商品房网签系统演示讲解会议
3. 梳理宿松房产商品房网签系统需求逻辑
4.配置VS Code AI 开发环境并进行页面设计验证
5.参加AI学习分享会议</t>
  </si>
  <si>
    <t>张燕</t>
  </si>
  <si>
    <t>基于AI辅助工具进行原型设计</t>
  </si>
  <si>
    <t>1.参加商品房网签备案相关会议
2.商品房网签备案功能任务划分
3.调整房产平台通用业务数据库文档
4.参加周总分享AI开发心得</t>
  </si>
  <si>
    <t>彭步坤</t>
  </si>
  <si>
    <t>1、参加商品房网签备案相关会议
2、监管项目申请前端页面优化，功能复测，与后端联调接口
3、监管项目审核以及监管银行管理功能模块迁移整改（前后端完成，接口返回数据不全，需要调整）
4、参加周总AI心得分享会议</t>
  </si>
  <si>
    <t>王光辉</t>
  </si>
  <si>
    <t>立项材料、需求对接、需求文档</t>
  </si>
  <si>
    <t>数据治理平台（未立项）</t>
  </si>
  <si>
    <t>数据治理平台调整表结构，处理迁移表分区。其他详细设计逻辑处理。</t>
  </si>
  <si>
    <t>数据治理平台处理迁移任务和节点之间的关系以及映射相关配置设计。</t>
  </si>
  <si>
    <t>数据源管理前后端完整功能：基本增删改、项目关联、动态添加、删除数据源、查看所有数据源</t>
  </si>
  <si>
    <t xml:space="preserve">编号规则管理：
1、详细设计文档、架构设计文档、ddl文档阅读、功能梳理
2、基础编号规则配置管理（规则定义crud、规则项管理crud
3、规则生成测试，审查自增编号逻辑代码，处理并发与非原子操作
4、规则管理模块测试，问题调整
</t>
  </si>
  <si>
    <t>济南市不动产登记系统功能拓展
项目编号：22220901
项目经理：宋义振
总体进度(%)：100%</t>
  </si>
  <si>
    <t>1、土地量化登记系统建设需求澄清（内部）
2、代码和依赖jar上传至git|搭建本地环境
3、尝试用AI将老系统中登记簿的代码翻译成新框架的项目
4、土地量化需求澄清确认（大厦）
5、MD文档使用说明培训
6、熟悉代码
7、参加AI学习分享会议</t>
  </si>
  <si>
    <t>土地量化需求分析</t>
  </si>
  <si>
    <t>1、土地量化登记系统建设需求澄清（内部）
2、代码和依赖jar上传至git|搭建本地环境
3、尝试用AI将老系统中登记簿的代码翻译成新框架的项目
4、土地量化需求澄清确认（大厦）
5、MD文档使用说明培训
6、参加AI学习分享会议
7、由于环境不通老的wiztek平台迁移搭建</t>
  </si>
  <si>
    <t>窦延群</t>
  </si>
  <si>
    <t xml:space="preserve">济南市联合资产交易公示平台
项目编号：22250903HF
</t>
  </si>
  <si>
    <t>1.在员工管理模块新增名片二维码生成功能，完成页面编辑字段适配开发，待接口完成后对接联调； 
2.根据业务需求，修改房源详情尽调信息页面产权相关内容的接口取值与字段适配，完成联调验证，确保信息展示准确无误。
3. 针对测试反馈问题，主动与测试人员沟通确认场景，定位 bug 根因并完成修复，同步进行回归验证，确保问题闭环。
4..完成尽调申请列表功能开发，搭建列表页面及数据展示模块；同步在房源展厅 PC 端、小程序端新增尽调申请操作入口，完成前端交互逻辑开发，待后台接口提供后进行对接、联调验证。
5. 特殊房产交易小程序 完成个人发布房源编辑页面整体重构，优化页面布局、交互逻辑与表单结构，提升用户发布房源的操作体验。 定位并修复年份选择下拉框真机展示不全的兼容性问题，优化组件渲染逻辑，适配多机型正常展示。</t>
  </si>
  <si>
    <t>梁超</t>
  </si>
  <si>
    <t>1.带押过户老系统数据迁移优化、测试；
2.数据迁移文档编写；</t>
  </si>
  <si>
    <t>许兴欣</t>
  </si>
  <si>
    <t>1.增加房源尽调查看审核功能，联调测试；
2.网站和小程序房源详情增加尽调申请功能，收藏增加登录验证等相关功能优化调整；
3.熟悉车位备案对接法信协议签订对接代码；</t>
  </si>
  <si>
    <t>赵敬</t>
  </si>
  <si>
    <t>联合资产+带押过户+带封过户+案款提存测试</t>
  </si>
  <si>
    <t>亓俣辰</t>
  </si>
  <si>
    <t>1. 优化事项材料编写；
2. 公证处现场与客户确认需求；
3. 联合资产平台根据客户需求优化进度推进；
4. 抵押过户、带封过户、执行案款提存测试进度推进；
5. 与齐鲁银行沟通上线准备事项，普通提存账户银企直连对接事项；
6. 解决资金监管系统生产环境启动失败问题；
7. 联合资产平台测试；
8. 联合资产解决齐鲁银行接口调用异常情况；
9. 车位备案对接法信协议签署进度跟进；</t>
  </si>
  <si>
    <t xml:space="preserve">车位使用权公证备案平台
项目编号：22250829HF
</t>
  </si>
  <si>
    <t xml:space="preserve">汇房云经纪人
项目编号：21250418
</t>
  </si>
  <si>
    <t>德邦回款9500元</t>
  </si>
  <si>
    <t>合同模板修改为html录入，转pdf签署方式，
增加移动端在线签约功能
合同解除协议功能开发
合同其他细节优化</t>
  </si>
  <si>
    <t>蔡高情</t>
  </si>
  <si>
    <t>赵旺</t>
  </si>
  <si>
    <t>app端合同管理模块开发：完成合同审批、合同签署模块列表页面全量开发，覆盖列表渲染、筛选查询、分页交互等核心逻辑；同步完成与后端接口的全量对接调试，打通数据交互通路，保障列表数据展示准确、流程顺畅；启动合同编辑页面开发，完成客户信息及房源信息页面布局搭建。</t>
  </si>
  <si>
    <t>设计</t>
  </si>
  <si>
    <t xml:space="preserve">汇房云培训考试
项目编号：
</t>
  </si>
  <si>
    <t>卓识网安业务平台系统
项目编号：22251028HFJ</t>
  </si>
  <si>
    <t>1. 工作台优化
  统一金额图表「万元」单位显示，优化图表Tooltip提示和Y轴配置，添加金额格式化功能，  修复图表组件运行时错误
2.异地备案功能
  备案申请默认勾选逻辑，新增计划快照查询接口，优化备案信息展示（新增工单省份列），适配技术资料接口结构，修复变更/废弃、删除等操作逻辑，添加网安闭环备注字段， 审批流程标签页
3. 项目实施优化
  修复交付物数量、已派工单数列排序，统一导出文件名格式和空值显示， 优化表格列标题和导出配置， 添加排序功能到多个模块
4. 其他改进
 报表组件优化，交付物编辑删除限制， 实施工时输入功能，代码重构，提取公共函数， 修复多个边界条件问题</t>
  </si>
  <si>
    <t>王恒通</t>
  </si>
  <si>
    <t>异地备案bug、修改项目清单、项目数据表等模块问题修复</t>
  </si>
  <si>
    <t>安震</t>
  </si>
  <si>
    <t>计划锁定需求开发，相关统计报表处理，工作台、计划管理、工程设计、报告编制等模块遗留问题清理</t>
  </si>
  <si>
    <t>资源管理、关系管理遗留问题修复，协助修改个人工作台等模块缺陷</t>
  </si>
  <si>
    <t>测试</t>
  </si>
  <si>
    <t>公司内部系统维护升级项目
项目编号：21250801J</t>
  </si>
  <si>
    <t>阳信房产超市运维</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</si>
  <si>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</si>
  <si>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</si>
  <si>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</si>
  <si>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</si>
  <si>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</si>
  <si>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</si>
  <si>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</si>
  <si>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王德贤</t>
  </si>
  <si>
    <t>优化调整</t>
  </si>
  <si>
    <t>孙丁华</t>
  </si>
  <si>
    <t>行内闲置资产共享平台前端配合改造项目</t>
  </si>
  <si>
    <t>智惠e家”智慧餐厅、智慧社区系统功能优化（智惠e家增加寻车功能及对接碳惠日照）</t>
  </si>
  <si>
    <t>开发对接中</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</si>
  <si>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</si>
  <si>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</si>
  <si>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</si>
  <si>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</si>
  <si>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</si>
  <si>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</si>
  <si>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韩化斌</t>
  </si>
  <si>
    <t>智惠e家移动端备案漏洞修复整改</t>
  </si>
  <si>
    <t>正常开发调整</t>
  </si>
  <si>
    <t>王延磊</t>
  </si>
  <si>
    <t>智惠e家漏洞修复、测试、发版、数据运维</t>
  </si>
  <si>
    <t>潘春雷</t>
  </si>
  <si>
    <t>三方复测</t>
  </si>
  <si>
    <t>智慧餐厅离线支付项目改造</t>
  </si>
  <si>
    <t>智慧餐厅移动端全量接入宜当生活</t>
  </si>
  <si>
    <t>需求对接中</t>
  </si>
  <si>
    <t>银行运营</t>
  </si>
  <si>
    <t>银行网络金融部驻场银行业务运营</t>
  </si>
  <si>
    <t>穆德坤</t>
  </si>
  <si>
    <t>银行场景运营中心驻场银行业务运营</t>
  </si>
  <si>
    <t>赵文斌</t>
  </si>
  <si>
    <t>郑家洋</t>
  </si>
  <si>
    <t>需求</t>
  </si>
  <si>
    <t>安全保卫部智慧园区功能优化</t>
  </si>
  <si>
    <t>需求设计</t>
  </si>
  <si>
    <t>社区访客通行以及押金缴费退款需求</t>
  </si>
  <si>
    <t>智惠e家离线支付自动扣费改造方案</t>
  </si>
  <si>
    <t>智惠e家对接对接五联智能电表需求方案</t>
  </si>
  <si>
    <t>智惠e家宜当生活物业缴费功能改造需求方案</t>
  </si>
  <si>
    <t>2026年行政管理部“行政后勤管理平台”方案需求</t>
  </si>
  <si>
    <t>库存管理方案及需求，方案预算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</si>
</sst>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s>
  <fonts count="47">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1"/>
      <name val="等线"/>
      <charset val="134"/>
    </font>
    <font>
      <sz val="12"/>
      <color rgb="FF000000"/>
      <name val="宋体"/>
      <charset val="134"/>
    </font>
    <font>
      <sz val="12"/>
      <color rgb="FF000000"/>
      <name val="等线"/>
      <charset val="134"/>
      <scheme val="minor"/>
    </font>
    <font>
      <sz val="12"/>
      <color rgb="FF000000"/>
      <name val="Arial"/>
      <charset val="134"/>
    </font>
    <font>
      <sz val="9"/>
      <color rgb="FF000000"/>
      <name val="等线"/>
      <charset val="134"/>
      <scheme val="minor"/>
    </font>
    <font>
      <sz val="11"/>
      <color rgb="FF000000"/>
      <name val="等线"/>
      <charset val="134"/>
      <scheme val="minor"/>
    </font>
    <font>
      <sz val="10"/>
      <color rgb="FF000000"/>
      <name val="宋体"/>
      <charset val="134"/>
    </font>
    <font>
      <sz val="10"/>
      <color rgb="FF000000"/>
      <name val="SimSun"/>
      <charset val="134"/>
    </font>
    <font>
      <sz val="10"/>
      <color rgb="FF000000"/>
      <name val="等线"/>
      <charset val="134"/>
      <scheme val="minor"/>
    </font>
    <font>
      <sz val="10"/>
      <color rgb="FFFF0000"/>
      <name val="等线"/>
      <charset val="134"/>
      <scheme val="minor"/>
    </font>
    <font>
      <sz val="12"/>
      <color rgb="FF000000"/>
      <name val="等线"/>
      <charset val="134"/>
      <scheme val="minor"/>
    </font>
    <font>
      <sz val="9"/>
      <color rgb="FF000000"/>
      <name val="等线"/>
      <charset val="134"/>
      <scheme val="minor"/>
    </font>
    <font>
      <sz val="11"/>
      <color rgb="FF000000"/>
      <name val="等线"/>
      <charset val="134"/>
      <scheme val="minor"/>
    </font>
    <font>
      <b/>
      <sz val="14"/>
      <color theme="1"/>
      <name val="微软雅黑"/>
      <charset val="134"/>
    </font>
    <font>
      <sz val="12"/>
      <color theme="1"/>
      <name val="微软雅黑"/>
      <charset val="134"/>
    </font>
    <font>
      <sz val="11"/>
      <color theme="1"/>
      <name val="微软雅黑"/>
      <charset val="134"/>
    </font>
    <font>
      <sz val="1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s>
  <fills count="37">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auto="1"/>
      </left>
      <right style="thin">
        <color auto="1"/>
      </right>
      <top style="thin">
        <color rgb="FF000000"/>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6" borderId="29"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0" applyNumberFormat="0" applyFill="0" applyAlignment="0" applyProtection="0">
      <alignment vertical="center"/>
    </xf>
    <xf numFmtId="0" fontId="30" fillId="0" borderId="30" applyNumberFormat="0" applyFill="0" applyAlignment="0" applyProtection="0">
      <alignment vertical="center"/>
    </xf>
    <xf numFmtId="0" fontId="31" fillId="0" borderId="31" applyNumberFormat="0" applyFill="0" applyAlignment="0" applyProtection="0">
      <alignment vertical="center"/>
    </xf>
    <xf numFmtId="0" fontId="31" fillId="0" borderId="0" applyNumberFormat="0" applyFill="0" applyBorder="0" applyAlignment="0" applyProtection="0">
      <alignment vertical="center"/>
    </xf>
    <xf numFmtId="0" fontId="32" fillId="7" borderId="32" applyNumberFormat="0" applyAlignment="0" applyProtection="0">
      <alignment vertical="center"/>
    </xf>
    <xf numFmtId="0" fontId="33" fillId="8" borderId="33" applyNumberFormat="0" applyAlignment="0" applyProtection="0">
      <alignment vertical="center"/>
    </xf>
    <xf numFmtId="0" fontId="34" fillId="8" borderId="32" applyNumberFormat="0" applyAlignment="0" applyProtection="0">
      <alignment vertical="center"/>
    </xf>
    <xf numFmtId="0" fontId="35" fillId="9" borderId="34" applyNumberFormat="0" applyAlignment="0" applyProtection="0">
      <alignment vertical="center"/>
    </xf>
    <xf numFmtId="0" fontId="36" fillId="0" borderId="35" applyNumberFormat="0" applyFill="0" applyAlignment="0" applyProtection="0">
      <alignment vertical="center"/>
    </xf>
    <xf numFmtId="0" fontId="37" fillId="0" borderId="36" applyNumberFormat="0" applyFill="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9" fontId="43" fillId="0" borderId="0" applyFont="0" applyFill="0" applyBorder="0" applyAlignment="0" applyProtection="0">
      <alignment vertical="center"/>
    </xf>
    <xf numFmtId="9" fontId="0" fillId="0" borderId="0" applyFont="0" applyFill="0" applyBorder="0" applyAlignment="0" applyProtection="0">
      <alignment vertical="center"/>
    </xf>
    <xf numFmtId="176" fontId="43" fillId="0" borderId="0">
      <alignment vertical="center"/>
    </xf>
    <xf numFmtId="176" fontId="43" fillId="0" borderId="0">
      <alignment vertical="center"/>
    </xf>
    <xf numFmtId="176" fontId="1" fillId="0" borderId="0">
      <alignment vertical="center"/>
    </xf>
    <xf numFmtId="0" fontId="1" fillId="0" borderId="0">
      <alignment vertical="center"/>
    </xf>
    <xf numFmtId="0" fontId="43" fillId="0" borderId="0">
      <alignment vertical="center"/>
    </xf>
    <xf numFmtId="176" fontId="43" fillId="0" borderId="0">
      <alignment vertical="center"/>
    </xf>
    <xf numFmtId="176" fontId="43" fillId="0" borderId="0">
      <alignment vertical="center"/>
    </xf>
    <xf numFmtId="176" fontId="43" fillId="0" borderId="0">
      <alignment vertical="center"/>
    </xf>
    <xf numFmtId="176" fontId="44" fillId="0" borderId="0">
      <alignment vertical="center"/>
    </xf>
    <xf numFmtId="176" fontId="43" fillId="0" borderId="0">
      <alignment vertical="center"/>
    </xf>
    <xf numFmtId="176" fontId="43" fillId="0" borderId="0">
      <alignment vertical="center"/>
    </xf>
    <xf numFmtId="176" fontId="43" fillId="0" borderId="0">
      <alignment vertical="center"/>
    </xf>
    <xf numFmtId="176" fontId="43" fillId="0" borderId="0" applyBorder="0">
      <alignment vertical="center"/>
    </xf>
  </cellStyleXfs>
  <cellXfs count="332">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5" fillId="0" borderId="2" xfId="0" applyNumberFormat="1" applyFont="1" applyFill="1" applyBorder="1" applyAlignment="1">
      <alignment horizontal="left" vertical="center" wrapText="1"/>
    </xf>
    <xf numFmtId="9"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left" vertical="center" wrapText="1"/>
    </xf>
    <xf numFmtId="9"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center" wrapText="1"/>
    </xf>
    <xf numFmtId="9" fontId="5" fillId="0" borderId="4"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5" fillId="3" borderId="4"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3"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2" borderId="2" xfId="0" applyNumberFormat="1" applyFont="1" applyFill="1" applyBorder="1" applyAlignment="1">
      <alignment horizontal="left" vertical="center" wrapText="1"/>
    </xf>
    <xf numFmtId="0" fontId="5" fillId="2" borderId="2" xfId="0" applyNumberFormat="1" applyFont="1" applyFill="1" applyBorder="1" applyAlignment="1">
      <alignment horizontal="center" vertical="center"/>
    </xf>
    <xf numFmtId="0" fontId="5" fillId="2" borderId="5" xfId="0" applyNumberFormat="1" applyFont="1" applyFill="1" applyBorder="1" applyAlignment="1">
      <alignment horizontal="left" vertical="center" wrapText="1"/>
    </xf>
    <xf numFmtId="0" fontId="5" fillId="2" borderId="6" xfId="0" applyNumberFormat="1" applyFont="1" applyFill="1" applyBorder="1" applyAlignment="1">
      <alignment horizontal="center" vertical="center"/>
    </xf>
    <xf numFmtId="9" fontId="5" fillId="2" borderId="2" xfId="0" applyNumberFormat="1" applyFont="1" applyFill="1" applyBorder="1" applyAlignment="1">
      <alignment horizontal="center" vertical="center"/>
    </xf>
    <xf numFmtId="0" fontId="5" fillId="2" borderId="2" xfId="0" applyNumberFormat="1" applyFont="1" applyFill="1" applyBorder="1" applyAlignment="1">
      <alignment vertical="center"/>
    </xf>
    <xf numFmtId="177" fontId="5" fillId="2" borderId="2" xfId="0" applyNumberFormat="1" applyFont="1" applyFill="1" applyBorder="1" applyAlignment="1">
      <alignment horizontal="center" vertical="center"/>
    </xf>
    <xf numFmtId="0" fontId="5" fillId="0" borderId="7" xfId="0" applyNumberFormat="1" applyFont="1" applyBorder="1" applyAlignment="1">
      <alignment horizontal="center" vertical="center" wrapText="1"/>
    </xf>
    <xf numFmtId="0" fontId="5" fillId="2" borderId="8" xfId="0" applyNumberFormat="1" applyFont="1" applyFill="1" applyBorder="1" applyAlignment="1">
      <alignment horizontal="center" vertical="center"/>
    </xf>
    <xf numFmtId="0" fontId="5" fillId="2" borderId="8" xfId="0" applyNumberFormat="1" applyFont="1" applyFill="1" applyBorder="1" applyAlignment="1">
      <alignment horizontal="left" vertical="center" wrapText="1"/>
    </xf>
    <xf numFmtId="9" fontId="5" fillId="2" borderId="8" xfId="0" applyNumberFormat="1" applyFont="1" applyFill="1" applyBorder="1" applyAlignment="1">
      <alignment horizontal="center" vertical="center"/>
    </xf>
    <xf numFmtId="0" fontId="5" fillId="2" borderId="8" xfId="0" applyNumberFormat="1" applyFont="1" applyFill="1" applyBorder="1" applyAlignment="1">
      <alignment vertical="center"/>
    </xf>
    <xf numFmtId="177" fontId="5" fillId="2" borderId="8" xfId="0" applyNumberFormat="1" applyFont="1" applyFill="1" applyBorder="1" applyAlignment="1">
      <alignment horizontal="center" vertical="center"/>
    </xf>
    <xf numFmtId="0" fontId="5" fillId="2" borderId="8" xfId="0" applyNumberFormat="1" applyFont="1" applyFill="1" applyBorder="1"/>
    <xf numFmtId="0" fontId="5" fillId="2" borderId="8" xfId="0" applyNumberFormat="1" applyFont="1" applyFill="1" applyBorder="1" applyAlignment="1">
      <alignment horizontal="center" vertical="center" wrapText="1"/>
    </xf>
    <xf numFmtId="0" fontId="6" fillId="0" borderId="8" xfId="0" applyNumberFormat="1" applyFont="1" applyFill="1" applyBorder="1" applyAlignment="1">
      <alignment vertical="center" wrapText="1"/>
    </xf>
    <xf numFmtId="0" fontId="6" fillId="0" borderId="8" xfId="0" applyNumberFormat="1" applyFont="1" applyFill="1" applyBorder="1" applyAlignment="1">
      <alignment horizontal="center" vertical="center" wrapText="1"/>
    </xf>
    <xf numFmtId="0" fontId="5" fillId="2" borderId="9" xfId="0" applyNumberFormat="1" applyFont="1" applyFill="1" applyBorder="1" applyAlignment="1">
      <alignment horizontal="center" vertical="center"/>
    </xf>
    <xf numFmtId="0" fontId="5" fillId="2" borderId="10" xfId="0" applyNumberFormat="1" applyFont="1" applyFill="1" applyBorder="1" applyAlignment="1">
      <alignment horizontal="left" vertical="center" wrapText="1"/>
    </xf>
    <xf numFmtId="0" fontId="5" fillId="2" borderId="11" xfId="0" applyNumberFormat="1" applyFont="1" applyFill="1" applyBorder="1" applyAlignment="1">
      <alignment horizontal="center" vertical="center"/>
    </xf>
    <xf numFmtId="9" fontId="5" fillId="2" borderId="10" xfId="0" applyNumberFormat="1" applyFont="1" applyFill="1" applyBorder="1" applyAlignment="1">
      <alignment horizontal="center" vertical="center"/>
    </xf>
    <xf numFmtId="0" fontId="5" fillId="2" borderId="12" xfId="0" applyNumberFormat="1" applyFont="1" applyFill="1" applyBorder="1" applyAlignment="1">
      <alignment vertical="center"/>
    </xf>
    <xf numFmtId="177" fontId="5" fillId="2" borderId="4" xfId="0" applyNumberFormat="1" applyFont="1" applyFill="1" applyBorder="1" applyAlignment="1">
      <alignment horizontal="center" vertical="center"/>
    </xf>
    <xf numFmtId="0" fontId="5" fillId="0" borderId="4" xfId="0" applyNumberFormat="1" applyFont="1" applyBorder="1" applyAlignment="1">
      <alignment horizontal="center" vertical="center" wrapText="1"/>
    </xf>
    <xf numFmtId="0" fontId="5" fillId="2" borderId="13" xfId="0" applyNumberFormat="1" applyFont="1" applyFill="1" applyBorder="1" applyAlignment="1">
      <alignment horizontal="center" vertical="center"/>
    </xf>
    <xf numFmtId="0" fontId="5" fillId="2" borderId="14" xfId="0" applyNumberFormat="1" applyFont="1" applyFill="1" applyBorder="1" applyAlignment="1">
      <alignment horizontal="center" vertical="center"/>
    </xf>
    <xf numFmtId="0" fontId="5" fillId="2" borderId="15" xfId="0" applyNumberFormat="1" applyFont="1" applyFill="1" applyBorder="1" applyAlignment="1">
      <alignment vertical="center"/>
    </xf>
    <xf numFmtId="9" fontId="5" fillId="3" borderId="4" xfId="0" applyNumberFormat="1" applyFont="1" applyFill="1" applyBorder="1" applyAlignment="1">
      <alignment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9" fontId="5" fillId="0" borderId="2" xfId="0" applyNumberFormat="1" applyFont="1" applyBorder="1" applyAlignment="1">
      <alignment horizontal="center" vertical="center" wrapText="1"/>
    </xf>
    <xf numFmtId="0" fontId="0" fillId="0" borderId="3" xfId="0" applyNumberFormat="1" applyBorder="1"/>
    <xf numFmtId="0" fontId="0" fillId="0" borderId="4" xfId="0" applyNumberFormat="1" applyBorder="1"/>
    <xf numFmtId="0" fontId="5" fillId="0" borderId="4" xfId="0" applyNumberFormat="1" applyFont="1" applyBorder="1" applyAlignment="1">
      <alignment wrapText="1"/>
    </xf>
    <xf numFmtId="0" fontId="5" fillId="0" borderId="2" xfId="0" applyNumberFormat="1" applyFont="1" applyBorder="1" applyAlignment="1">
      <alignment horizontal="left" vertical="center" wrapText="1"/>
    </xf>
    <xf numFmtId="0" fontId="5" fillId="0" borderId="13" xfId="0" applyNumberFormat="1" applyFont="1" applyBorder="1" applyAlignment="1">
      <alignment horizontal="left" vertical="center" wrapText="1"/>
    </xf>
    <xf numFmtId="9" fontId="5" fillId="0" borderId="8" xfId="0" applyNumberFormat="1" applyFont="1" applyBorder="1" applyAlignment="1">
      <alignment horizontal="center" vertical="center" wrapText="1"/>
    </xf>
    <xf numFmtId="0" fontId="5" fillId="0" borderId="15" xfId="0" applyNumberFormat="1" applyFont="1" applyBorder="1" applyAlignment="1">
      <alignment horizontal="center" vertical="center" wrapText="1"/>
    </xf>
    <xf numFmtId="0" fontId="5" fillId="0" borderId="4" xfId="0" applyNumberFormat="1" applyFont="1" applyBorder="1" applyAlignment="1">
      <alignment horizontal="left" vertical="center" wrapText="1"/>
    </xf>
    <xf numFmtId="9" fontId="5" fillId="0" borderId="4" xfId="0" applyNumberFormat="1" applyFont="1" applyBorder="1" applyAlignment="1">
      <alignment horizontal="center" vertical="center" wrapText="1"/>
    </xf>
    <xf numFmtId="0"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left" vertical="center" wrapText="1"/>
    </xf>
    <xf numFmtId="9" fontId="7" fillId="0" borderId="1"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xf>
    <xf numFmtId="0" fontId="8" fillId="0" borderId="8" xfId="0" applyNumberFormat="1" applyFont="1" applyFill="1" applyBorder="1" applyAlignment="1">
      <alignment horizontal="center" vertical="center" wrapText="1"/>
    </xf>
    <xf numFmtId="0" fontId="3" fillId="0" borderId="8" xfId="0" applyNumberFormat="1" applyFont="1" applyFill="1" applyBorder="1" applyAlignment="1">
      <alignment horizontal="center" vertical="center"/>
    </xf>
    <xf numFmtId="0" fontId="3" fillId="0" borderId="8" xfId="0" applyNumberFormat="1" applyFont="1" applyFill="1" applyBorder="1" applyAlignment="1">
      <alignment horizontal="center" vertical="center" wrapText="1"/>
    </xf>
    <xf numFmtId="0" fontId="3" fillId="0" borderId="8" xfId="0" applyNumberFormat="1" applyFont="1" applyFill="1" applyBorder="1" applyAlignment="1">
      <alignment horizontal="left" vertical="center" wrapText="1"/>
    </xf>
    <xf numFmtId="9" fontId="3" fillId="0" borderId="8" xfId="0" applyNumberFormat="1" applyFont="1" applyFill="1" applyBorder="1" applyAlignment="1">
      <alignment horizontal="center" vertical="center" wrapText="1"/>
    </xf>
    <xf numFmtId="177" fontId="3" fillId="0" borderId="8" xfId="0" applyNumberFormat="1" applyFont="1" applyFill="1" applyBorder="1" applyAlignment="1">
      <alignment horizontal="center" vertical="center"/>
    </xf>
    <xf numFmtId="0" fontId="9" fillId="0" borderId="5" xfId="0" applyNumberFormat="1"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3" fillId="0" borderId="5"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xf>
    <xf numFmtId="0" fontId="3" fillId="0" borderId="8" xfId="0" applyNumberFormat="1" applyFont="1" applyFill="1" applyBorder="1" applyAlignment="1">
      <alignment vertical="center" wrapText="1"/>
    </xf>
    <xf numFmtId="0" fontId="9" fillId="0" borderId="16" xfId="0" applyNumberFormat="1" applyFont="1" applyFill="1" applyBorder="1" applyAlignment="1">
      <alignment horizontal="center" vertical="center" wrapText="1"/>
    </xf>
    <xf numFmtId="0" fontId="10" fillId="0" borderId="16" xfId="0" applyNumberFormat="1" applyFont="1" applyFill="1" applyBorder="1" applyAlignment="1">
      <alignment horizontal="center" vertical="center"/>
    </xf>
    <xf numFmtId="0" fontId="3" fillId="0" borderId="16" xfId="0" applyNumberFormat="1" applyFont="1" applyFill="1" applyBorder="1" applyAlignment="1">
      <alignment horizontal="center" vertical="center" wrapText="1"/>
    </xf>
    <xf numFmtId="0" fontId="3" fillId="0" borderId="16" xfId="0" applyNumberFormat="1" applyFont="1" applyFill="1" applyBorder="1" applyAlignment="1">
      <alignment horizontal="center" vertical="center"/>
    </xf>
    <xf numFmtId="0" fontId="3" fillId="0" borderId="10" xfId="0" applyNumberFormat="1" applyFont="1" applyFill="1" applyBorder="1" applyAlignment="1">
      <alignment horizontal="center" vertical="center"/>
    </xf>
    <xf numFmtId="0" fontId="3" fillId="0" borderId="10" xfId="0" applyNumberFormat="1" applyFont="1" applyFill="1" applyBorder="1" applyAlignment="1">
      <alignment horizontal="center" vertical="center" wrapText="1"/>
    </xf>
    <xf numFmtId="0" fontId="3" fillId="3" borderId="17" xfId="0" applyNumberFormat="1" applyFont="1" applyFill="1" applyBorder="1" applyAlignment="1">
      <alignment horizontal="center" vertical="center"/>
    </xf>
    <xf numFmtId="0" fontId="3" fillId="3" borderId="18" xfId="0" applyNumberFormat="1" applyFont="1" applyFill="1" applyBorder="1" applyAlignment="1">
      <alignment horizontal="center" vertical="center"/>
    </xf>
    <xf numFmtId="0" fontId="3" fillId="3" borderId="19" xfId="0" applyNumberFormat="1" applyFont="1" applyFill="1" applyBorder="1" applyAlignment="1">
      <alignment horizontal="center" vertical="center"/>
    </xf>
    <xf numFmtId="0" fontId="3" fillId="3" borderId="8" xfId="0" applyNumberFormat="1" applyFont="1" applyFill="1" applyBorder="1" applyAlignment="1">
      <alignment horizontal="center" vertical="center"/>
    </xf>
    <xf numFmtId="9" fontId="3" fillId="3" borderId="8" xfId="0" applyNumberFormat="1" applyFont="1" applyFill="1" applyBorder="1" applyAlignment="1">
      <alignment vertical="center"/>
    </xf>
    <xf numFmtId="0" fontId="3" fillId="3" borderId="8" xfId="0" applyNumberFormat="1" applyFont="1" applyFill="1" applyBorder="1" applyAlignment="1">
      <alignment vertical="center"/>
    </xf>
    <xf numFmtId="177" fontId="3" fillId="3" borderId="8" xfId="0" applyNumberFormat="1" applyFont="1" applyFill="1" applyBorder="1" applyAlignment="1">
      <alignment horizontal="center" vertical="center"/>
    </xf>
    <xf numFmtId="0" fontId="11" fillId="0" borderId="8" xfId="0" applyNumberFormat="1" applyFont="1" applyFill="1" applyBorder="1" applyAlignment="1">
      <alignment vertical="center" wrapText="1"/>
    </xf>
    <xf numFmtId="9" fontId="3" fillId="0" borderId="8" xfId="0" applyNumberFormat="1" applyFont="1" applyFill="1" applyBorder="1" applyAlignment="1">
      <alignment horizontal="center" vertical="center"/>
    </xf>
    <xf numFmtId="0" fontId="9" fillId="0" borderId="10"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xf>
    <xf numFmtId="0" fontId="8" fillId="0" borderId="5" xfId="0" applyNumberFormat="1" applyFont="1" applyFill="1" applyBorder="1" applyAlignment="1">
      <alignment horizontal="center" vertical="center" wrapText="1"/>
    </xf>
    <xf numFmtId="0" fontId="12" fillId="0" borderId="8" xfId="0" applyNumberFormat="1" applyFont="1" applyFill="1" applyBorder="1" applyAlignment="1">
      <alignment vertical="center" wrapText="1"/>
    </xf>
    <xf numFmtId="0" fontId="12" fillId="0" borderId="8" xfId="0" applyNumberFormat="1" applyFont="1" applyFill="1" applyBorder="1" applyAlignment="1">
      <alignment horizontal="center" vertical="center" wrapText="1"/>
    </xf>
    <xf numFmtId="0" fontId="8" fillId="0" borderId="16" xfId="0" applyNumberFormat="1" applyFont="1" applyFill="1" applyBorder="1" applyAlignment="1">
      <alignment horizontal="center" vertical="center" wrapText="1"/>
    </xf>
    <xf numFmtId="0" fontId="12" fillId="0" borderId="8" xfId="0" applyNumberFormat="1" applyFont="1" applyFill="1" applyBorder="1" applyAlignment="1">
      <alignment horizontal="left" vertical="center" wrapText="1"/>
    </xf>
    <xf numFmtId="0" fontId="8" fillId="0" borderId="10" xfId="0" applyNumberFormat="1" applyFont="1" applyFill="1" applyBorder="1" applyAlignment="1">
      <alignment horizontal="center" vertical="center" wrapText="1"/>
    </xf>
    <xf numFmtId="0" fontId="13" fillId="0" borderId="8" xfId="0" applyNumberFormat="1" applyFont="1" applyFill="1" applyBorder="1" applyAlignment="1">
      <alignment horizontal="left" vertical="center" wrapText="1"/>
    </xf>
    <xf numFmtId="0" fontId="12" fillId="0" borderId="5" xfId="0" applyNumberFormat="1" applyFont="1" applyFill="1" applyBorder="1" applyAlignment="1">
      <alignment horizontal="left" vertical="center" wrapText="1"/>
    </xf>
    <xf numFmtId="0" fontId="12" fillId="0" borderId="5" xfId="0" applyNumberFormat="1" applyFont="1" applyFill="1" applyBorder="1" applyAlignment="1">
      <alignment horizontal="center" vertical="center" wrapText="1"/>
    </xf>
    <xf numFmtId="9" fontId="3" fillId="0" borderId="5"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xf>
    <xf numFmtId="0" fontId="3" fillId="0" borderId="8" xfId="0" applyNumberFormat="1" applyFont="1" applyFill="1" applyBorder="1" applyAlignment="1">
      <alignment vertical="center"/>
    </xf>
    <xf numFmtId="0" fontId="12" fillId="0" borderId="10" xfId="0" applyNumberFormat="1" applyFont="1" applyFill="1" applyBorder="1" applyAlignment="1">
      <alignment horizontal="left" vertical="center" wrapText="1"/>
    </xf>
    <xf numFmtId="0" fontId="12" fillId="0" borderId="10" xfId="0" applyNumberFormat="1" applyFont="1" applyFill="1" applyBorder="1" applyAlignment="1">
      <alignment horizontal="center" vertical="center" wrapText="1"/>
    </xf>
    <xf numFmtId="9" fontId="3" fillId="0" borderId="10" xfId="0" applyNumberFormat="1" applyFont="1" applyFill="1" applyBorder="1" applyAlignment="1">
      <alignment horizontal="center" vertical="center" wrapText="1"/>
    </xf>
    <xf numFmtId="177" fontId="3" fillId="0" borderId="10" xfId="0" applyNumberFormat="1" applyFont="1" applyFill="1" applyBorder="1" applyAlignment="1">
      <alignment horizontal="center" vertical="center"/>
    </xf>
    <xf numFmtId="0" fontId="3" fillId="0" borderId="8" xfId="0" applyNumberFormat="1" applyFont="1" applyFill="1" applyBorder="1" applyAlignment="1">
      <alignment horizontal="left" vertical="center"/>
    </xf>
    <xf numFmtId="9" fontId="3" fillId="0" borderId="8" xfId="0" applyNumberFormat="1" applyFont="1" applyFill="1" applyBorder="1" applyAlignment="1">
      <alignment horizontal="right" vertical="center"/>
    </xf>
    <xf numFmtId="0" fontId="10" fillId="0" borderId="0" xfId="0" applyNumberFormat="1" applyFont="1" applyFill="1" applyAlignment="1">
      <alignment vertical="center"/>
    </xf>
    <xf numFmtId="0" fontId="3" fillId="0" borderId="0" xfId="0" applyNumberFormat="1" applyFont="1" applyFill="1" applyAlignment="1">
      <alignment vertical="center" wrapText="1"/>
    </xf>
    <xf numFmtId="0" fontId="1" fillId="0" borderId="0" xfId="0" applyNumberFormat="1" applyFont="1" applyAlignment="1">
      <alignment vertical="center" wrapText="1"/>
    </xf>
    <xf numFmtId="0" fontId="1" fillId="0" borderId="0" xfId="0" applyNumberFormat="1" applyFont="1" applyAlignment="1">
      <alignment horizontal="center" vertical="center" wrapText="1"/>
    </xf>
    <xf numFmtId="0" fontId="5" fillId="0" borderId="2" xfId="0" applyNumberFormat="1" applyFont="1" applyBorder="1" applyAlignment="1">
      <alignment horizontal="center" vertical="center"/>
    </xf>
    <xf numFmtId="0" fontId="5" fillId="0" borderId="3" xfId="0" applyNumberFormat="1" applyFont="1" applyBorder="1" applyAlignment="1">
      <alignment horizontal="center" vertical="center"/>
    </xf>
    <xf numFmtId="0" fontId="5" fillId="0" borderId="1" xfId="0" applyNumberFormat="1" applyFont="1" applyBorder="1" applyAlignment="1">
      <alignment vertical="center" wrapText="1"/>
    </xf>
    <xf numFmtId="176" fontId="2" fillId="0" borderId="10" xfId="0" applyFont="1" applyBorder="1" applyAlignment="1">
      <alignment horizontal="center" vertical="center" wrapText="1"/>
    </xf>
    <xf numFmtId="176" fontId="4" fillId="0" borderId="10" xfId="0" applyFont="1" applyBorder="1" applyAlignment="1">
      <alignment horizontal="left" vertical="center"/>
    </xf>
    <xf numFmtId="49" fontId="5" fillId="0" borderId="10" xfId="0" applyNumberFormat="1" applyFont="1" applyBorder="1" applyAlignment="1">
      <alignment horizontal="center" vertical="center" wrapText="1"/>
    </xf>
    <xf numFmtId="176" fontId="5" fillId="0" borderId="10" xfId="0" applyFont="1" applyBorder="1" applyAlignment="1">
      <alignment horizontal="center" vertical="center" wrapText="1"/>
    </xf>
    <xf numFmtId="176" fontId="5" fillId="0" borderId="10" xfId="0" applyFont="1" applyBorder="1" applyAlignment="1">
      <alignment horizontal="center" vertical="center"/>
    </xf>
    <xf numFmtId="0" fontId="5" fillId="0" borderId="20" xfId="0" applyNumberFormat="1" applyFont="1" applyBorder="1" applyAlignment="1">
      <alignment horizontal="center" vertical="center" wrapText="1"/>
    </xf>
    <xf numFmtId="176" fontId="5" fillId="0" borderId="8" xfId="0" applyFont="1" applyBorder="1" applyAlignment="1">
      <alignment horizontal="center" vertical="center" wrapText="1"/>
    </xf>
    <xf numFmtId="177" fontId="5" fillId="0" borderId="8" xfId="0" applyNumberFormat="1" applyFont="1" applyBorder="1" applyAlignment="1">
      <alignment horizontal="center" vertical="center"/>
    </xf>
    <xf numFmtId="176" fontId="2" fillId="0" borderId="8" xfId="0" applyFont="1" applyBorder="1" applyAlignment="1">
      <alignment horizontal="center" vertical="center" wrapText="1"/>
    </xf>
    <xf numFmtId="176" fontId="4" fillId="0" borderId="8" xfId="0" applyFont="1" applyBorder="1" applyAlignment="1">
      <alignment horizontal="left" vertical="center"/>
    </xf>
    <xf numFmtId="49" fontId="5" fillId="0" borderId="8" xfId="0" applyNumberFormat="1" applyFont="1" applyBorder="1" applyAlignment="1">
      <alignment horizontal="center" vertical="center" wrapText="1"/>
    </xf>
    <xf numFmtId="176" fontId="5" fillId="0" borderId="8" xfId="0" applyFont="1" applyBorder="1" applyAlignment="1">
      <alignment horizontal="center" vertical="center"/>
    </xf>
    <xf numFmtId="176" fontId="5" fillId="0" borderId="5" xfId="0" applyFont="1" applyBorder="1" applyAlignment="1">
      <alignment horizontal="center" vertical="center"/>
    </xf>
    <xf numFmtId="176" fontId="5" fillId="0" borderId="5" xfId="0" applyFont="1" applyBorder="1" applyAlignment="1">
      <alignment horizontal="center" vertical="center" wrapText="1"/>
    </xf>
    <xf numFmtId="176" fontId="5" fillId="3" borderId="21" xfId="0" applyFont="1" applyFill="1" applyBorder="1" applyAlignment="1">
      <alignment horizontal="center" vertical="center"/>
    </xf>
    <xf numFmtId="176" fontId="5" fillId="3" borderId="14" xfId="0" applyFont="1" applyFill="1" applyBorder="1" applyAlignment="1">
      <alignment horizontal="center" vertical="center"/>
    </xf>
    <xf numFmtId="176" fontId="5" fillId="3" borderId="22" xfId="0" applyFont="1" applyFill="1" applyBorder="1" applyAlignment="1">
      <alignment horizontal="center" vertical="center"/>
    </xf>
    <xf numFmtId="176" fontId="5" fillId="3" borderId="5" xfId="0" applyFont="1" applyFill="1" applyBorder="1" applyAlignment="1">
      <alignment horizontal="center" vertical="center"/>
    </xf>
    <xf numFmtId="9" fontId="5" fillId="3" borderId="8" xfId="0" applyNumberFormat="1" applyFont="1" applyFill="1" applyBorder="1" applyAlignment="1">
      <alignment vertical="center"/>
    </xf>
    <xf numFmtId="176" fontId="5" fillId="3" borderId="8" xfId="0" applyFont="1" applyFill="1" applyBorder="1" applyAlignment="1">
      <alignment vertical="center"/>
    </xf>
    <xf numFmtId="177" fontId="5" fillId="3" borderId="8" xfId="0" applyNumberFormat="1" applyFont="1" applyFill="1" applyBorder="1" applyAlignment="1">
      <alignment horizontal="center" vertical="center"/>
    </xf>
    <xf numFmtId="176" fontId="5" fillId="0" borderId="23" xfId="0" applyFont="1" applyBorder="1" applyAlignment="1">
      <alignment horizontal="center" vertical="center"/>
    </xf>
    <xf numFmtId="176" fontId="4" fillId="0" borderId="10" xfId="0" applyFont="1" applyBorder="1" applyAlignment="1">
      <alignment horizontal="left" vertical="center" wrapText="1"/>
    </xf>
    <xf numFmtId="9" fontId="5" fillId="0" borderId="19" xfId="0" applyNumberFormat="1" applyFont="1" applyBorder="1" applyAlignment="1">
      <alignment horizontal="center" vertical="center"/>
    </xf>
    <xf numFmtId="176" fontId="5" fillId="0" borderId="17" xfId="0" applyFont="1" applyBorder="1" applyAlignment="1">
      <alignment horizontal="center" vertical="center"/>
    </xf>
    <xf numFmtId="176" fontId="4" fillId="0" borderId="8" xfId="0" applyFont="1" applyBorder="1" applyAlignment="1">
      <alignment vertical="center"/>
    </xf>
    <xf numFmtId="176" fontId="5" fillId="0" borderId="24" xfId="0" applyFont="1" applyBorder="1" applyAlignment="1">
      <alignment vertical="center" wrapText="1"/>
    </xf>
    <xf numFmtId="176" fontId="5" fillId="0" borderId="19" xfId="0" applyFont="1" applyBorder="1" applyAlignment="1">
      <alignment horizontal="center" vertical="center" wrapText="1"/>
    </xf>
    <xf numFmtId="176" fontId="5" fillId="0" borderId="1" xfId="0" applyFont="1" applyBorder="1" applyAlignment="1">
      <alignment vertical="center" wrapText="1"/>
    </xf>
    <xf numFmtId="176" fontId="5" fillId="0" borderId="25" xfId="0" applyFont="1" applyBorder="1" applyAlignment="1">
      <alignment vertical="center" wrapText="1"/>
    </xf>
    <xf numFmtId="176" fontId="5" fillId="0" borderId="8" xfId="0" applyFont="1" applyBorder="1" applyAlignment="1">
      <alignment vertical="center" wrapText="1"/>
    </xf>
    <xf numFmtId="176" fontId="5" fillId="0" borderId="10" xfId="0" applyFont="1" applyBorder="1" applyAlignment="1">
      <alignment vertical="center"/>
    </xf>
    <xf numFmtId="176" fontId="5" fillId="3" borderId="8" xfId="0" applyFont="1" applyFill="1" applyBorder="1" applyAlignment="1">
      <alignment horizontal="center" vertical="center"/>
    </xf>
    <xf numFmtId="0" fontId="5" fillId="0" borderId="8" xfId="0" applyNumberFormat="1" applyFont="1" applyBorder="1" applyAlignment="1">
      <alignment vertical="center" wrapText="1"/>
    </xf>
    <xf numFmtId="9" fontId="5" fillId="0" borderId="8" xfId="0" applyNumberFormat="1" applyFont="1" applyBorder="1" applyAlignment="1">
      <alignment horizontal="center" vertical="center"/>
    </xf>
    <xf numFmtId="0" fontId="5" fillId="0" borderId="26" xfId="0" applyNumberFormat="1" applyFont="1" applyBorder="1" applyAlignment="1">
      <alignment vertical="center" wrapText="1"/>
    </xf>
    <xf numFmtId="0" fontId="5" fillId="0" borderId="3" xfId="0" applyNumberFormat="1" applyFont="1" applyBorder="1" applyAlignment="1">
      <alignment horizontal="left" vertical="center" wrapText="1"/>
    </xf>
    <xf numFmtId="0" fontId="5" fillId="0" borderId="8"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3" xfId="0" applyFont="1" applyBorder="1" applyAlignment="1">
      <alignment horizontal="left" vertical="center" wrapText="1"/>
    </xf>
    <xf numFmtId="176" fontId="5" fillId="0" borderId="4" xfId="0" applyFont="1" applyBorder="1" applyAlignment="1">
      <alignment horizontal="left" vertical="center" wrapText="1"/>
    </xf>
    <xf numFmtId="176" fontId="5" fillId="3" borderId="13" xfId="0" applyFont="1" applyFill="1" applyBorder="1" applyAlignment="1">
      <alignment horizontal="center" vertical="center"/>
    </xf>
    <xf numFmtId="176" fontId="5" fillId="3" borderId="15" xfId="0" applyFont="1" applyFill="1" applyBorder="1" applyAlignment="1">
      <alignment horizontal="center" vertical="center"/>
    </xf>
    <xf numFmtId="176" fontId="5" fillId="3" borderId="1" xfId="0" applyFont="1" applyFill="1" applyBorder="1" applyAlignment="1">
      <alignment vertical="center"/>
    </xf>
    <xf numFmtId="176" fontId="5" fillId="0" borderId="1" xfId="0" applyFont="1" applyBorder="1" applyAlignment="1">
      <alignment horizontal="left" vertical="center" wrapText="1"/>
    </xf>
    <xf numFmtId="0" fontId="5" fillId="0" borderId="1" xfId="0" applyNumberFormat="1" applyFont="1" applyBorder="1" applyAlignment="1">
      <alignment vertical="center"/>
    </xf>
    <xf numFmtId="0" fontId="5" fillId="0" borderId="1" xfId="0" applyNumberFormat="1" applyFont="1" applyFill="1" applyBorder="1" applyAlignment="1">
      <alignment vertical="center" wrapText="1"/>
    </xf>
    <xf numFmtId="9" fontId="5" fillId="0" borderId="1" xfId="0" applyNumberFormat="1" applyFont="1" applyFill="1" applyBorder="1" applyAlignment="1" applyProtection="1">
      <alignment horizontal="center" vertical="center" wrapText="1"/>
    </xf>
    <xf numFmtId="0" fontId="5"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14" fillId="0" borderId="1" xfId="0" applyNumberFormat="1" applyFont="1" applyFill="1" applyBorder="1" applyAlignment="1">
      <alignment horizontal="left" vertical="center" wrapText="1"/>
    </xf>
    <xf numFmtId="0" fontId="14" fillId="2" borderId="1" xfId="0" applyNumberFormat="1" applyFont="1" applyFill="1" applyBorder="1" applyAlignment="1">
      <alignment horizontal="center" vertical="center" wrapText="1"/>
    </xf>
    <xf numFmtId="9" fontId="14"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xf>
    <xf numFmtId="177" fontId="15" fillId="0" borderId="1" xfId="0" applyNumberFormat="1" applyFont="1" applyFill="1" applyBorder="1" applyAlignment="1">
      <alignment horizontal="center" vertical="center"/>
    </xf>
    <xf numFmtId="177" fontId="14" fillId="0" borderId="1"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5" fillId="0" borderId="4" xfId="0" applyNumberFormat="1" applyFont="1" applyFill="1" applyBorder="1" applyAlignment="1">
      <alignment horizontal="center" vertical="center" wrapText="1"/>
    </xf>
    <xf numFmtId="0" fontId="5" fillId="0" borderId="1" xfId="0" applyNumberFormat="1" applyFont="1" applyFill="1" applyBorder="1" applyAlignment="1">
      <alignment vertical="top" wrapText="1"/>
    </xf>
    <xf numFmtId="0" fontId="4" fillId="3" borderId="1"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16" fillId="0" borderId="2"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xf>
    <xf numFmtId="9" fontId="14" fillId="0" borderId="2"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7" fillId="0" borderId="3" xfId="0" applyNumberFormat="1" applyFont="1" applyFill="1" applyBorder="1" applyAlignment="1">
      <alignment horizontal="center" vertical="center"/>
    </xf>
    <xf numFmtId="9" fontId="14" fillId="0" borderId="3"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6" fillId="0" borderId="4" xfId="0" applyNumberFormat="1" applyFont="1" applyFill="1" applyBorder="1" applyAlignment="1">
      <alignment horizontal="center" vertical="center" wrapText="1"/>
    </xf>
    <xf numFmtId="0" fontId="17" fillId="0" borderId="4" xfId="0" applyNumberFormat="1" applyFont="1" applyFill="1" applyBorder="1" applyAlignment="1">
      <alignment horizontal="center" vertical="center"/>
    </xf>
    <xf numFmtId="9" fontId="14" fillId="0" borderId="4" xfId="0" applyNumberFormat="1" applyFont="1" applyFill="1" applyBorder="1" applyAlignment="1">
      <alignment horizontal="center" vertical="center" wrapText="1"/>
    </xf>
    <xf numFmtId="0" fontId="14" fillId="0" borderId="4"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xf>
    <xf numFmtId="9" fontId="14" fillId="3" borderId="1" xfId="0" applyNumberFormat="1" applyFont="1" applyFill="1" applyBorder="1" applyAlignment="1">
      <alignment vertical="center"/>
    </xf>
    <xf numFmtId="0" fontId="14" fillId="3" borderId="1" xfId="0" applyNumberFormat="1" applyFont="1" applyFill="1" applyBorder="1" applyAlignment="1">
      <alignment vertical="center"/>
    </xf>
    <xf numFmtId="177" fontId="14" fillId="3" borderId="1" xfId="0" applyNumberFormat="1" applyFont="1" applyFill="1" applyBorder="1" applyAlignment="1">
      <alignment horizontal="center" vertical="center"/>
    </xf>
    <xf numFmtId="0" fontId="16" fillId="0" borderId="1" xfId="0" applyNumberFormat="1" applyFont="1" applyFill="1" applyBorder="1" applyAlignment="1">
      <alignment vertical="center" wrapText="1"/>
    </xf>
    <xf numFmtId="0" fontId="17" fillId="0" borderId="1" xfId="0" applyNumberFormat="1" applyFont="1" applyFill="1" applyBorder="1" applyAlignment="1">
      <alignment vertical="center"/>
    </xf>
    <xf numFmtId="0" fontId="14" fillId="0" borderId="1" xfId="0" applyNumberFormat="1" applyFont="1" applyFill="1" applyBorder="1" applyAlignment="1">
      <alignment vertical="center" wrapText="1"/>
    </xf>
    <xf numFmtId="0" fontId="18" fillId="0" borderId="1" xfId="0" applyNumberFormat="1" applyFont="1" applyFill="1" applyBorder="1" applyAlignment="1">
      <alignment horizontal="left" vertical="center" wrapText="1"/>
    </xf>
    <xf numFmtId="9" fontId="14" fillId="0" borderId="1" xfId="0" applyNumberFormat="1" applyFont="1" applyFill="1" applyBorder="1" applyAlignment="1">
      <alignment horizontal="center" vertical="center"/>
    </xf>
    <xf numFmtId="0" fontId="0" fillId="0" borderId="0" xfId="0" applyNumberFormat="1"/>
    <xf numFmtId="9" fontId="0" fillId="0" borderId="0" xfId="0" applyNumberFormat="1"/>
    <xf numFmtId="49" fontId="0" fillId="0" borderId="0" xfId="0" applyNumberFormat="1"/>
    <xf numFmtId="176" fontId="19" fillId="4" borderId="1" xfId="0" applyFont="1" applyFill="1" applyBorder="1" applyAlignment="1">
      <alignment horizontal="center" vertical="center"/>
    </xf>
    <xf numFmtId="0" fontId="20" fillId="4" borderId="1" xfId="0" applyNumberFormat="1" applyFont="1" applyFill="1" applyBorder="1" applyAlignment="1">
      <alignment horizontal="center" vertical="center"/>
    </xf>
    <xf numFmtId="176" fontId="20" fillId="4" borderId="1" xfId="0" applyFont="1" applyFill="1" applyBorder="1" applyAlignment="1">
      <alignment horizontal="center" vertical="center"/>
    </xf>
    <xf numFmtId="9" fontId="20" fillId="4" borderId="1" xfId="0" applyNumberFormat="1" applyFont="1" applyFill="1" applyBorder="1" applyAlignment="1">
      <alignment horizontal="center" vertical="center"/>
    </xf>
    <xf numFmtId="0" fontId="20" fillId="4" borderId="1" xfId="0" applyNumberFormat="1" applyFont="1" applyFill="1" applyBorder="1" applyAlignment="1">
      <alignment horizontal="center" vertical="center" wrapText="1"/>
    </xf>
    <xf numFmtId="49" fontId="20" fillId="4" borderId="1" xfId="0" applyNumberFormat="1" applyFont="1" applyFill="1" applyBorder="1" applyAlignment="1">
      <alignment horizontal="center" vertical="center" wrapText="1"/>
    </xf>
    <xf numFmtId="176" fontId="20" fillId="4" borderId="1" xfId="0" applyFont="1" applyFill="1" applyBorder="1" applyAlignment="1">
      <alignment horizontal="center" vertical="center" wrapText="1"/>
    </xf>
    <xf numFmtId="0" fontId="21" fillId="0" borderId="1" xfId="0" applyNumberFormat="1" applyFont="1" applyBorder="1" applyAlignment="1">
      <alignment horizontal="center" vertical="center"/>
    </xf>
    <xf numFmtId="176" fontId="21" fillId="0" borderId="2" xfId="0" applyFont="1" applyBorder="1" applyAlignment="1">
      <alignment horizontal="center" vertical="center" wrapText="1"/>
    </xf>
    <xf numFmtId="176" fontId="21" fillId="0" borderId="1" xfId="0" applyFont="1" applyBorder="1" applyAlignment="1">
      <alignment horizontal="center" vertical="center" wrapText="1"/>
    </xf>
    <xf numFmtId="176" fontId="21" fillId="0" borderId="1" xfId="0" applyFont="1" applyBorder="1" applyAlignment="1">
      <alignment vertical="center"/>
    </xf>
    <xf numFmtId="176" fontId="21" fillId="0" borderId="1" xfId="0" applyFont="1" applyBorder="1" applyAlignment="1">
      <alignment horizontal="center" vertical="center"/>
    </xf>
    <xf numFmtId="9" fontId="21" fillId="0" borderId="1" xfId="0" applyNumberFormat="1" applyFont="1" applyBorder="1" applyAlignment="1">
      <alignment horizontal="center" vertical="center"/>
    </xf>
    <xf numFmtId="0" fontId="21" fillId="0" borderId="1" xfId="0" applyNumberFormat="1" applyFont="1" applyBorder="1" applyAlignment="1">
      <alignment horizontal="center" vertical="center" wrapText="1"/>
    </xf>
    <xf numFmtId="0" fontId="21" fillId="0" borderId="1" xfId="0" applyNumberFormat="1" applyFont="1" applyFill="1" applyBorder="1" applyAlignment="1">
      <alignment horizontal="center" vertical="center"/>
    </xf>
    <xf numFmtId="0" fontId="21" fillId="0" borderId="1" xfId="0" applyNumberFormat="1" applyFont="1" applyFill="1" applyBorder="1" applyAlignment="1">
      <alignment horizontal="center" vertical="center" wrapText="1"/>
    </xf>
    <xf numFmtId="176" fontId="21" fillId="0" borderId="1" xfId="0" applyFont="1" applyBorder="1" applyAlignment="1">
      <alignment vertical="center" wrapText="1"/>
    </xf>
    <xf numFmtId="176" fontId="21" fillId="0" borderId="3" xfId="0" applyFont="1" applyBorder="1" applyAlignment="1">
      <alignment horizontal="center" vertical="center"/>
    </xf>
    <xf numFmtId="9" fontId="21" fillId="0" borderId="1" xfId="0" applyNumberFormat="1" applyFont="1" applyFill="1" applyBorder="1" applyAlignment="1" applyProtection="1">
      <alignment horizontal="center" vertical="center"/>
    </xf>
    <xf numFmtId="176" fontId="21" fillId="0" borderId="1" xfId="0" applyFont="1" applyFill="1" applyBorder="1" applyAlignment="1">
      <alignment horizontal="center" vertical="center"/>
    </xf>
    <xf numFmtId="176" fontId="21" fillId="0" borderId="1" xfId="0" applyFont="1" applyFill="1" applyBorder="1" applyAlignment="1">
      <alignment horizontal="center" vertical="center" wrapText="1"/>
    </xf>
    <xf numFmtId="176" fontId="21" fillId="5" borderId="1" xfId="0" applyFont="1" applyFill="1" applyBorder="1" applyAlignment="1">
      <alignment horizontal="center" vertical="center"/>
    </xf>
    <xf numFmtId="9" fontId="21" fillId="0" borderId="1" xfId="0" applyNumberFormat="1" applyFont="1" applyFill="1" applyBorder="1" applyAlignment="1">
      <alignment horizontal="center" vertical="center"/>
    </xf>
    <xf numFmtId="176" fontId="21" fillId="5" borderId="1" xfId="0" applyFont="1" applyFill="1" applyBorder="1" applyAlignment="1">
      <alignment horizontal="center" vertical="center" wrapText="1"/>
    </xf>
    <xf numFmtId="176" fontId="21" fillId="0" borderId="1" xfId="0" applyFont="1" applyFill="1" applyBorder="1" applyAlignment="1">
      <alignment vertical="center"/>
    </xf>
    <xf numFmtId="49" fontId="21" fillId="0" borderId="1" xfId="0" applyNumberFormat="1" applyFont="1" applyFill="1" applyBorder="1" applyAlignment="1">
      <alignment horizontal="center" vertical="center" wrapText="1"/>
    </xf>
    <xf numFmtId="176" fontId="22" fillId="5" borderId="1" xfId="0" applyFont="1" applyFill="1" applyBorder="1" applyAlignment="1">
      <alignment horizontal="center" vertical="center"/>
    </xf>
    <xf numFmtId="0" fontId="21" fillId="0" borderId="27" xfId="0" applyNumberFormat="1" applyFont="1" applyBorder="1" applyAlignment="1">
      <alignment horizontal="center" vertical="center"/>
    </xf>
    <xf numFmtId="176" fontId="21" fillId="0" borderId="28" xfId="0" applyFont="1" applyBorder="1" applyAlignment="1">
      <alignment horizontal="center" vertical="center"/>
    </xf>
    <xf numFmtId="176" fontId="21" fillId="0" borderId="27" xfId="0" applyFont="1" applyBorder="1" applyAlignment="1">
      <alignment horizontal="center" vertical="center"/>
    </xf>
    <xf numFmtId="176" fontId="21" fillId="4" borderId="27" xfId="0" applyFont="1" applyFill="1" applyBorder="1" applyAlignment="1">
      <alignment horizontal="center" vertical="center"/>
    </xf>
    <xf numFmtId="0" fontId="21" fillId="4" borderId="27" xfId="0" applyNumberFormat="1" applyFont="1" applyFill="1" applyBorder="1" applyAlignment="1">
      <alignment horizontal="center" vertical="center"/>
    </xf>
    <xf numFmtId="176" fontId="21" fillId="4" borderId="27" xfId="0" applyFont="1" applyFill="1" applyBorder="1" applyAlignment="1">
      <alignment horizontal="center" vertical="center" wrapText="1"/>
    </xf>
    <xf numFmtId="9" fontId="21" fillId="4" borderId="27" xfId="0" applyNumberFormat="1" applyFont="1" applyFill="1" applyBorder="1" applyAlignment="1">
      <alignment horizontal="center" vertical="center"/>
    </xf>
    <xf numFmtId="176" fontId="21" fillId="0" borderId="27" xfId="0" applyFont="1" applyBorder="1" applyAlignment="1">
      <alignment horizontal="center" vertical="center" wrapText="1"/>
    </xf>
    <xf numFmtId="0" fontId="21" fillId="0" borderId="4" xfId="0" applyNumberFormat="1" applyFont="1" applyBorder="1" applyAlignment="1">
      <alignment horizontal="center" vertical="center"/>
    </xf>
    <xf numFmtId="176" fontId="21" fillId="0" borderId="3" xfId="0" applyFont="1" applyBorder="1" applyAlignment="1">
      <alignment horizontal="center" vertical="center" wrapText="1"/>
    </xf>
    <xf numFmtId="0" fontId="21" fillId="0" borderId="4" xfId="0" applyNumberFormat="1" applyFont="1" applyFill="1" applyBorder="1" applyAlignment="1">
      <alignment horizontal="center" vertical="center"/>
    </xf>
    <xf numFmtId="176" fontId="21" fillId="0" borderId="4" xfId="0" applyFont="1" applyFill="1" applyBorder="1" applyAlignment="1">
      <alignment vertical="center"/>
    </xf>
    <xf numFmtId="176" fontId="21" fillId="0" borderId="4" xfId="0" applyFont="1" applyFill="1" applyBorder="1" applyAlignment="1">
      <alignment horizontal="center" vertical="center"/>
    </xf>
    <xf numFmtId="9" fontId="21" fillId="0" borderId="4" xfId="0" applyNumberFormat="1" applyFont="1" applyFill="1" applyBorder="1" applyAlignment="1">
      <alignment horizontal="center" vertical="center"/>
    </xf>
    <xf numFmtId="0" fontId="21" fillId="0" borderId="4" xfId="0" applyNumberFormat="1" applyFont="1" applyFill="1" applyBorder="1" applyAlignment="1">
      <alignment horizontal="center" vertical="center" wrapText="1"/>
    </xf>
    <xf numFmtId="176" fontId="23" fillId="0" borderId="4" xfId="0" applyFont="1" applyFill="1" applyBorder="1" applyAlignment="1">
      <alignment vertical="center" wrapText="1"/>
    </xf>
    <xf numFmtId="0" fontId="21" fillId="0" borderId="2" xfId="0" applyNumberFormat="1" applyFont="1" applyFill="1" applyBorder="1" applyAlignment="1">
      <alignment horizontal="center" vertical="center"/>
    </xf>
    <xf numFmtId="0" fontId="21" fillId="0" borderId="2" xfId="0" applyNumberFormat="1" applyFont="1" applyBorder="1" applyAlignment="1">
      <alignment horizontal="center" vertical="center"/>
    </xf>
    <xf numFmtId="176" fontId="21" fillId="0" borderId="2" xfId="0" applyFont="1" applyBorder="1" applyAlignment="1">
      <alignment vertical="center"/>
    </xf>
    <xf numFmtId="176" fontId="21" fillId="0" borderId="2" xfId="0" applyFont="1" applyBorder="1" applyAlignment="1">
      <alignment horizontal="center" vertical="center"/>
    </xf>
    <xf numFmtId="9" fontId="21" fillId="0" borderId="2" xfId="0" applyNumberFormat="1" applyFont="1" applyBorder="1" applyAlignment="1">
      <alignment horizontal="center" vertical="center"/>
    </xf>
    <xf numFmtId="0" fontId="21" fillId="0" borderId="2" xfId="0" applyNumberFormat="1" applyFont="1" applyBorder="1" applyAlignment="1">
      <alignment horizontal="center" vertical="center" wrapText="1"/>
    </xf>
    <xf numFmtId="176" fontId="21" fillId="0" borderId="2" xfId="0" applyFont="1" applyBorder="1" applyAlignment="1">
      <alignment vertical="center" wrapText="1"/>
    </xf>
    <xf numFmtId="176" fontId="21" fillId="0" borderId="2" xfId="0" applyFont="1" applyFill="1" applyBorder="1" applyAlignment="1">
      <alignment horizontal="center" vertical="center"/>
    </xf>
    <xf numFmtId="0" fontId="21" fillId="0" borderId="2" xfId="0" applyNumberFormat="1" applyFont="1" applyFill="1" applyBorder="1" applyAlignment="1">
      <alignment horizontal="center" vertical="center" wrapText="1"/>
    </xf>
    <xf numFmtId="176" fontId="21" fillId="0" borderId="28" xfId="0" applyFont="1" applyBorder="1" applyAlignment="1">
      <alignment horizontal="center" vertical="center" wrapText="1"/>
    </xf>
    <xf numFmtId="176" fontId="21" fillId="0" borderId="4" xfId="0" applyFont="1" applyBorder="1" applyAlignment="1">
      <alignment horizontal="center" vertical="center" wrapText="1"/>
    </xf>
    <xf numFmtId="176" fontId="21" fillId="0" borderId="4" xfId="0" applyFont="1" applyBorder="1" applyAlignment="1">
      <alignment vertical="center"/>
    </xf>
    <xf numFmtId="176" fontId="21" fillId="0" borderId="4" xfId="0" applyFont="1" applyFill="1" applyBorder="1" applyAlignment="1">
      <alignment horizontal="center" vertical="center" wrapText="1"/>
    </xf>
    <xf numFmtId="176" fontId="21" fillId="0" borderId="4" xfId="0" applyFont="1" applyFill="1" applyBorder="1" applyAlignment="1">
      <alignment vertical="center" wrapText="1"/>
    </xf>
    <xf numFmtId="176" fontId="23" fillId="0" borderId="1" xfId="0" applyFont="1" applyFill="1" applyBorder="1" applyAlignment="1">
      <alignment vertical="center" wrapText="1"/>
    </xf>
    <xf numFmtId="0" fontId="21" fillId="0" borderId="13" xfId="0" applyNumberFormat="1" applyFont="1" applyFill="1" applyBorder="1" applyAlignment="1">
      <alignment horizontal="center" vertical="center"/>
    </xf>
    <xf numFmtId="0" fontId="21" fillId="0" borderId="15" xfId="0" applyNumberFormat="1" applyFont="1" applyFill="1" applyBorder="1" applyAlignment="1">
      <alignment horizontal="center" vertical="center"/>
    </xf>
    <xf numFmtId="176" fontId="21" fillId="0" borderId="4" xfId="0" applyFont="1" applyBorder="1" applyAlignment="1">
      <alignment horizontal="center" vertical="center"/>
    </xf>
    <xf numFmtId="9" fontId="21" fillId="0" borderId="4" xfId="0" applyNumberFormat="1" applyFont="1" applyBorder="1" applyAlignment="1">
      <alignment horizontal="center" vertical="center"/>
    </xf>
    <xf numFmtId="49" fontId="21" fillId="0" borderId="4" xfId="0" applyNumberFormat="1" applyFont="1" applyFill="1" applyBorder="1" applyAlignment="1">
      <alignment horizontal="center" vertical="center" wrapText="1"/>
    </xf>
    <xf numFmtId="176" fontId="21" fillId="0" borderId="4" xfId="0" applyFont="1" applyBorder="1" applyAlignment="1">
      <alignment vertical="center" wrapText="1"/>
    </xf>
    <xf numFmtId="0" fontId="21" fillId="0" borderId="0" xfId="0" applyNumberFormat="1" applyFont="1" applyAlignment="1">
      <alignment horizontal="center" vertical="center"/>
    </xf>
    <xf numFmtId="176" fontId="21" fillId="0" borderId="0" xfId="0" applyFont="1" applyAlignment="1">
      <alignment horizontal="center" vertical="center"/>
    </xf>
    <xf numFmtId="176" fontId="21" fillId="0" borderId="0" xfId="0" applyFont="1" applyAlignment="1">
      <alignment vertical="center"/>
    </xf>
    <xf numFmtId="0" fontId="21"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xf numFmtId="0" fontId="5" fillId="0" borderId="2"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xwechat_files\wxid_dpubp73711ka12_dee1\msg\file\2026-04\2026.4.05-2026.4.10&#39033;&#30446;&#21608;&#25253;&#27719;&#2463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3"/>
  <sheetViews>
    <sheetView tabSelected="1" zoomScale="70" zoomScaleNormal="70" workbookViewId="0">
      <pane xSplit="5" ySplit="2" topLeftCell="F16" activePane="bottomRight" state="frozen"/>
      <selection/>
      <selection pane="topRight"/>
      <selection pane="bottomLeft"/>
      <selection pane="bottomRight" activeCell="R4" sqref="R4"/>
    </sheetView>
  </sheetViews>
  <sheetFormatPr defaultColWidth="9" defaultRowHeight="13.8"/>
  <cols>
    <col min="1" max="1" width="7.11111111111111" style="260" customWidth="1"/>
    <col min="2" max="2" width="15.4444444444444" customWidth="1"/>
    <col min="3" max="3" width="14.4444444444444" customWidth="1"/>
    <col min="4" max="4" width="21.8888888888889" style="260"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261" customWidth="1"/>
    <col min="11" max="11" width="11.3333333333333" style="260" customWidth="1"/>
    <col min="12" max="12" width="20.6296296296296" customWidth="1"/>
    <col min="13" max="13" width="19.7777777777778" style="260" customWidth="1"/>
    <col min="14" max="14" width="20.1574074074074" style="260" customWidth="1"/>
    <col min="15" max="15" width="21.2685185185185" style="262" hidden="1" customWidth="1"/>
    <col min="16" max="16" width="19.2037037037037" customWidth="1"/>
    <col min="17" max="17" width="16.3518518518519" customWidth="1"/>
    <col min="18" max="18" width="85.2314814814815" customWidth="1"/>
  </cols>
  <sheetData>
    <row r="1" ht="37.5" customHeight="1" spans="1:18">
      <c r="A1" s="263" t="s">
        <v>0</v>
      </c>
      <c r="B1" s="263"/>
      <c r="C1" s="263"/>
      <c r="D1" s="263"/>
      <c r="E1" s="263"/>
      <c r="F1" s="263"/>
      <c r="G1" s="263"/>
      <c r="H1" s="263"/>
      <c r="I1" s="263"/>
      <c r="J1" s="263"/>
      <c r="K1" s="263"/>
      <c r="L1" s="263"/>
      <c r="M1" s="263"/>
      <c r="N1" s="263"/>
      <c r="O1" s="263"/>
      <c r="P1" s="263"/>
      <c r="Q1" s="263"/>
      <c r="R1" s="263"/>
    </row>
    <row r="2" ht="30" customHeight="1" spans="1:18">
      <c r="A2" s="264" t="s">
        <v>1</v>
      </c>
      <c r="B2" s="265" t="s">
        <v>2</v>
      </c>
      <c r="C2" s="265" t="s">
        <v>3</v>
      </c>
      <c r="D2" s="264" t="s">
        <v>4</v>
      </c>
      <c r="E2" s="265" t="s">
        <v>5</v>
      </c>
      <c r="F2" s="265" t="s">
        <v>6</v>
      </c>
      <c r="G2" s="265" t="s">
        <v>7</v>
      </c>
      <c r="H2" s="265" t="s">
        <v>8</v>
      </c>
      <c r="I2" s="265" t="s">
        <v>9</v>
      </c>
      <c r="J2" s="266" t="s">
        <v>10</v>
      </c>
      <c r="K2" s="267" t="s">
        <v>11</v>
      </c>
      <c r="L2" s="265" t="s">
        <v>12</v>
      </c>
      <c r="M2" s="264" t="s">
        <v>13</v>
      </c>
      <c r="N2" s="264" t="s">
        <v>14</v>
      </c>
      <c r="O2" s="268" t="s">
        <v>15</v>
      </c>
      <c r="P2" s="269" t="s">
        <v>16</v>
      </c>
      <c r="Q2" s="265" t="s">
        <v>17</v>
      </c>
      <c r="R2" s="265" t="s">
        <v>18</v>
      </c>
    </row>
    <row r="3" ht="35" customHeight="1" spans="1:18">
      <c r="A3" s="270">
        <v>1</v>
      </c>
      <c r="B3" s="271" t="s">
        <v>19</v>
      </c>
      <c r="C3" s="272" t="s">
        <v>20</v>
      </c>
      <c r="D3" s="270">
        <v>22220901</v>
      </c>
      <c r="E3" s="273" t="s">
        <v>21</v>
      </c>
      <c r="F3" s="274" t="s">
        <v>22</v>
      </c>
      <c r="G3" s="274" t="s">
        <v>23</v>
      </c>
      <c r="H3" s="274" t="s">
        <v>24</v>
      </c>
      <c r="I3" s="274" t="s">
        <v>25</v>
      </c>
      <c r="J3" s="275" t="s">
        <v>26</v>
      </c>
      <c r="K3" s="276" t="s">
        <v>27</v>
      </c>
      <c r="L3" s="274"/>
      <c r="M3" s="277">
        <v>21</v>
      </c>
      <c r="N3" s="277">
        <v>10.75</v>
      </c>
      <c r="O3" s="278" t="str">
        <f>N3-M3&amp;"("&amp;ROUND(((N3-M3)/M3*100),0)&amp;"%)"</f>
        <v>-10.25(-49%)</v>
      </c>
      <c r="P3" s="279"/>
      <c r="Q3" s="273"/>
      <c r="R3" s="274"/>
    </row>
    <row r="4" ht="23" customHeight="1" spans="1:18">
      <c r="A4" s="270">
        <v>2</v>
      </c>
      <c r="B4" s="280"/>
      <c r="C4" s="274"/>
      <c r="D4" s="270">
        <v>22250226</v>
      </c>
      <c r="E4" s="273" t="s">
        <v>28</v>
      </c>
      <c r="F4" s="274" t="s">
        <v>22</v>
      </c>
      <c r="G4" s="274" t="s">
        <v>29</v>
      </c>
      <c r="H4" s="274" t="s">
        <v>30</v>
      </c>
      <c r="I4" s="274" t="s">
        <v>25</v>
      </c>
      <c r="J4" s="281">
        <v>0.92</v>
      </c>
      <c r="K4" s="276" t="s">
        <v>31</v>
      </c>
      <c r="L4" s="274"/>
      <c r="M4" s="277">
        <v>14.75</v>
      </c>
      <c r="N4" s="277">
        <v>16</v>
      </c>
      <c r="O4" s="278" t="str">
        <f t="shared" ref="O4:O6" si="0">ROUND(N4-M4,2)&amp;"("&amp;ROUND(((N4-M4)/M4*100),0)&amp;"%)"</f>
        <v>1.25(8%)</v>
      </c>
      <c r="P4" s="279"/>
      <c r="Q4" s="273"/>
      <c r="R4" s="282" t="s">
        <v>32</v>
      </c>
    </row>
    <row r="5" ht="32" customHeight="1" spans="1:18">
      <c r="A5" s="270">
        <v>3</v>
      </c>
      <c r="B5" s="280"/>
      <c r="C5" s="274"/>
      <c r="D5" s="270">
        <v>22220202</v>
      </c>
      <c r="E5" s="273" t="s">
        <v>33</v>
      </c>
      <c r="F5" s="274" t="s">
        <v>34</v>
      </c>
      <c r="G5" s="272" t="s">
        <v>35</v>
      </c>
      <c r="H5" s="274" t="s">
        <v>24</v>
      </c>
      <c r="I5" s="274" t="s">
        <v>25</v>
      </c>
      <c r="J5" s="275" t="s">
        <v>26</v>
      </c>
      <c r="K5" s="276" t="s">
        <v>31</v>
      </c>
      <c r="L5" s="279"/>
      <c r="M5" s="277">
        <v>0</v>
      </c>
      <c r="N5" s="277">
        <v>0</v>
      </c>
      <c r="O5" s="278">
        <v>0</v>
      </c>
      <c r="P5" s="272"/>
      <c r="Q5" s="273"/>
      <c r="R5" s="283" t="s">
        <v>36</v>
      </c>
    </row>
    <row r="6" ht="23" customHeight="1" spans="1:18">
      <c r="A6" s="270">
        <v>4</v>
      </c>
      <c r="B6" s="280"/>
      <c r="C6" s="274"/>
      <c r="D6" s="270">
        <v>22220701</v>
      </c>
      <c r="E6" s="273" t="s">
        <v>37</v>
      </c>
      <c r="F6" s="274" t="s">
        <v>34</v>
      </c>
      <c r="G6" s="272" t="s">
        <v>35</v>
      </c>
      <c r="H6" s="274" t="s">
        <v>24</v>
      </c>
      <c r="I6" s="274" t="s">
        <v>25</v>
      </c>
      <c r="J6" s="275" t="s">
        <v>26</v>
      </c>
      <c r="K6" s="276" t="s">
        <v>31</v>
      </c>
      <c r="L6" s="279"/>
      <c r="M6" s="277">
        <v>0</v>
      </c>
      <c r="N6" s="277">
        <v>0</v>
      </c>
      <c r="O6" s="278">
        <v>0</v>
      </c>
      <c r="P6" s="272"/>
      <c r="Q6" s="273"/>
      <c r="R6" s="283" t="s">
        <v>38</v>
      </c>
    </row>
    <row r="7" ht="23" customHeight="1" spans="1:18">
      <c r="A7" s="270">
        <v>5</v>
      </c>
      <c r="B7" s="280"/>
      <c r="C7" s="272" t="s">
        <v>39</v>
      </c>
      <c r="D7" s="270">
        <v>22221201</v>
      </c>
      <c r="E7" s="273" t="s">
        <v>40</v>
      </c>
      <c r="F7" s="274" t="s">
        <v>41</v>
      </c>
      <c r="G7" s="272" t="s">
        <v>23</v>
      </c>
      <c r="H7" s="274" t="s">
        <v>24</v>
      </c>
      <c r="I7" s="274" t="s">
        <v>25</v>
      </c>
      <c r="J7" s="275">
        <v>0.99</v>
      </c>
      <c r="K7" s="276" t="s">
        <v>42</v>
      </c>
      <c r="L7" s="274"/>
      <c r="M7" s="277">
        <v>1</v>
      </c>
      <c r="N7" s="277">
        <v>0</v>
      </c>
      <c r="O7" s="278" t="str">
        <f t="shared" ref="O7:O15" si="1">N7-M7&amp;"("&amp;ROUND(((N7-M7)/M7*100),0)&amp;"%)"</f>
        <v>-1(-100%)</v>
      </c>
      <c r="P7" s="279"/>
      <c r="Q7" s="273"/>
      <c r="R7" s="282"/>
    </row>
    <row r="8" ht="23" customHeight="1" spans="1:18">
      <c r="A8" s="270">
        <v>6</v>
      </c>
      <c r="B8" s="280"/>
      <c r="C8" s="274"/>
      <c r="D8" s="270">
        <v>22250314</v>
      </c>
      <c r="E8" s="273" t="s">
        <v>43</v>
      </c>
      <c r="F8" s="274" t="s">
        <v>44</v>
      </c>
      <c r="G8" s="274" t="s">
        <v>29</v>
      </c>
      <c r="H8" s="274" t="s">
        <v>30</v>
      </c>
      <c r="I8" s="284" t="s">
        <v>45</v>
      </c>
      <c r="J8" s="285">
        <v>0.95</v>
      </c>
      <c r="K8" s="276" t="s">
        <v>46</v>
      </c>
      <c r="L8" s="274"/>
      <c r="M8" s="277">
        <v>6</v>
      </c>
      <c r="N8" s="277">
        <v>5</v>
      </c>
      <c r="O8" s="278" t="str">
        <f t="shared" si="1"/>
        <v>-1(-17%)</v>
      </c>
      <c r="P8" s="286" t="s">
        <v>47</v>
      </c>
      <c r="Q8" s="273"/>
      <c r="R8" s="282" t="s">
        <v>48</v>
      </c>
    </row>
    <row r="9" ht="23" customHeight="1" spans="1:18">
      <c r="A9" s="270">
        <v>7</v>
      </c>
      <c r="B9" s="280"/>
      <c r="C9" s="274"/>
      <c r="D9" s="277" t="s">
        <v>49</v>
      </c>
      <c r="E9" s="287" t="s">
        <v>50</v>
      </c>
      <c r="F9" s="282" t="s">
        <v>51</v>
      </c>
      <c r="G9" s="282" t="s">
        <v>29</v>
      </c>
      <c r="H9" s="282" t="s">
        <v>52</v>
      </c>
      <c r="I9" s="282" t="s">
        <v>25</v>
      </c>
      <c r="J9" s="275" t="s">
        <v>26</v>
      </c>
      <c r="K9" s="278" t="s">
        <v>46</v>
      </c>
      <c r="L9" s="282"/>
      <c r="M9" s="277">
        <v>8</v>
      </c>
      <c r="N9" s="277">
        <v>8</v>
      </c>
      <c r="O9" s="278" t="str">
        <f t="shared" si="1"/>
        <v>0(0%)</v>
      </c>
      <c r="P9" s="279"/>
      <c r="Q9" s="273"/>
      <c r="R9" s="282" t="s">
        <v>53</v>
      </c>
    </row>
    <row r="10" ht="23" customHeight="1" spans="1:18">
      <c r="A10" s="270">
        <v>8</v>
      </c>
      <c r="B10" s="280"/>
      <c r="C10" s="274"/>
      <c r="D10" s="277">
        <v>23260410</v>
      </c>
      <c r="E10" s="287" t="s">
        <v>54</v>
      </c>
      <c r="F10" s="282" t="s">
        <v>55</v>
      </c>
      <c r="G10" s="282" t="s">
        <v>35</v>
      </c>
      <c r="H10" s="274" t="s">
        <v>56</v>
      </c>
      <c r="I10" s="282" t="s">
        <v>25</v>
      </c>
      <c r="J10" s="285"/>
      <c r="K10" s="278" t="s">
        <v>42</v>
      </c>
      <c r="L10" s="282"/>
      <c r="M10" s="277">
        <v>9</v>
      </c>
      <c r="N10" s="277">
        <v>5</v>
      </c>
      <c r="O10" s="277" t="str">
        <f t="shared" si="1"/>
        <v>-4(-44%)</v>
      </c>
      <c r="P10" s="283"/>
      <c r="Q10" s="287"/>
      <c r="R10" s="283" t="s">
        <v>57</v>
      </c>
    </row>
    <row r="11" ht="23" customHeight="1" spans="1:18">
      <c r="A11" s="270">
        <v>9</v>
      </c>
      <c r="B11" s="280"/>
      <c r="C11" s="272" t="s">
        <v>58</v>
      </c>
      <c r="D11" s="277">
        <v>22240822</v>
      </c>
      <c r="E11" s="287" t="s">
        <v>59</v>
      </c>
      <c r="F11" s="282" t="s">
        <v>60</v>
      </c>
      <c r="G11" s="282" t="s">
        <v>29</v>
      </c>
      <c r="H11" s="274" t="s">
        <v>30</v>
      </c>
      <c r="I11" s="282" t="s">
        <v>25</v>
      </c>
      <c r="J11" s="285">
        <v>1</v>
      </c>
      <c r="K11" s="278" t="s">
        <v>31</v>
      </c>
      <c r="L11" s="282"/>
      <c r="M11" s="277">
        <v>7.5</v>
      </c>
      <c r="N11" s="277">
        <v>12.5</v>
      </c>
      <c r="O11" s="278" t="str">
        <f t="shared" si="1"/>
        <v>5(67%)</v>
      </c>
      <c r="P11" s="283"/>
      <c r="Q11" s="287"/>
      <c r="R11" s="282" t="s">
        <v>61</v>
      </c>
    </row>
    <row r="12" ht="23" customHeight="1" spans="1:18">
      <c r="A12" s="270">
        <v>10</v>
      </c>
      <c r="B12" s="280"/>
      <c r="C12" s="274"/>
      <c r="D12" s="277">
        <v>23251211</v>
      </c>
      <c r="E12" s="287" t="s">
        <v>62</v>
      </c>
      <c r="F12" s="282" t="s">
        <v>63</v>
      </c>
      <c r="G12" s="282" t="s">
        <v>29</v>
      </c>
      <c r="H12" s="282" t="s">
        <v>56</v>
      </c>
      <c r="I12" s="282" t="s">
        <v>25</v>
      </c>
      <c r="J12" s="285">
        <v>0.85</v>
      </c>
      <c r="K12" s="278" t="s">
        <v>64</v>
      </c>
      <c r="L12" s="282"/>
      <c r="M12" s="277">
        <v>9</v>
      </c>
      <c r="N12" s="277">
        <v>6</v>
      </c>
      <c r="O12" s="288" t="str">
        <f t="shared" si="1"/>
        <v>-3(-33%)</v>
      </c>
      <c r="P12" s="283"/>
      <c r="Q12" s="287"/>
      <c r="R12" s="282"/>
    </row>
    <row r="13" ht="23" customHeight="1" spans="1:18">
      <c r="A13" s="270">
        <v>11</v>
      </c>
      <c r="B13" s="280"/>
      <c r="C13" s="274"/>
      <c r="D13" s="270">
        <v>121018</v>
      </c>
      <c r="E13" s="273" t="s">
        <v>65</v>
      </c>
      <c r="F13" s="274" t="s">
        <v>66</v>
      </c>
      <c r="G13" s="274" t="s">
        <v>67</v>
      </c>
      <c r="H13" s="274" t="s">
        <v>68</v>
      </c>
      <c r="I13" s="274" t="s">
        <v>25</v>
      </c>
      <c r="J13" s="275" t="s">
        <v>26</v>
      </c>
      <c r="K13" s="276"/>
      <c r="L13" s="274"/>
      <c r="M13" s="277">
        <v>19</v>
      </c>
      <c r="N13" s="277">
        <v>17</v>
      </c>
      <c r="O13" s="288" t="str">
        <f t="shared" si="1"/>
        <v>-2(-11%)</v>
      </c>
      <c r="P13" s="272"/>
      <c r="Q13" s="273"/>
      <c r="R13" s="282"/>
    </row>
    <row r="14" ht="23" customHeight="1" spans="1:18">
      <c r="A14" s="270">
        <v>12</v>
      </c>
      <c r="B14" s="280"/>
      <c r="C14" s="272" t="s">
        <v>69</v>
      </c>
      <c r="D14" s="270">
        <v>222201001</v>
      </c>
      <c r="E14" s="273" t="s">
        <v>70</v>
      </c>
      <c r="F14" s="274" t="s">
        <v>71</v>
      </c>
      <c r="G14" s="272" t="s">
        <v>35</v>
      </c>
      <c r="H14" s="274" t="s">
        <v>24</v>
      </c>
      <c r="I14" s="274" t="s">
        <v>25</v>
      </c>
      <c r="J14" s="275" t="s">
        <v>26</v>
      </c>
      <c r="K14" s="276" t="s">
        <v>31</v>
      </c>
      <c r="L14" s="279"/>
      <c r="M14" s="277">
        <v>0.5</v>
      </c>
      <c r="N14" s="277">
        <v>0.25</v>
      </c>
      <c r="O14" s="288" t="str">
        <f t="shared" si="1"/>
        <v>-0.25(-50%)</v>
      </c>
      <c r="P14" s="272"/>
      <c r="Q14" s="273"/>
      <c r="R14" s="282" t="s">
        <v>72</v>
      </c>
    </row>
    <row r="15" ht="41" customHeight="1" spans="1:18">
      <c r="A15" s="270">
        <v>13</v>
      </c>
      <c r="B15" s="280"/>
      <c r="C15" s="274"/>
      <c r="D15" s="270">
        <v>22220905</v>
      </c>
      <c r="E15" s="273" t="s">
        <v>73</v>
      </c>
      <c r="F15" s="274" t="s">
        <v>71</v>
      </c>
      <c r="G15" s="272" t="s">
        <v>35</v>
      </c>
      <c r="H15" s="274" t="s">
        <v>24</v>
      </c>
      <c r="I15" s="274" t="s">
        <v>25</v>
      </c>
      <c r="J15" s="275" t="s">
        <v>26</v>
      </c>
      <c r="K15" s="276" t="s">
        <v>27</v>
      </c>
      <c r="L15" s="279"/>
      <c r="M15" s="277">
        <v>2</v>
      </c>
      <c r="N15" s="277">
        <v>0.25</v>
      </c>
      <c r="O15" s="288" t="str">
        <f t="shared" si="1"/>
        <v>-1.75(-88%)</v>
      </c>
      <c r="P15" s="279"/>
      <c r="Q15" s="273"/>
      <c r="R15" s="282" t="s">
        <v>74</v>
      </c>
    </row>
    <row r="16" ht="23" customHeight="1" spans="1:18">
      <c r="A16" s="270">
        <v>14</v>
      </c>
      <c r="B16" s="280"/>
      <c r="C16" s="274"/>
      <c r="D16" s="270">
        <v>21250326</v>
      </c>
      <c r="E16" s="273" t="s">
        <v>75</v>
      </c>
      <c r="F16" s="274" t="s">
        <v>71</v>
      </c>
      <c r="G16" s="272" t="s">
        <v>29</v>
      </c>
      <c r="H16" s="274" t="s">
        <v>76</v>
      </c>
      <c r="I16" s="289" t="s">
        <v>77</v>
      </c>
      <c r="J16" s="285">
        <v>0.8</v>
      </c>
      <c r="K16" s="276" t="s">
        <v>78</v>
      </c>
      <c r="L16" s="272"/>
      <c r="M16" s="277">
        <v>11</v>
      </c>
      <c r="N16" s="277">
        <v>9</v>
      </c>
      <c r="O16" s="278" t="str">
        <f t="shared" ref="O15:O23" si="2">N16-M16&amp;"("&amp;ROUND(((N16-M16)/M16*100),0)&amp;"%)"</f>
        <v>-2(-18%)</v>
      </c>
      <c r="P16" s="279"/>
      <c r="Q16" s="273"/>
      <c r="R16" s="284" t="s">
        <v>79</v>
      </c>
    </row>
    <row r="17" ht="23" customHeight="1" spans="1:18">
      <c r="A17" s="270">
        <v>15</v>
      </c>
      <c r="B17" s="280"/>
      <c r="C17" s="274"/>
      <c r="D17" s="270" t="s">
        <v>80</v>
      </c>
      <c r="E17" s="273" t="s">
        <v>81</v>
      </c>
      <c r="F17" s="274" t="s">
        <v>82</v>
      </c>
      <c r="G17" s="272" t="s">
        <v>29</v>
      </c>
      <c r="H17" s="274" t="s">
        <v>83</v>
      </c>
      <c r="I17" s="274" t="s">
        <v>25</v>
      </c>
      <c r="J17" s="285">
        <v>1</v>
      </c>
      <c r="K17" s="276" t="s">
        <v>78</v>
      </c>
      <c r="L17" s="272"/>
      <c r="M17" s="277">
        <v>0</v>
      </c>
      <c r="N17" s="277">
        <v>0</v>
      </c>
      <c r="O17" s="278" t="e">
        <f t="shared" si="2"/>
        <v>#DIV/0!</v>
      </c>
      <c r="P17" s="279"/>
      <c r="Q17" s="273"/>
      <c r="R17" s="274" t="s">
        <v>84</v>
      </c>
    </row>
    <row r="18" ht="23" customHeight="1" spans="1:18">
      <c r="A18" s="270">
        <v>16</v>
      </c>
      <c r="B18" s="280"/>
      <c r="C18" s="272" t="s">
        <v>85</v>
      </c>
      <c r="D18" s="270" t="s">
        <v>86</v>
      </c>
      <c r="E18" s="273" t="s">
        <v>87</v>
      </c>
      <c r="F18" s="274" t="s">
        <v>88</v>
      </c>
      <c r="G18" s="274" t="s">
        <v>29</v>
      </c>
      <c r="H18" s="274" t="s">
        <v>30</v>
      </c>
      <c r="I18" s="274" t="s">
        <v>25</v>
      </c>
      <c r="J18" s="275" t="s">
        <v>26</v>
      </c>
      <c r="K18" s="276"/>
      <c r="L18" s="274"/>
      <c r="M18" s="277">
        <v>5</v>
      </c>
      <c r="N18" s="277">
        <v>5</v>
      </c>
      <c r="O18" s="288" t="str">
        <f t="shared" si="2"/>
        <v>0(0%)</v>
      </c>
      <c r="P18" s="279"/>
      <c r="Q18" s="273"/>
      <c r="R18" s="272" t="s">
        <v>89</v>
      </c>
    </row>
    <row r="19" ht="23" customHeight="1" spans="1:18">
      <c r="A19" s="270">
        <v>17</v>
      </c>
      <c r="B19" s="280"/>
      <c r="C19" s="274"/>
      <c r="D19" s="277"/>
      <c r="E19" s="273" t="s">
        <v>90</v>
      </c>
      <c r="F19" s="274" t="s">
        <v>88</v>
      </c>
      <c r="G19" s="274" t="s">
        <v>29</v>
      </c>
      <c r="H19" s="282" t="s">
        <v>52</v>
      </c>
      <c r="I19" s="274" t="s">
        <v>25</v>
      </c>
      <c r="J19" s="275" t="s">
        <v>26</v>
      </c>
      <c r="K19" s="276"/>
      <c r="L19" s="274"/>
      <c r="M19" s="277">
        <v>5</v>
      </c>
      <c r="N19" s="277">
        <v>6.5</v>
      </c>
      <c r="O19" s="288" t="str">
        <f t="shared" si="2"/>
        <v>1.5(30%)</v>
      </c>
      <c r="P19" s="279"/>
      <c r="Q19" s="273"/>
      <c r="R19" s="283"/>
    </row>
    <row r="20" ht="23" customHeight="1" spans="1:18">
      <c r="A20" s="270">
        <v>18</v>
      </c>
      <c r="B20" s="280"/>
      <c r="C20" s="272" t="s">
        <v>91</v>
      </c>
      <c r="D20" s="270" t="s">
        <v>92</v>
      </c>
      <c r="E20" s="273" t="s">
        <v>93</v>
      </c>
      <c r="F20" s="274" t="s">
        <v>94</v>
      </c>
      <c r="G20" s="274" t="s">
        <v>29</v>
      </c>
      <c r="H20" s="282" t="s">
        <v>52</v>
      </c>
      <c r="I20" s="274" t="s">
        <v>25</v>
      </c>
      <c r="J20" s="275" t="s">
        <v>26</v>
      </c>
      <c r="K20" s="276"/>
      <c r="L20" s="274"/>
      <c r="M20" s="277">
        <v>18</v>
      </c>
      <c r="N20" s="277">
        <v>16</v>
      </c>
      <c r="O20" s="288" t="str">
        <f t="shared" si="2"/>
        <v>-2(-11%)</v>
      </c>
      <c r="P20" s="283"/>
      <c r="Q20" s="287"/>
      <c r="R20" s="282"/>
    </row>
    <row r="21" ht="23" customHeight="1" spans="1:18">
      <c r="A21" s="270">
        <v>19</v>
      </c>
      <c r="B21" s="280"/>
      <c r="C21" s="274"/>
      <c r="D21" s="270"/>
      <c r="E21" s="273" t="s">
        <v>95</v>
      </c>
      <c r="F21" s="274" t="s">
        <v>44</v>
      </c>
      <c r="G21" s="274" t="s">
        <v>29</v>
      </c>
      <c r="H21" s="282" t="s">
        <v>52</v>
      </c>
      <c r="I21" s="274" t="s">
        <v>25</v>
      </c>
      <c r="J21" s="275" t="s">
        <v>26</v>
      </c>
      <c r="K21" s="276"/>
      <c r="L21" s="274"/>
      <c r="M21" s="277">
        <v>12.75</v>
      </c>
      <c r="N21" s="277">
        <v>8.75</v>
      </c>
      <c r="O21" s="278" t="str">
        <f t="shared" si="2"/>
        <v>-4(-31%)</v>
      </c>
      <c r="P21" s="283"/>
      <c r="Q21" s="287"/>
      <c r="R21" s="282" t="s">
        <v>96</v>
      </c>
    </row>
    <row r="22" ht="23" customHeight="1" spans="1:18">
      <c r="A22" s="270">
        <v>20</v>
      </c>
      <c r="B22" s="280"/>
      <c r="C22" s="274"/>
      <c r="D22" s="270"/>
      <c r="E22" s="273" t="s">
        <v>97</v>
      </c>
      <c r="F22" s="274" t="s">
        <v>55</v>
      </c>
      <c r="G22" s="274" t="s">
        <v>29</v>
      </c>
      <c r="H22" s="282" t="s">
        <v>52</v>
      </c>
      <c r="I22" s="274" t="s">
        <v>25</v>
      </c>
      <c r="J22" s="275" t="s">
        <v>26</v>
      </c>
      <c r="K22" s="276"/>
      <c r="L22" s="272"/>
      <c r="M22" s="277">
        <v>17.5</v>
      </c>
      <c r="N22" s="277">
        <v>11.5</v>
      </c>
      <c r="O22" s="278" t="str">
        <f t="shared" si="2"/>
        <v>-6(-34%)</v>
      </c>
      <c r="P22" s="279"/>
      <c r="Q22" s="273"/>
      <c r="R22" s="282"/>
    </row>
    <row r="23" ht="23" customHeight="1" spans="1:18">
      <c r="A23" s="270">
        <v>21</v>
      </c>
      <c r="B23" s="280"/>
      <c r="C23" s="274"/>
      <c r="D23" s="270"/>
      <c r="E23" s="273" t="s">
        <v>98</v>
      </c>
      <c r="F23" s="274" t="s">
        <v>63</v>
      </c>
      <c r="G23" s="274" t="s">
        <v>29</v>
      </c>
      <c r="H23" s="282" t="s">
        <v>52</v>
      </c>
      <c r="I23" s="274" t="s">
        <v>25</v>
      </c>
      <c r="J23" s="275" t="s">
        <v>26</v>
      </c>
      <c r="K23" s="276"/>
      <c r="L23" s="272"/>
      <c r="M23" s="277">
        <v>30.5</v>
      </c>
      <c r="N23" s="277">
        <v>16.5</v>
      </c>
      <c r="O23" s="278" t="str">
        <f t="shared" si="2"/>
        <v>-14(-46%)</v>
      </c>
      <c r="P23" s="279"/>
      <c r="Q23" s="273"/>
      <c r="R23" s="282"/>
    </row>
    <row r="24" ht="38.25" customHeight="1" spans="1:18">
      <c r="A24" s="290"/>
      <c r="B24" s="291"/>
      <c r="C24" s="292"/>
      <c r="D24" s="292"/>
      <c r="E24" s="292"/>
      <c r="F24" s="292"/>
      <c r="G24" s="292"/>
      <c r="H24" s="293"/>
      <c r="I24" s="293"/>
      <c r="J24" s="294"/>
      <c r="K24" s="294"/>
      <c r="L24" s="293" t="s">
        <v>99</v>
      </c>
      <c r="M24" s="294">
        <f>SUM(M3:M23)</f>
        <v>197.5</v>
      </c>
      <c r="N24" s="294">
        <f>SUM(N3:N23)</f>
        <v>154</v>
      </c>
      <c r="O24" s="294"/>
      <c r="P24" s="295" t="s">
        <v>100</v>
      </c>
      <c r="Q24" s="296">
        <f>N24/34/4</f>
        <v>1.13235294117647</v>
      </c>
      <c r="R24" s="297"/>
    </row>
    <row r="25" ht="29" customHeight="1" spans="1:18">
      <c r="A25" s="298">
        <v>22</v>
      </c>
      <c r="B25" s="299" t="s">
        <v>101</v>
      </c>
      <c r="C25" s="299" t="s">
        <v>102</v>
      </c>
      <c r="D25" s="300" t="s">
        <v>103</v>
      </c>
      <c r="E25" s="301" t="s">
        <v>104</v>
      </c>
      <c r="F25" s="302" t="s">
        <v>105</v>
      </c>
      <c r="G25" s="302" t="s">
        <v>29</v>
      </c>
      <c r="H25" s="302" t="s">
        <v>106</v>
      </c>
      <c r="I25" s="302" t="s">
        <v>25</v>
      </c>
      <c r="J25" s="303">
        <v>0.5</v>
      </c>
      <c r="K25" s="304"/>
      <c r="L25" s="302"/>
      <c r="M25" s="300">
        <v>8</v>
      </c>
      <c r="N25" s="300">
        <v>0</v>
      </c>
      <c r="O25" s="278" t="str">
        <f t="shared" ref="O25:O28" si="3">N25-M25&amp;"("&amp;ROUND(((N25-M25)/M25*100),0)&amp;"%)"</f>
        <v>-8(-100%)</v>
      </c>
      <c r="P25" s="305"/>
      <c r="Q25" s="301"/>
      <c r="R25" s="302"/>
    </row>
    <row r="26" ht="29" customHeight="1" spans="1:18">
      <c r="A26" s="298"/>
      <c r="B26" s="299"/>
      <c r="C26" s="299"/>
      <c r="D26" s="300"/>
      <c r="E26" s="301" t="s">
        <v>107</v>
      </c>
      <c r="F26" s="302" t="s">
        <v>108</v>
      </c>
      <c r="G26" s="302" t="s">
        <v>109</v>
      </c>
      <c r="H26" s="274" t="s">
        <v>76</v>
      </c>
      <c r="I26" s="302" t="s">
        <v>25</v>
      </c>
      <c r="J26" s="303" t="s">
        <v>23</v>
      </c>
      <c r="K26" s="304"/>
      <c r="L26" s="302"/>
      <c r="M26" s="277">
        <v>1.5</v>
      </c>
      <c r="N26" s="277">
        <v>1.5</v>
      </c>
      <c r="O26" s="278" t="str">
        <f t="shared" si="3"/>
        <v>0(0%)</v>
      </c>
      <c r="P26" s="305"/>
      <c r="Q26" s="301"/>
      <c r="R26" s="302" t="s">
        <v>110</v>
      </c>
    </row>
    <row r="27" ht="25" customHeight="1" spans="1:18">
      <c r="A27" s="270">
        <v>23</v>
      </c>
      <c r="B27" s="299"/>
      <c r="C27" s="299"/>
      <c r="D27" s="270"/>
      <c r="E27" s="273" t="s">
        <v>111</v>
      </c>
      <c r="F27" s="274" t="s">
        <v>112</v>
      </c>
      <c r="G27" s="302" t="s">
        <v>109</v>
      </c>
      <c r="H27" s="274" t="s">
        <v>106</v>
      </c>
      <c r="I27" s="274" t="s">
        <v>25</v>
      </c>
      <c r="J27" s="275"/>
      <c r="K27" s="276"/>
      <c r="L27" s="272"/>
      <c r="M27" s="306">
        <v>25.5</v>
      </c>
      <c r="N27" s="306">
        <v>21</v>
      </c>
      <c r="O27" s="278" t="str">
        <f t="shared" si="3"/>
        <v>-4.5(-18%)</v>
      </c>
      <c r="P27" s="279"/>
      <c r="Q27" s="273"/>
      <c r="R27" s="282"/>
    </row>
    <row r="28" ht="25" customHeight="1" spans="1:18">
      <c r="A28" s="307"/>
      <c r="B28" s="299"/>
      <c r="C28" s="299"/>
      <c r="D28" s="307"/>
      <c r="E28" s="308" t="s">
        <v>113</v>
      </c>
      <c r="F28" s="274" t="s">
        <v>112</v>
      </c>
      <c r="G28" s="302" t="s">
        <v>109</v>
      </c>
      <c r="H28" s="309" t="s">
        <v>106</v>
      </c>
      <c r="I28" s="309" t="s">
        <v>25</v>
      </c>
      <c r="J28" s="310"/>
      <c r="K28" s="311"/>
      <c r="L28" s="271"/>
      <c r="M28" s="306">
        <v>7</v>
      </c>
      <c r="N28" s="306">
        <v>7</v>
      </c>
      <c r="O28" s="278" t="str">
        <f t="shared" si="3"/>
        <v>0(0%)</v>
      </c>
      <c r="P28" s="312"/>
      <c r="Q28" s="308"/>
      <c r="R28" s="313"/>
    </row>
    <row r="29" ht="25" customHeight="1" spans="1:18">
      <c r="A29" s="307"/>
      <c r="B29" s="299"/>
      <c r="C29" s="299"/>
      <c r="D29" s="270">
        <v>22220901</v>
      </c>
      <c r="E29" s="273" t="s">
        <v>114</v>
      </c>
      <c r="F29" s="274" t="s">
        <v>22</v>
      </c>
      <c r="G29" s="274" t="s">
        <v>23</v>
      </c>
      <c r="H29" s="274" t="s">
        <v>24</v>
      </c>
      <c r="I29" s="274" t="s">
        <v>25</v>
      </c>
      <c r="J29" s="310"/>
      <c r="K29" s="311"/>
      <c r="L29" s="271"/>
      <c r="M29" s="306"/>
      <c r="N29" s="306">
        <v>8.5</v>
      </c>
      <c r="O29" s="314">
        <v>8.5</v>
      </c>
      <c r="P29" s="312"/>
      <c r="Q29" s="308"/>
      <c r="R29" s="313"/>
    </row>
    <row r="30" ht="41" customHeight="1" spans="1:18">
      <c r="A30" s="290"/>
      <c r="B30" s="315"/>
      <c r="C30" s="292"/>
      <c r="D30" s="292"/>
      <c r="E30" s="292"/>
      <c r="F30" s="292"/>
      <c r="G30" s="292"/>
      <c r="H30" s="293"/>
      <c r="I30" s="293"/>
      <c r="J30" s="294"/>
      <c r="K30" s="294"/>
      <c r="L30" s="293" t="s">
        <v>99</v>
      </c>
      <c r="M30" s="294">
        <f>SUM(M25:M28)</f>
        <v>42</v>
      </c>
      <c r="N30" s="294">
        <f>SUM(N25:N29)</f>
        <v>38</v>
      </c>
      <c r="O30" s="294"/>
      <c r="P30" s="295" t="s">
        <v>100</v>
      </c>
      <c r="Q30" s="296">
        <f>N30/10/4</f>
        <v>0.95</v>
      </c>
      <c r="R30" s="297"/>
    </row>
    <row r="31" ht="23" customHeight="1" spans="1:18">
      <c r="A31" s="298">
        <v>24</v>
      </c>
      <c r="B31" s="299" t="s">
        <v>115</v>
      </c>
      <c r="C31" s="316" t="s">
        <v>102</v>
      </c>
      <c r="D31" s="300" t="s">
        <v>116</v>
      </c>
      <c r="E31" s="317" t="s">
        <v>117</v>
      </c>
      <c r="F31" s="302" t="s">
        <v>118</v>
      </c>
      <c r="G31" s="318" t="s">
        <v>29</v>
      </c>
      <c r="H31" s="302" t="s">
        <v>76</v>
      </c>
      <c r="I31" s="302" t="s">
        <v>25</v>
      </c>
      <c r="J31" s="303">
        <v>0.95</v>
      </c>
      <c r="K31" s="304" t="s">
        <v>31</v>
      </c>
      <c r="L31" s="302"/>
      <c r="M31" s="300">
        <v>25</v>
      </c>
      <c r="N31" s="300">
        <v>16.75</v>
      </c>
      <c r="O31" s="304" t="str">
        <f>ROUND(N31-M31,2)&amp;"("&amp;ROUND(((N31-M31)/M31)*100,0)&amp;"%)"</f>
        <v>-8.25(-33%)</v>
      </c>
      <c r="P31" s="319"/>
      <c r="Q31" s="301"/>
      <c r="R31" s="302"/>
    </row>
    <row r="32" ht="23" customHeight="1" spans="1:18">
      <c r="A32" s="298">
        <v>25</v>
      </c>
      <c r="B32" s="299"/>
      <c r="C32" s="272"/>
      <c r="D32" s="270">
        <v>21250418</v>
      </c>
      <c r="E32" s="287" t="s">
        <v>119</v>
      </c>
      <c r="F32" s="274" t="s">
        <v>120</v>
      </c>
      <c r="G32" s="274" t="s">
        <v>29</v>
      </c>
      <c r="H32" s="274" t="s">
        <v>83</v>
      </c>
      <c r="I32" s="274" t="s">
        <v>25</v>
      </c>
      <c r="J32" s="275" t="s">
        <v>26</v>
      </c>
      <c r="K32" s="270" t="s">
        <v>78</v>
      </c>
      <c r="L32" s="282"/>
      <c r="M32" s="277">
        <v>13</v>
      </c>
      <c r="N32" s="277">
        <v>9.75</v>
      </c>
      <c r="O32" s="304" t="str">
        <f>ROUND(N32-M32,2)&amp;"("&amp;ROUND(((N32-M32)/M32)*100,0)&amp;"%)"</f>
        <v>-3.25(-25%)</v>
      </c>
      <c r="P32" s="320"/>
      <c r="Q32" s="287"/>
      <c r="R32" s="283"/>
    </row>
    <row r="33" ht="23" customHeight="1" spans="1:18">
      <c r="A33" s="298">
        <v>26</v>
      </c>
      <c r="B33" s="299"/>
      <c r="C33" s="272"/>
      <c r="D33" s="277" t="s">
        <v>121</v>
      </c>
      <c r="E33" s="273" t="s">
        <v>122</v>
      </c>
      <c r="F33" s="282" t="s">
        <v>120</v>
      </c>
      <c r="G33" s="283" t="s">
        <v>29</v>
      </c>
      <c r="H33" s="282" t="s">
        <v>76</v>
      </c>
      <c r="I33" s="282" t="s">
        <v>25</v>
      </c>
      <c r="J33" s="285">
        <v>0.95</v>
      </c>
      <c r="K33" s="278" t="s">
        <v>31</v>
      </c>
      <c r="L33" s="282"/>
      <c r="M33" s="277">
        <v>0</v>
      </c>
      <c r="N33" s="277"/>
      <c r="O33" s="304" t="e">
        <f>ROUND(N33-M33,2)&amp;"("&amp;ROUND(((N33-M33)/M33)*100,0)&amp;"%)"</f>
        <v>#DIV/0!</v>
      </c>
      <c r="P33" s="320"/>
      <c r="Q33" s="287"/>
      <c r="R33" s="283"/>
    </row>
    <row r="34" ht="23" customHeight="1" spans="1:18">
      <c r="A34" s="298">
        <v>27</v>
      </c>
      <c r="B34" s="299"/>
      <c r="C34" s="272"/>
      <c r="D34" s="277" t="s">
        <v>123</v>
      </c>
      <c r="E34" s="287" t="s">
        <v>124</v>
      </c>
      <c r="F34" s="282" t="s">
        <v>120</v>
      </c>
      <c r="G34" s="283" t="s">
        <v>29</v>
      </c>
      <c r="H34" s="282" t="s">
        <v>30</v>
      </c>
      <c r="I34" s="282" t="s">
        <v>25</v>
      </c>
      <c r="J34" s="285">
        <v>0.95</v>
      </c>
      <c r="K34" s="278"/>
      <c r="L34" s="282"/>
      <c r="M34" s="277">
        <v>15</v>
      </c>
      <c r="N34" s="277">
        <v>14</v>
      </c>
      <c r="O34" s="304" t="str">
        <f>ROUND(N34-M34,2)&amp;"("&amp;ROUND(((N34-M34)/M34)*100,0)&amp;"%)"</f>
        <v>-1(-7%)</v>
      </c>
      <c r="P34" s="320"/>
      <c r="Q34" s="287"/>
      <c r="R34" s="283" t="s">
        <v>125</v>
      </c>
    </row>
    <row r="35" ht="23" customHeight="1" spans="1:18">
      <c r="A35" s="298">
        <v>28</v>
      </c>
      <c r="B35" s="299"/>
      <c r="C35" s="272"/>
      <c r="D35" s="270" t="s">
        <v>126</v>
      </c>
      <c r="E35" s="273" t="s">
        <v>127</v>
      </c>
      <c r="F35" s="282" t="s">
        <v>120</v>
      </c>
      <c r="G35" s="274" t="s">
        <v>29</v>
      </c>
      <c r="H35" s="274" t="s">
        <v>24</v>
      </c>
      <c r="I35" s="282" t="s">
        <v>25</v>
      </c>
      <c r="J35" s="285">
        <v>0.3</v>
      </c>
      <c r="K35" s="270" t="s">
        <v>78</v>
      </c>
      <c r="L35" s="273"/>
      <c r="M35" s="270">
        <v>0</v>
      </c>
      <c r="N35" s="270"/>
      <c r="O35" s="304" t="e">
        <f>ROUND(N35-M35,2)&amp;"("&amp;ROUND(((N35-M35)/M35)*100,0)&amp;"%)"</f>
        <v>#DIV/0!</v>
      </c>
      <c r="P35" s="273"/>
      <c r="Q35" s="287"/>
      <c r="R35" s="283"/>
    </row>
    <row r="36" ht="23" customHeight="1" spans="1:18">
      <c r="A36" s="298">
        <v>29</v>
      </c>
      <c r="B36" s="299"/>
      <c r="C36" s="272"/>
      <c r="D36" s="270" t="s">
        <v>128</v>
      </c>
      <c r="E36" s="273" t="s">
        <v>129</v>
      </c>
      <c r="F36" s="274" t="s">
        <v>120</v>
      </c>
      <c r="G36" s="274" t="s">
        <v>29</v>
      </c>
      <c r="H36" s="282" t="s">
        <v>52</v>
      </c>
      <c r="I36" s="274" t="s">
        <v>25</v>
      </c>
      <c r="J36" s="275" t="s">
        <v>130</v>
      </c>
      <c r="K36" s="276" t="s">
        <v>78</v>
      </c>
      <c r="L36" s="272"/>
      <c r="M36" s="270"/>
      <c r="N36" s="270"/>
      <c r="O36" s="304"/>
      <c r="P36" s="279"/>
      <c r="Q36" s="273"/>
      <c r="R36" s="283"/>
    </row>
    <row r="37" ht="23" customHeight="1" spans="1:18">
      <c r="A37" s="298">
        <v>30</v>
      </c>
      <c r="B37" s="299"/>
      <c r="C37" s="272"/>
      <c r="D37" s="270">
        <v>21250417</v>
      </c>
      <c r="E37" s="273" t="s">
        <v>131</v>
      </c>
      <c r="F37" s="274" t="s">
        <v>132</v>
      </c>
      <c r="G37" s="274" t="s">
        <v>29</v>
      </c>
      <c r="H37" s="282" t="s">
        <v>24</v>
      </c>
      <c r="I37" s="274" t="s">
        <v>25</v>
      </c>
      <c r="J37" s="275" t="s">
        <v>26</v>
      </c>
      <c r="K37" s="270" t="s">
        <v>78</v>
      </c>
      <c r="L37" s="273"/>
      <c r="M37" s="270"/>
      <c r="N37" s="270"/>
      <c r="O37" s="304"/>
      <c r="P37" s="273"/>
      <c r="Q37" s="273"/>
      <c r="R37" s="283"/>
    </row>
    <row r="38" ht="23" customHeight="1" spans="1:18">
      <c r="A38" s="298">
        <v>31</v>
      </c>
      <c r="B38" s="299"/>
      <c r="C38" s="272"/>
      <c r="D38" s="270"/>
      <c r="E38" s="287" t="s">
        <v>133</v>
      </c>
      <c r="F38" s="282"/>
      <c r="G38" s="283" t="s">
        <v>35</v>
      </c>
      <c r="H38" s="282" t="s">
        <v>68</v>
      </c>
      <c r="I38" s="274"/>
      <c r="J38" s="275"/>
      <c r="K38" s="276"/>
      <c r="L38" s="272"/>
      <c r="M38" s="270"/>
      <c r="N38" s="270"/>
      <c r="O38" s="304"/>
      <c r="P38" s="279"/>
      <c r="Q38" s="273"/>
      <c r="R38" s="283" t="s">
        <v>134</v>
      </c>
    </row>
    <row r="39" ht="23" customHeight="1" spans="1:18">
      <c r="A39" s="298">
        <v>32</v>
      </c>
      <c r="B39" s="299"/>
      <c r="C39" s="272"/>
      <c r="D39" s="270"/>
      <c r="E39" s="287" t="s">
        <v>135</v>
      </c>
      <c r="F39" s="274"/>
      <c r="G39" s="274" t="s">
        <v>136</v>
      </c>
      <c r="H39" s="274" t="s">
        <v>137</v>
      </c>
      <c r="I39" s="274"/>
      <c r="J39" s="275"/>
      <c r="K39" s="276"/>
      <c r="L39" s="272"/>
      <c r="M39" s="270"/>
      <c r="N39" s="270"/>
      <c r="O39" s="304"/>
      <c r="P39" s="279"/>
      <c r="Q39" s="273"/>
      <c r="R39" s="283"/>
    </row>
    <row r="40" ht="23" customHeight="1" spans="1:18">
      <c r="A40" s="298">
        <v>33</v>
      </c>
      <c r="B40" s="299"/>
      <c r="C40" s="321" t="s">
        <v>92</v>
      </c>
      <c r="D40" s="322"/>
      <c r="E40" s="273" t="s">
        <v>138</v>
      </c>
      <c r="F40" s="274" t="s">
        <v>139</v>
      </c>
      <c r="G40" s="274" t="s">
        <v>29</v>
      </c>
      <c r="H40" s="282"/>
      <c r="I40" s="282"/>
      <c r="J40" s="285"/>
      <c r="K40" s="278"/>
      <c r="L40" s="282"/>
      <c r="M40" s="277"/>
      <c r="N40" s="277"/>
      <c r="O40" s="304"/>
      <c r="P40" s="320"/>
      <c r="Q40" s="287"/>
      <c r="R40" s="283"/>
    </row>
    <row r="41" ht="47" customHeight="1" spans="1:18">
      <c r="A41" s="290"/>
      <c r="B41" s="315"/>
      <c r="C41" s="292"/>
      <c r="D41" s="292"/>
      <c r="E41" s="292"/>
      <c r="F41" s="292"/>
      <c r="G41" s="292"/>
      <c r="H41" s="293"/>
      <c r="I41" s="293"/>
      <c r="J41" s="294"/>
      <c r="K41" s="294"/>
      <c r="L41" s="293" t="s">
        <v>99</v>
      </c>
      <c r="M41" s="294">
        <f>SUM(M31:M40)</f>
        <v>53</v>
      </c>
      <c r="N41" s="294">
        <f>SUM(N31:N40)</f>
        <v>40.5</v>
      </c>
      <c r="O41" s="294"/>
      <c r="P41" s="295" t="s">
        <v>100</v>
      </c>
      <c r="Q41" s="296">
        <f>N41/7/4</f>
        <v>1.44642857142857</v>
      </c>
      <c r="R41" s="297"/>
    </row>
    <row r="42" ht="28" customHeight="1" spans="1:18">
      <c r="A42" s="298">
        <v>34</v>
      </c>
      <c r="B42" s="299" t="s">
        <v>140</v>
      </c>
      <c r="C42" s="323" t="s">
        <v>102</v>
      </c>
      <c r="D42" s="298">
        <v>22210906</v>
      </c>
      <c r="E42" s="317" t="s">
        <v>141</v>
      </c>
      <c r="F42" s="323" t="s">
        <v>60</v>
      </c>
      <c r="G42" s="323" t="s">
        <v>23</v>
      </c>
      <c r="H42" s="323" t="s">
        <v>76</v>
      </c>
      <c r="I42" s="323" t="s">
        <v>25</v>
      </c>
      <c r="J42" s="324" t="s">
        <v>23</v>
      </c>
      <c r="K42" s="298"/>
      <c r="L42" s="323"/>
      <c r="M42" s="300">
        <v>45.5</v>
      </c>
      <c r="N42" s="300">
        <v>38</v>
      </c>
      <c r="O42" s="325" t="str">
        <f>N42-M42&amp;"("&amp;ROUND(((N42-M42)/M42*100),0)&amp;"%)"</f>
        <v>-7.5(-16%)</v>
      </c>
      <c r="P42" s="326"/>
      <c r="Q42" s="317"/>
      <c r="R42" s="316"/>
    </row>
    <row r="43" ht="40" customHeight="1" spans="1:18">
      <c r="A43" s="290"/>
      <c r="B43" s="291"/>
      <c r="C43" s="292"/>
      <c r="D43" s="292"/>
      <c r="E43" s="292"/>
      <c r="F43" s="292"/>
      <c r="G43" s="292"/>
      <c r="H43" s="293"/>
      <c r="I43" s="293"/>
      <c r="J43" s="294"/>
      <c r="K43" s="294"/>
      <c r="L43" s="293" t="s">
        <v>99</v>
      </c>
      <c r="M43" s="294">
        <f>SUM(M42:M42)</f>
        <v>45.5</v>
      </c>
      <c r="N43" s="294">
        <f>SUM(N42)</f>
        <v>38</v>
      </c>
      <c r="O43" s="294"/>
      <c r="P43" s="295" t="s">
        <v>100</v>
      </c>
      <c r="Q43" s="296">
        <f>N43/22/4</f>
        <v>0.431818181818182</v>
      </c>
      <c r="R43" s="297"/>
    </row>
    <row r="44" ht="43.2" customHeight="1" spans="1:18">
      <c r="A44" s="327"/>
      <c r="B44" s="328"/>
      <c r="C44" s="328"/>
      <c r="D44" s="327"/>
      <c r="E44" s="329"/>
      <c r="F44" s="328"/>
    </row>
    <row r="45" ht="43.2" customHeight="1" spans="1:18">
      <c r="A45" s="327"/>
      <c r="B45" s="328"/>
      <c r="C45" s="328"/>
      <c r="D45" s="327"/>
      <c r="E45" s="329"/>
      <c r="F45" s="328"/>
    </row>
    <row r="46" ht="15.6" spans="1:18">
      <c r="A46" s="330"/>
      <c r="B46" s="329"/>
      <c r="C46" s="329"/>
      <c r="D46" s="330"/>
      <c r="E46" s="329"/>
      <c r="F46" s="329"/>
    </row>
    <row r="47" ht="15.6" customHeight="1" spans="1:18">
      <c r="A47" s="330"/>
      <c r="B47" s="329"/>
      <c r="C47" s="329"/>
      <c r="D47" s="330"/>
      <c r="E47" s="329"/>
      <c r="F47" s="329"/>
    </row>
    <row r="48" ht="15.6" spans="1:18">
      <c r="A48" s="330"/>
      <c r="B48" s="329"/>
      <c r="C48" s="329"/>
      <c r="D48" s="330"/>
      <c r="E48" s="329"/>
      <c r="F48" s="329"/>
    </row>
    <row r="49" ht="15.6" spans="1:6">
      <c r="A49" s="330"/>
      <c r="B49" s="329"/>
      <c r="C49" s="329"/>
      <c r="D49" s="330"/>
      <c r="E49" s="329"/>
      <c r="F49" s="329"/>
    </row>
    <row r="50" ht="15.6" spans="1:6">
      <c r="A50" s="330"/>
      <c r="B50" s="329"/>
      <c r="C50" s="329"/>
      <c r="D50" s="330"/>
      <c r="E50" s="329"/>
      <c r="F50" s="329"/>
    </row>
    <row r="51" ht="15.6" spans="1:6">
      <c r="A51" s="330"/>
      <c r="B51" s="329"/>
      <c r="C51" s="329"/>
      <c r="D51" s="330"/>
      <c r="E51" s="329"/>
      <c r="F51" s="329"/>
    </row>
    <row r="52" spans="1:6">
      <c r="A52" s="44"/>
      <c r="B52" s="331"/>
      <c r="C52" s="331"/>
      <c r="D52" s="44"/>
      <c r="E52" s="331"/>
      <c r="F52" s="331"/>
    </row>
    <row r="53" spans="1:6">
      <c r="A53" s="44"/>
      <c r="B53" s="331"/>
      <c r="C53" s="331"/>
      <c r="D53" s="44"/>
      <c r="E53" s="331"/>
      <c r="F53" s="331"/>
    </row>
  </sheetData>
  <mergeCells count="27">
    <mergeCell ref="A1:R1"/>
    <mergeCell ref="C24:G24"/>
    <mergeCell ref="H24:I24"/>
    <mergeCell ref="J24:K24"/>
    <mergeCell ref="C30:G30"/>
    <mergeCell ref="H30:I30"/>
    <mergeCell ref="J30:K30"/>
    <mergeCell ref="C40:D40"/>
    <mergeCell ref="C41:G41"/>
    <mergeCell ref="H41:I41"/>
    <mergeCell ref="J41:K41"/>
    <mergeCell ref="C43:G43"/>
    <mergeCell ref="H43:I43"/>
    <mergeCell ref="J43:K43"/>
    <mergeCell ref="B3:B24"/>
    <mergeCell ref="B25:B30"/>
    <mergeCell ref="B31:B41"/>
    <mergeCell ref="B42:B43"/>
    <mergeCell ref="C3:C6"/>
    <mergeCell ref="C7:C10"/>
    <mergeCell ref="C11:C13"/>
    <mergeCell ref="C14:C17"/>
    <mergeCell ref="C18:C19"/>
    <mergeCell ref="C20:C23"/>
    <mergeCell ref="C25:C27"/>
    <mergeCell ref="C31:C39"/>
    <mergeCell ref="D20:D23"/>
  </mergeCells>
  <dataValidations count="7">
    <dataValidation type="list" allowBlank="1" showInputMessage="1" showErrorMessage="1" sqref="H8 H42 H12:H13">
      <formula1>"售前,立项,需求,开发,发布,实施,验收"</formula1>
    </dataValidation>
    <dataValidation type="list" allowBlank="1" showInputMessage="1" showErrorMessage="1" sqref="H9 H31 H19:H23 H33:H34 H36:H38">
      <formula1>"售前,立项,需求,开发,发布,实施,验收,上线运行,维护"</formula1>
    </dataValidation>
    <dataValidation type="list" allowBlank="1" showInputMessage="1" showErrorMessage="1" sqref="H25 H32 H40">
      <formula1>"售前,立项,需求,设计,开发,发布,实施,验收"</formula1>
    </dataValidation>
    <dataValidation type="list" allowBlank="1" showInputMessage="1" showErrorMessage="1" sqref="H35 H3:H7 H10:H11 H14:H18 H26:H29">
      <formula1>"售前,立项,需求,开发,发布,实施,验收,上线运行"</formula1>
    </dataValidation>
    <dataValidation type="list" allowBlank="1" showInputMessage="1" showErrorMessage="1" sqref="I35">
      <formula1>"长期项目,正常,提前,延迟,严重延迟,暂停"</formula1>
    </dataValidation>
    <dataValidation type="list" allowBlank="1" showInputMessage="1" showErrorMessage="1" sqref="H39">
      <formula1>"售前,立项,需求,设计,开发,发布,实施,验收,挂起,暂停"</formula1>
    </dataValidation>
    <dataValidation type="list" allowBlank="1" showInputMessage="1" showErrorMessage="1" sqref="I42 I3:I23 I25:I29 I31:I34 I36:I40">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8"/>
  <sheetViews>
    <sheetView zoomScale="85" zoomScaleNormal="85" workbookViewId="0">
      <pane ySplit="1" topLeftCell="A23" activePane="bottomLeft" state="frozen"/>
      <selection/>
      <selection pane="bottomLeft" activeCell="H49" sqref="H49"/>
    </sheetView>
  </sheetViews>
  <sheetFormatPr defaultColWidth="9.11111111111111" defaultRowHeight="13.2"/>
  <cols>
    <col min="1" max="1" width="22.7777777777778" style="1" customWidth="1"/>
    <col min="2" max="2" width="10.4444444444444" style="1" customWidth="1"/>
    <col min="3" max="4" width="8.22222222222222" style="1" customWidth="1"/>
    <col min="5" max="5" width="11.6666666666667" style="1" customWidth="1"/>
    <col min="6" max="6" width="15.2222222222222" style="1" customWidth="1"/>
    <col min="7" max="7" width="6" style="1" customWidth="1"/>
    <col min="8" max="8" width="70.4444444444444" style="1" customWidth="1"/>
    <col min="9" max="11" width="8.22222222222222" style="1" customWidth="1"/>
    <col min="12" max="12" width="17.7777777777778" style="2" customWidth="1"/>
    <col min="13" max="16384" width="9.11111111111111" style="1"/>
  </cols>
  <sheetData>
    <row r="1" ht="69.6"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ht="30" spans="1:26">
      <c r="A2" s="3" t="s">
        <v>152</v>
      </c>
      <c r="B2" s="17" t="s">
        <v>22</v>
      </c>
      <c r="C2" s="332" t="s">
        <v>153</v>
      </c>
      <c r="D2" s="13"/>
      <c r="E2" s="30" t="s">
        <v>154</v>
      </c>
      <c r="F2" s="13" t="s">
        <v>76</v>
      </c>
      <c r="G2" s="13">
        <v>1</v>
      </c>
      <c r="H2" s="60" t="s">
        <v>155</v>
      </c>
      <c r="I2" s="15" t="s">
        <v>22</v>
      </c>
      <c r="J2" s="16">
        <v>1</v>
      </c>
      <c r="K2" s="13"/>
      <c r="L2" s="17">
        <v>0.5</v>
      </c>
    </row>
    <row r="3" ht="15.6" spans="1:26">
      <c r="A3" s="3"/>
      <c r="B3" s="17"/>
      <c r="C3" s="13"/>
      <c r="D3" s="13"/>
      <c r="E3" s="30"/>
      <c r="F3" s="13"/>
      <c r="G3" s="13">
        <v>2</v>
      </c>
      <c r="H3" s="60" t="s">
        <v>156</v>
      </c>
      <c r="I3" s="15" t="s">
        <v>22</v>
      </c>
      <c r="J3" s="16">
        <v>1</v>
      </c>
      <c r="K3" s="13"/>
      <c r="L3" s="17">
        <v>0.5</v>
      </c>
    </row>
    <row r="4" ht="15.6" spans="1:26">
      <c r="A4" s="3"/>
      <c r="B4" s="17"/>
      <c r="C4" s="13"/>
      <c r="D4" s="13"/>
      <c r="E4" s="30"/>
      <c r="F4" s="13"/>
      <c r="G4" s="13">
        <v>3</v>
      </c>
      <c r="H4" s="60" t="s">
        <v>157</v>
      </c>
      <c r="I4" s="15" t="s">
        <v>22</v>
      </c>
      <c r="J4" s="16">
        <v>0.1</v>
      </c>
      <c r="K4" s="13"/>
      <c r="L4" s="17">
        <v>0.5</v>
      </c>
    </row>
    <row r="5" ht="30" spans="1:26">
      <c r="A5" s="3"/>
      <c r="B5" s="17"/>
      <c r="C5" s="13"/>
      <c r="D5" s="13"/>
      <c r="E5" s="30"/>
      <c r="F5" s="13"/>
      <c r="G5" s="13">
        <v>4</v>
      </c>
      <c r="H5" s="60" t="s">
        <v>158</v>
      </c>
      <c r="I5" s="15" t="s">
        <v>22</v>
      </c>
      <c r="J5" s="16">
        <v>1</v>
      </c>
      <c r="K5" s="13"/>
      <c r="L5" s="17">
        <v>0.5</v>
      </c>
    </row>
    <row r="6" ht="30" spans="1:26">
      <c r="A6" s="3"/>
      <c r="B6" s="17"/>
      <c r="C6" s="13"/>
      <c r="D6" s="13"/>
      <c r="E6" s="30"/>
      <c r="F6" s="13"/>
      <c r="G6" s="13">
        <v>5</v>
      </c>
      <c r="H6" s="60" t="s">
        <v>159</v>
      </c>
      <c r="I6" s="15" t="s">
        <v>22</v>
      </c>
      <c r="J6" s="16">
        <v>1</v>
      </c>
      <c r="K6" s="13"/>
      <c r="L6" s="17">
        <v>0.5</v>
      </c>
    </row>
    <row r="7" ht="15.6" spans="1:26">
      <c r="A7" s="3"/>
      <c r="B7" s="17"/>
      <c r="C7" s="13"/>
      <c r="D7" s="13"/>
      <c r="E7" s="30"/>
      <c r="F7" s="13"/>
      <c r="G7" s="13">
        <v>6</v>
      </c>
      <c r="H7" s="60" t="s">
        <v>160</v>
      </c>
      <c r="I7" s="15" t="s">
        <v>22</v>
      </c>
      <c r="J7" s="16">
        <v>1</v>
      </c>
      <c r="K7" s="13"/>
      <c r="L7" s="17">
        <v>0.25</v>
      </c>
    </row>
    <row r="8" ht="15.6" spans="1:26">
      <c r="A8" s="3"/>
      <c r="B8" s="17"/>
      <c r="C8" s="13"/>
      <c r="D8" s="13"/>
      <c r="E8" s="30"/>
      <c r="F8" s="13"/>
      <c r="G8" s="13">
        <v>7</v>
      </c>
      <c r="H8" s="60" t="s">
        <v>161</v>
      </c>
      <c r="I8" s="15" t="s">
        <v>22</v>
      </c>
      <c r="J8" s="16">
        <v>1</v>
      </c>
      <c r="K8" s="13"/>
      <c r="L8" s="17">
        <v>1</v>
      </c>
    </row>
    <row r="9" ht="15.6" spans="1:26">
      <c r="A9" s="3"/>
      <c r="B9" s="17"/>
      <c r="C9" s="13"/>
      <c r="D9" s="13"/>
      <c r="E9" s="30"/>
      <c r="F9" s="13"/>
      <c r="G9" s="13">
        <v>8</v>
      </c>
      <c r="H9" s="14" t="s">
        <v>162</v>
      </c>
      <c r="I9" s="13" t="s">
        <v>163</v>
      </c>
      <c r="J9" s="16">
        <v>1</v>
      </c>
      <c r="K9" s="13"/>
      <c r="L9" s="17">
        <v>0.5</v>
      </c>
    </row>
    <row r="10" ht="15.6" spans="1:26">
      <c r="A10" s="3"/>
      <c r="B10" s="17"/>
      <c r="C10" s="13"/>
      <c r="D10" s="13"/>
      <c r="E10" s="30"/>
      <c r="F10" s="13"/>
      <c r="G10" s="13">
        <v>9</v>
      </c>
      <c r="H10" s="14" t="s">
        <v>164</v>
      </c>
      <c r="I10" s="13" t="s">
        <v>165</v>
      </c>
      <c r="J10" s="16">
        <v>1</v>
      </c>
      <c r="K10" s="13"/>
      <c r="L10" s="17">
        <v>0.5</v>
      </c>
    </row>
    <row r="11" ht="30" spans="1:26">
      <c r="A11" s="3"/>
      <c r="B11" s="17"/>
      <c r="C11" s="13"/>
      <c r="D11" s="13"/>
      <c r="E11" s="30"/>
      <c r="F11" s="13"/>
      <c r="G11" s="13">
        <v>10</v>
      </c>
      <c r="H11" s="14" t="s">
        <v>166</v>
      </c>
      <c r="I11" s="13" t="s">
        <v>165</v>
      </c>
      <c r="J11" s="16">
        <v>1</v>
      </c>
      <c r="K11" s="13"/>
      <c r="L11" s="17">
        <v>1</v>
      </c>
    </row>
    <row r="12" ht="15.6" spans="1:26">
      <c r="A12" s="3"/>
      <c r="B12" s="17"/>
      <c r="C12" s="13"/>
      <c r="D12" s="13"/>
      <c r="E12" s="30"/>
      <c r="F12" s="13"/>
      <c r="G12" s="13">
        <v>11</v>
      </c>
      <c r="H12" s="14" t="s">
        <v>167</v>
      </c>
      <c r="I12" s="13" t="s">
        <v>168</v>
      </c>
      <c r="J12" s="16">
        <v>1</v>
      </c>
      <c r="K12" s="13"/>
      <c r="L12" s="17">
        <v>2</v>
      </c>
    </row>
    <row r="13" ht="15.6" spans="1:26">
      <c r="A13" s="3"/>
      <c r="B13" s="17"/>
      <c r="C13" s="13"/>
      <c r="D13" s="13"/>
      <c r="E13" s="30"/>
      <c r="F13" s="13"/>
      <c r="G13" s="13">
        <v>12</v>
      </c>
      <c r="H13" s="14" t="s">
        <v>169</v>
      </c>
      <c r="I13" s="13" t="s">
        <v>168</v>
      </c>
      <c r="J13" s="16">
        <v>0.5</v>
      </c>
      <c r="K13" s="13"/>
      <c r="L13" s="17">
        <v>1.5</v>
      </c>
    </row>
    <row r="14" ht="15.6" spans="1:26">
      <c r="A14" s="3"/>
      <c r="B14" s="17"/>
      <c r="C14" s="13"/>
      <c r="D14" s="13"/>
      <c r="E14" s="30"/>
      <c r="F14" s="13"/>
      <c r="G14" s="13">
        <v>13</v>
      </c>
      <c r="H14" s="14" t="s">
        <v>170</v>
      </c>
      <c r="I14" s="13" t="s">
        <v>168</v>
      </c>
      <c r="J14" s="16">
        <v>1</v>
      </c>
      <c r="K14" s="13"/>
      <c r="L14" s="17">
        <v>0.5</v>
      </c>
    </row>
    <row r="15" ht="30" spans="1:26">
      <c r="A15" s="3"/>
      <c r="B15" s="17"/>
      <c r="C15" s="13"/>
      <c r="D15" s="13"/>
      <c r="E15" s="30"/>
      <c r="F15" s="13"/>
      <c r="G15" s="13">
        <v>14</v>
      </c>
      <c r="H15" s="14" t="s">
        <v>171</v>
      </c>
      <c r="I15" s="13" t="s">
        <v>34</v>
      </c>
      <c r="J15" s="16">
        <v>1</v>
      </c>
      <c r="K15" s="13"/>
      <c r="L15" s="17">
        <v>0.5</v>
      </c>
    </row>
    <row r="16" ht="15.6" spans="1:26">
      <c r="A16" s="3"/>
      <c r="B16" s="17"/>
      <c r="C16" s="13"/>
      <c r="D16" s="13"/>
      <c r="E16" s="30"/>
      <c r="F16" s="13"/>
      <c r="G16" s="13">
        <v>15</v>
      </c>
      <c r="H16" s="14" t="s">
        <v>172</v>
      </c>
      <c r="I16" s="13" t="s">
        <v>173</v>
      </c>
      <c r="J16" s="16">
        <v>1</v>
      </c>
      <c r="K16" s="13"/>
      <c r="L16" s="17">
        <v>0.5</v>
      </c>
    </row>
    <row r="17" ht="15" spans="1:12">
      <c r="A17" s="3"/>
      <c r="B17" s="17"/>
      <c r="C17" s="13"/>
      <c r="D17" s="13"/>
      <c r="E17" s="34" t="s">
        <v>174</v>
      </c>
      <c r="F17" s="34"/>
      <c r="G17" s="34"/>
      <c r="H17" s="34"/>
      <c r="I17" s="34"/>
      <c r="J17" s="35"/>
      <c r="K17" s="36"/>
      <c r="L17" s="37">
        <f>SUM(L2:L16)</f>
        <v>10.75</v>
      </c>
    </row>
    <row r="18" ht="15.6" spans="1:12">
      <c r="A18" s="3"/>
      <c r="B18" s="17"/>
      <c r="C18" s="13"/>
      <c r="D18" s="13"/>
      <c r="E18" s="30" t="s">
        <v>175</v>
      </c>
      <c r="F18" s="30" t="s">
        <v>76</v>
      </c>
      <c r="G18" s="30">
        <v>1</v>
      </c>
      <c r="H18" s="38"/>
      <c r="I18" s="13"/>
      <c r="J18" s="39"/>
      <c r="K18" s="30"/>
      <c r="L18" s="40"/>
    </row>
    <row r="19" ht="15.6" spans="1:12">
      <c r="A19" s="3"/>
      <c r="B19" s="17"/>
      <c r="C19" s="13"/>
      <c r="D19" s="13"/>
      <c r="E19" s="30"/>
      <c r="F19" s="30"/>
      <c r="G19" s="30">
        <v>2</v>
      </c>
      <c r="H19" s="38"/>
      <c r="I19" s="30"/>
      <c r="J19" s="39"/>
      <c r="K19" s="30"/>
      <c r="L19" s="40"/>
    </row>
    <row r="20" ht="15.6" spans="1:12">
      <c r="A20" s="3" t="s">
        <v>176</v>
      </c>
      <c r="B20" s="17" t="s">
        <v>22</v>
      </c>
      <c r="C20" s="16">
        <v>0.92</v>
      </c>
      <c r="D20" s="13"/>
      <c r="E20" s="30" t="s">
        <v>154</v>
      </c>
      <c r="F20" s="11" t="s">
        <v>177</v>
      </c>
      <c r="G20" s="13">
        <v>1</v>
      </c>
      <c r="H20" s="23" t="s">
        <v>178</v>
      </c>
      <c r="I20" s="15" t="s">
        <v>22</v>
      </c>
      <c r="J20" s="16">
        <v>0.1</v>
      </c>
      <c r="K20" s="30"/>
      <c r="L20" s="17">
        <v>0.25</v>
      </c>
    </row>
    <row r="21" ht="30.6" customHeight="1" spans="1:12">
      <c r="A21" s="3"/>
      <c r="B21" s="17"/>
      <c r="C21" s="13"/>
      <c r="D21" s="13"/>
      <c r="E21" s="30"/>
      <c r="F21" s="11" t="s">
        <v>179</v>
      </c>
      <c r="G21" s="59">
        <v>1</v>
      </c>
      <c r="H21" s="23" t="s">
        <v>180</v>
      </c>
      <c r="I21" s="59" t="s">
        <v>71</v>
      </c>
      <c r="J21" s="61">
        <v>1</v>
      </c>
      <c r="K21" s="62"/>
      <c r="L21" s="57">
        <v>1.5</v>
      </c>
    </row>
    <row r="22" ht="57" customHeight="1" spans="1:12">
      <c r="A22" s="3"/>
      <c r="B22" s="17"/>
      <c r="C22" s="13"/>
      <c r="D22" s="13"/>
      <c r="E22" s="30"/>
      <c r="F22" s="20"/>
      <c r="G22" s="59">
        <v>2</v>
      </c>
      <c r="H22" s="25"/>
      <c r="I22" s="59" t="s">
        <v>82</v>
      </c>
      <c r="J22" s="61">
        <v>1</v>
      </c>
      <c r="K22" s="62"/>
      <c r="L22" s="57">
        <v>3.25</v>
      </c>
    </row>
    <row r="23" ht="97.2" customHeight="1" spans="1:12">
      <c r="A23" s="3"/>
      <c r="B23" s="17"/>
      <c r="C23" s="13"/>
      <c r="D23" s="13"/>
      <c r="E23" s="30"/>
      <c r="F23" s="27"/>
      <c r="G23" s="59">
        <v>3</v>
      </c>
      <c r="H23" s="28"/>
      <c r="I23" s="59" t="s">
        <v>181</v>
      </c>
      <c r="J23" s="61">
        <v>1</v>
      </c>
      <c r="K23" s="62"/>
      <c r="L23" s="57">
        <v>4</v>
      </c>
    </row>
    <row r="24" ht="15" spans="1:12">
      <c r="A24" s="3"/>
      <c r="B24" s="17"/>
      <c r="C24" s="13"/>
      <c r="D24" s="13"/>
      <c r="E24" s="30"/>
      <c r="F24" s="15" t="s">
        <v>182</v>
      </c>
      <c r="G24" s="59">
        <v>1</v>
      </c>
      <c r="H24" s="60" t="s">
        <v>183</v>
      </c>
      <c r="I24" s="15" t="s">
        <v>173</v>
      </c>
      <c r="J24" s="61">
        <v>1</v>
      </c>
      <c r="K24" s="62"/>
      <c r="L24" s="57">
        <v>1</v>
      </c>
    </row>
    <row r="25" ht="90" spans="1:12">
      <c r="A25" s="3"/>
      <c r="B25" s="17"/>
      <c r="C25" s="13"/>
      <c r="D25" s="13"/>
      <c r="E25" s="30"/>
      <c r="F25" s="15"/>
      <c r="G25" s="59">
        <v>2</v>
      </c>
      <c r="H25" s="60" t="s">
        <v>184</v>
      </c>
      <c r="I25" s="15" t="s">
        <v>163</v>
      </c>
      <c r="J25" s="61">
        <v>0.7</v>
      </c>
      <c r="K25" s="62"/>
      <c r="L25" s="57">
        <v>3.5</v>
      </c>
    </row>
    <row r="26" ht="45" spans="1:12">
      <c r="A26" s="3"/>
      <c r="B26" s="17"/>
      <c r="C26" s="13"/>
      <c r="D26" s="13"/>
      <c r="E26" s="30"/>
      <c r="F26" s="15"/>
      <c r="G26" s="59">
        <v>3</v>
      </c>
      <c r="H26" s="60" t="s">
        <v>185</v>
      </c>
      <c r="I26" s="15" t="s">
        <v>165</v>
      </c>
      <c r="J26" s="61">
        <v>1</v>
      </c>
      <c r="K26" s="62"/>
      <c r="L26" s="57">
        <v>2.5</v>
      </c>
    </row>
    <row r="27" ht="15" spans="1:12">
      <c r="A27" s="3"/>
      <c r="B27" s="17"/>
      <c r="C27" s="13"/>
      <c r="D27" s="13"/>
      <c r="E27" s="34" t="s">
        <v>174</v>
      </c>
      <c r="F27" s="34"/>
      <c r="G27" s="34"/>
      <c r="H27" s="34"/>
      <c r="I27" s="34"/>
      <c r="J27" s="35"/>
      <c r="K27" s="36"/>
      <c r="L27" s="37">
        <f>SUM(L20:L26)</f>
        <v>16</v>
      </c>
    </row>
    <row r="28" ht="15.6" spans="1:12">
      <c r="A28" s="3"/>
      <c r="B28" s="17"/>
      <c r="C28" s="13"/>
      <c r="D28" s="13"/>
      <c r="E28" s="30" t="s">
        <v>175</v>
      </c>
      <c r="F28" s="30" t="s">
        <v>76</v>
      </c>
      <c r="G28" s="30">
        <v>1</v>
      </c>
      <c r="H28" s="38"/>
      <c r="I28" s="13"/>
      <c r="J28" s="39"/>
      <c r="K28" s="30"/>
      <c r="L28" s="40"/>
    </row>
    <row r="29" ht="15" spans="1:12">
      <c r="A29" s="3"/>
      <c r="B29" s="17"/>
      <c r="C29" s="13"/>
      <c r="D29" s="13"/>
      <c r="E29" s="30"/>
      <c r="F29" s="30"/>
      <c r="G29" s="30">
        <v>2</v>
      </c>
      <c r="H29" s="14"/>
      <c r="I29" s="30"/>
      <c r="J29" s="39"/>
      <c r="K29" s="30"/>
      <c r="L29" s="40"/>
    </row>
    <row r="30" ht="15" spans="1:12">
      <c r="A30" s="3" t="s">
        <v>186</v>
      </c>
      <c r="B30" s="17" t="s">
        <v>34</v>
      </c>
      <c r="C30" s="13"/>
      <c r="D30" s="13"/>
      <c r="E30" s="30" t="s">
        <v>154</v>
      </c>
      <c r="F30" s="13" t="s">
        <v>187</v>
      </c>
      <c r="G30" s="13">
        <v>1</v>
      </c>
      <c r="H30" s="215"/>
      <c r="I30" s="15"/>
      <c r="J30" s="16"/>
      <c r="K30" s="30"/>
      <c r="L30" s="40"/>
    </row>
    <row r="31" ht="15" spans="1:12">
      <c r="A31" s="3"/>
      <c r="B31" s="17"/>
      <c r="C31" s="13"/>
      <c r="D31" s="13"/>
      <c r="E31" s="30"/>
      <c r="F31" s="13"/>
      <c r="G31" s="13">
        <v>2</v>
      </c>
      <c r="H31" s="14"/>
      <c r="I31" s="15"/>
      <c r="J31" s="16"/>
      <c r="K31" s="30"/>
      <c r="L31" s="40"/>
    </row>
    <row r="32" ht="15" spans="1:12">
      <c r="A32" s="3"/>
      <c r="B32" s="17"/>
      <c r="C32" s="13"/>
      <c r="D32" s="13"/>
      <c r="E32" s="34" t="s">
        <v>174</v>
      </c>
      <c r="F32" s="34"/>
      <c r="G32" s="34"/>
      <c r="H32" s="34"/>
      <c r="I32" s="34"/>
      <c r="J32" s="35"/>
      <c r="K32" s="36"/>
      <c r="L32" s="37">
        <f>SUM(L30:L31)</f>
        <v>0</v>
      </c>
    </row>
    <row r="33" ht="15.6" spans="1:12">
      <c r="A33" s="3"/>
      <c r="B33" s="17"/>
      <c r="C33" s="13"/>
      <c r="D33" s="13"/>
      <c r="E33" s="30" t="s">
        <v>175</v>
      </c>
      <c r="F33" s="30"/>
      <c r="G33" s="30"/>
      <c r="H33" s="38"/>
      <c r="I33" s="13"/>
      <c r="J33" s="39"/>
      <c r="K33" s="30"/>
      <c r="L33" s="40"/>
    </row>
    <row r="34" ht="15" spans="1:12">
      <c r="A34" s="3"/>
      <c r="B34" s="17"/>
      <c r="C34" s="13"/>
      <c r="D34" s="13"/>
      <c r="E34" s="30"/>
      <c r="F34" s="30"/>
      <c r="G34" s="30"/>
      <c r="H34" s="14"/>
      <c r="I34" s="30"/>
      <c r="J34" s="39"/>
      <c r="K34" s="30"/>
      <c r="L34" s="40"/>
    </row>
    <row r="35" ht="34.8" customHeight="1" spans="1:12">
      <c r="A35" s="3" t="s">
        <v>188</v>
      </c>
      <c r="B35" s="17" t="s">
        <v>34</v>
      </c>
      <c r="C35" s="13"/>
      <c r="D35" s="13"/>
      <c r="E35" s="30" t="s">
        <v>154</v>
      </c>
      <c r="F35" s="13" t="s">
        <v>187</v>
      </c>
      <c r="G35" s="13">
        <v>1</v>
      </c>
      <c r="H35" s="215"/>
      <c r="I35" s="15"/>
      <c r="J35" s="16"/>
      <c r="K35" s="30"/>
      <c r="L35" s="40"/>
    </row>
    <row r="36" ht="15" spans="1:12">
      <c r="A36" s="3"/>
      <c r="B36" s="17"/>
      <c r="C36" s="13"/>
      <c r="D36" s="13"/>
      <c r="E36" s="30"/>
      <c r="F36" s="13"/>
      <c r="G36" s="13">
        <v>2</v>
      </c>
      <c r="H36" s="14"/>
      <c r="I36" s="15"/>
      <c r="J36" s="16"/>
      <c r="K36" s="30"/>
      <c r="L36" s="40"/>
    </row>
    <row r="37" ht="15" spans="1:12">
      <c r="A37" s="3"/>
      <c r="B37" s="17"/>
      <c r="C37" s="13"/>
      <c r="D37" s="13"/>
      <c r="E37" s="30"/>
      <c r="F37" s="13"/>
      <c r="G37" s="13">
        <v>3</v>
      </c>
      <c r="H37" s="14"/>
      <c r="I37" s="15"/>
      <c r="J37" s="16"/>
      <c r="K37" s="30"/>
      <c r="L37" s="40"/>
    </row>
    <row r="38" ht="15" spans="1:12">
      <c r="A38" s="3"/>
      <c r="B38" s="17"/>
      <c r="C38" s="13"/>
      <c r="D38" s="13"/>
      <c r="E38" s="34" t="s">
        <v>174</v>
      </c>
      <c r="F38" s="34"/>
      <c r="G38" s="34"/>
      <c r="H38" s="34"/>
      <c r="I38" s="34"/>
      <c r="J38" s="35"/>
      <c r="K38" s="36"/>
      <c r="L38" s="37">
        <v>0</v>
      </c>
    </row>
    <row r="39" ht="15.6" spans="1:12">
      <c r="A39" s="3"/>
      <c r="B39" s="17"/>
      <c r="C39" s="13"/>
      <c r="D39" s="13"/>
      <c r="E39" s="30" t="s">
        <v>175</v>
      </c>
      <c r="F39" s="30"/>
      <c r="G39" s="30"/>
      <c r="H39" s="38"/>
      <c r="I39" s="13"/>
      <c r="J39" s="39"/>
      <c r="K39" s="30"/>
      <c r="L39" s="40"/>
    </row>
    <row r="40" ht="15" spans="1:12">
      <c r="A40" s="3"/>
      <c r="B40" s="17"/>
      <c r="C40" s="13"/>
      <c r="D40" s="13"/>
      <c r="E40" s="30"/>
      <c r="F40" s="30"/>
      <c r="G40" s="30"/>
      <c r="H40" s="14"/>
      <c r="I40" s="30"/>
      <c r="J40" s="39"/>
      <c r="K40" s="30"/>
      <c r="L40" s="40"/>
    </row>
    <row r="41" spans="1:12">
      <c r="A41" s="235" t="s">
        <v>189</v>
      </c>
      <c r="B41" s="236" t="s">
        <v>94</v>
      </c>
      <c r="C41" s="237"/>
      <c r="D41" s="238"/>
      <c r="E41" s="239" t="s">
        <v>154</v>
      </c>
      <c r="F41" s="240" t="s">
        <v>190</v>
      </c>
      <c r="G41" s="240">
        <v>1</v>
      </c>
      <c r="H41" s="221" t="s">
        <v>191</v>
      </c>
      <c r="I41" s="222" t="s">
        <v>94</v>
      </c>
      <c r="J41" s="223">
        <v>1</v>
      </c>
      <c r="K41" s="224"/>
      <c r="L41" s="225">
        <v>2</v>
      </c>
    </row>
    <row r="42" spans="1:12">
      <c r="A42" s="241"/>
      <c r="B42" s="242"/>
      <c r="C42" s="243"/>
      <c r="D42" s="244"/>
      <c r="E42" s="245"/>
      <c r="F42" s="240"/>
      <c r="G42" s="240"/>
      <c r="H42" s="221"/>
      <c r="I42" s="222" t="s">
        <v>192</v>
      </c>
      <c r="J42" s="223">
        <v>1</v>
      </c>
      <c r="K42" s="224"/>
      <c r="L42" s="225">
        <v>4</v>
      </c>
    </row>
    <row r="43" spans="1:12">
      <c r="A43" s="241"/>
      <c r="B43" s="242"/>
      <c r="C43" s="243"/>
      <c r="D43" s="244"/>
      <c r="E43" s="245"/>
      <c r="F43" s="240"/>
      <c r="G43" s="240"/>
      <c r="H43" s="221"/>
      <c r="I43" s="222" t="s">
        <v>193</v>
      </c>
      <c r="J43" s="223">
        <v>1</v>
      </c>
      <c r="K43" s="224"/>
      <c r="L43" s="225">
        <v>3</v>
      </c>
    </row>
    <row r="44" spans="1:12">
      <c r="A44" s="241"/>
      <c r="B44" s="242"/>
      <c r="C44" s="243"/>
      <c r="D44" s="244"/>
      <c r="E44" s="245"/>
      <c r="F44" s="224" t="s">
        <v>194</v>
      </c>
      <c r="G44" s="240">
        <v>1</v>
      </c>
      <c r="H44" s="221" t="s">
        <v>195</v>
      </c>
      <c r="I44" s="222" t="s">
        <v>196</v>
      </c>
      <c r="J44" s="223">
        <v>1</v>
      </c>
      <c r="K44" s="224"/>
      <c r="L44" s="226">
        <v>4</v>
      </c>
    </row>
    <row r="45" spans="1:12">
      <c r="A45" s="241"/>
      <c r="B45" s="242"/>
      <c r="C45" s="243"/>
      <c r="D45" s="244"/>
      <c r="E45" s="246"/>
      <c r="F45" s="224"/>
      <c r="G45" s="240"/>
      <c r="H45" s="221"/>
      <c r="I45" s="222" t="s">
        <v>197</v>
      </c>
      <c r="J45" s="223">
        <v>1</v>
      </c>
      <c r="K45" s="224"/>
      <c r="L45" s="226">
        <v>3</v>
      </c>
    </row>
    <row r="46" spans="1:12">
      <c r="A46" s="247"/>
      <c r="B46" s="248"/>
      <c r="C46" s="249"/>
      <c r="D46" s="250"/>
      <c r="E46" s="251" t="s">
        <v>174</v>
      </c>
      <c r="F46" s="251"/>
      <c r="G46" s="251"/>
      <c r="H46" s="251"/>
      <c r="I46" s="251"/>
      <c r="J46" s="252"/>
      <c r="K46" s="253"/>
      <c r="L46" s="254">
        <f>SUM(L41:L45)</f>
        <v>16</v>
      </c>
    </row>
    <row r="47" ht="15.6" spans="1:12">
      <c r="A47" s="255"/>
      <c r="B47" s="256"/>
      <c r="C47" s="257"/>
      <c r="D47" s="257"/>
      <c r="E47" s="224" t="s">
        <v>175</v>
      </c>
      <c r="F47" s="224"/>
      <c r="G47" s="224"/>
      <c r="H47" s="258"/>
      <c r="I47" s="240"/>
      <c r="J47" s="259"/>
      <c r="K47" s="224"/>
      <c r="L47" s="226"/>
    </row>
    <row r="48" ht="15.6" spans="1:12">
      <c r="A48" s="255"/>
      <c r="B48" s="256"/>
      <c r="C48" s="257"/>
      <c r="D48" s="257"/>
      <c r="E48" s="224"/>
      <c r="F48" s="224"/>
      <c r="G48" s="224"/>
      <c r="H48" s="221"/>
      <c r="I48" s="224"/>
      <c r="J48" s="259"/>
      <c r="K48" s="224"/>
      <c r="L48" s="226"/>
    </row>
  </sheetData>
  <autoFilter xmlns:etc="http://www.wps.cn/officeDocument/2017/etCustomData" ref="A1:L40" etc:filterBottomFollowUsedRange="0">
    <extLst/>
  </autoFilter>
  <mergeCells count="52">
    <mergeCell ref="E17:H17"/>
    <mergeCell ref="E27:H27"/>
    <mergeCell ref="E32:H32"/>
    <mergeCell ref="E38:H38"/>
    <mergeCell ref="E46:H46"/>
    <mergeCell ref="A2:A19"/>
    <mergeCell ref="A20:A29"/>
    <mergeCell ref="A30:A34"/>
    <mergeCell ref="A35:A40"/>
    <mergeCell ref="A41:A46"/>
    <mergeCell ref="B2:B19"/>
    <mergeCell ref="B20:B29"/>
    <mergeCell ref="B30:B34"/>
    <mergeCell ref="B35:B40"/>
    <mergeCell ref="B41:B46"/>
    <mergeCell ref="C2:C19"/>
    <mergeCell ref="C20:C29"/>
    <mergeCell ref="C30:C34"/>
    <mergeCell ref="C35:C40"/>
    <mergeCell ref="C41:C46"/>
    <mergeCell ref="D2:D19"/>
    <mergeCell ref="D20:D29"/>
    <mergeCell ref="D30:D34"/>
    <mergeCell ref="D35:D40"/>
    <mergeCell ref="D41:D46"/>
    <mergeCell ref="E2:E16"/>
    <mergeCell ref="E18:E19"/>
    <mergeCell ref="E20:E26"/>
    <mergeCell ref="E28:E29"/>
    <mergeCell ref="E30:E31"/>
    <mergeCell ref="E33:E34"/>
    <mergeCell ref="E35:E37"/>
    <mergeCell ref="E39:E40"/>
    <mergeCell ref="E41:E45"/>
    <mergeCell ref="E47:E48"/>
    <mergeCell ref="F2:F16"/>
    <mergeCell ref="F18:F19"/>
    <mergeCell ref="F21:F23"/>
    <mergeCell ref="F24:F26"/>
    <mergeCell ref="F28:F29"/>
    <mergeCell ref="F30:F31"/>
    <mergeCell ref="F33:F34"/>
    <mergeCell ref="F35:F37"/>
    <mergeCell ref="F39:F40"/>
    <mergeCell ref="F41:F43"/>
    <mergeCell ref="F44:F45"/>
    <mergeCell ref="F47:F48"/>
    <mergeCell ref="G41:G43"/>
    <mergeCell ref="G44:G45"/>
    <mergeCell ref="H21:H23"/>
    <mergeCell ref="H41:H43"/>
    <mergeCell ref="H44:H4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52"/>
  <sheetViews>
    <sheetView workbookViewId="0">
      <pane ySplit="1" topLeftCell="A21" activePane="bottomLeft" state="frozen"/>
      <selection/>
      <selection pane="bottomLeft" activeCell="G37" sqref="G37"/>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s="1" customFormat="1" ht="45" spans="1:26">
      <c r="A2" s="3" t="s">
        <v>198</v>
      </c>
      <c r="B2" s="17"/>
      <c r="C2" s="13"/>
      <c r="D2" s="13"/>
      <c r="E2" s="217"/>
      <c r="F2" s="218"/>
      <c r="G2" s="13">
        <v>1</v>
      </c>
      <c r="H2" s="14" t="s">
        <v>199</v>
      </c>
      <c r="I2" s="15" t="s">
        <v>82</v>
      </c>
      <c r="J2" s="16">
        <v>1</v>
      </c>
      <c r="K2" s="30"/>
      <c r="L2" s="40">
        <v>0.25</v>
      </c>
    </row>
    <row r="3" s="1" customFormat="1" ht="60" spans="1:26">
      <c r="A3" s="3"/>
      <c r="B3" s="17"/>
      <c r="C3" s="13"/>
      <c r="D3" s="13"/>
      <c r="E3" s="219"/>
      <c r="F3" s="220"/>
      <c r="G3" s="13">
        <v>3</v>
      </c>
      <c r="H3" s="215" t="s">
        <v>200</v>
      </c>
      <c r="I3" s="15" t="s">
        <v>44</v>
      </c>
      <c r="J3" s="16">
        <v>1</v>
      </c>
      <c r="K3" s="30"/>
      <c r="L3" s="40">
        <v>3</v>
      </c>
    </row>
    <row r="4" s="1" customFormat="1" ht="105" spans="1:26">
      <c r="A4" s="3"/>
      <c r="B4" s="17"/>
      <c r="C4" s="13"/>
      <c r="D4" s="13"/>
      <c r="E4" s="219"/>
      <c r="F4" s="220"/>
      <c r="G4" s="13">
        <v>3</v>
      </c>
      <c r="H4" s="215" t="s">
        <v>201</v>
      </c>
      <c r="I4" s="15" t="s">
        <v>202</v>
      </c>
      <c r="J4" s="16">
        <v>1</v>
      </c>
      <c r="K4" s="30"/>
      <c r="L4" s="40">
        <v>2.5</v>
      </c>
    </row>
    <row r="5" s="1" customFormat="1" spans="1:26">
      <c r="A5" s="3"/>
      <c r="B5" s="17"/>
      <c r="C5" s="13"/>
      <c r="D5" s="13"/>
      <c r="E5" s="219"/>
      <c r="F5" s="220"/>
      <c r="G5" s="218">
        <v>4</v>
      </c>
      <c r="H5" s="221" t="s">
        <v>203</v>
      </c>
      <c r="I5" s="222" t="s">
        <v>94</v>
      </c>
      <c r="J5" s="223">
        <v>1</v>
      </c>
      <c r="K5" s="224"/>
      <c r="L5" s="225">
        <v>1</v>
      </c>
    </row>
    <row r="6" s="1" customFormat="1" spans="1:26">
      <c r="A6" s="3"/>
      <c r="B6" s="17"/>
      <c r="C6" s="13"/>
      <c r="D6" s="13"/>
      <c r="E6" s="219"/>
      <c r="F6" s="220"/>
      <c r="G6" s="220"/>
      <c r="H6" s="221"/>
      <c r="I6" s="222" t="s">
        <v>192</v>
      </c>
      <c r="J6" s="223">
        <v>1</v>
      </c>
      <c r="K6" s="224"/>
      <c r="L6" s="225">
        <v>0</v>
      </c>
    </row>
    <row r="7" s="1" customFormat="1" spans="1:26">
      <c r="A7" s="3"/>
      <c r="B7" s="17"/>
      <c r="C7" s="13"/>
      <c r="D7" s="13"/>
      <c r="E7" s="219"/>
      <c r="F7" s="220"/>
      <c r="G7" s="220"/>
      <c r="H7" s="221"/>
      <c r="I7" s="222" t="s">
        <v>193</v>
      </c>
      <c r="J7" s="223">
        <v>1</v>
      </c>
      <c r="K7" s="224"/>
      <c r="L7" s="225">
        <v>1</v>
      </c>
    </row>
    <row r="8" s="1" customFormat="1" spans="1:26">
      <c r="A8" s="3"/>
      <c r="B8" s="17"/>
      <c r="C8" s="13"/>
      <c r="D8" s="13"/>
      <c r="E8" s="219"/>
      <c r="F8" s="220"/>
      <c r="G8" s="220"/>
      <c r="H8" s="221" t="s">
        <v>204</v>
      </c>
      <c r="I8" s="222" t="s">
        <v>196</v>
      </c>
      <c r="J8" s="223">
        <v>1</v>
      </c>
      <c r="K8" s="224"/>
      <c r="L8" s="226">
        <v>0</v>
      </c>
    </row>
    <row r="9" s="1" customFormat="1" spans="1:26">
      <c r="A9" s="3"/>
      <c r="B9" s="17"/>
      <c r="C9" s="13"/>
      <c r="D9" s="13"/>
      <c r="E9" s="227"/>
      <c r="F9" s="228"/>
      <c r="G9" s="228"/>
      <c r="H9" s="221"/>
      <c r="I9" s="222" t="s">
        <v>197</v>
      </c>
      <c r="J9" s="223">
        <v>1</v>
      </c>
      <c r="K9" s="224"/>
      <c r="L9" s="226">
        <v>1</v>
      </c>
    </row>
    <row r="10" s="1" customFormat="1" ht="15" spans="1:26">
      <c r="A10" s="3"/>
      <c r="B10" s="17"/>
      <c r="C10" s="13"/>
      <c r="D10" s="13"/>
      <c r="E10" s="34" t="s">
        <v>174</v>
      </c>
      <c r="F10" s="34"/>
      <c r="G10" s="34"/>
      <c r="H10" s="34"/>
      <c r="I10" s="34"/>
      <c r="J10" s="35"/>
      <c r="K10" s="36"/>
      <c r="L10" s="37">
        <f>SUM(L2:L9)</f>
        <v>8.75</v>
      </c>
    </row>
    <row r="11" s="1" customFormat="1" ht="15.6" spans="1:26">
      <c r="A11" s="3"/>
      <c r="B11" s="17"/>
      <c r="C11" s="13"/>
      <c r="D11" s="13"/>
      <c r="E11" s="30" t="s">
        <v>175</v>
      </c>
      <c r="F11" s="30"/>
      <c r="G11" s="30"/>
      <c r="H11" s="38"/>
      <c r="I11" s="13"/>
      <c r="J11" s="39"/>
      <c r="K11" s="30"/>
      <c r="L11" s="40"/>
    </row>
    <row r="12" s="1" customFormat="1" ht="15" spans="1:26">
      <c r="A12" s="3"/>
      <c r="B12" s="17"/>
      <c r="C12" s="13"/>
      <c r="D12" s="13"/>
      <c r="E12" s="30"/>
      <c r="F12" s="30"/>
      <c r="G12" s="30"/>
      <c r="H12" s="14"/>
      <c r="I12" s="30"/>
      <c r="J12" s="39"/>
      <c r="K12" s="30"/>
      <c r="L12" s="40"/>
    </row>
    <row r="13" s="1" customFormat="1" ht="75" spans="1:26">
      <c r="A13" s="3" t="s">
        <v>43</v>
      </c>
      <c r="B13" s="17" t="s">
        <v>44</v>
      </c>
      <c r="C13" s="13"/>
      <c r="D13" s="13"/>
      <c r="E13" s="30" t="s">
        <v>154</v>
      </c>
      <c r="F13" s="13" t="s">
        <v>187</v>
      </c>
      <c r="G13" s="13">
        <v>1</v>
      </c>
      <c r="H13" s="215" t="s">
        <v>205</v>
      </c>
      <c r="I13" s="15" t="s">
        <v>173</v>
      </c>
      <c r="J13" s="16">
        <v>1</v>
      </c>
      <c r="K13" s="30"/>
      <c r="L13" s="40">
        <v>2.5</v>
      </c>
    </row>
    <row r="14" s="1" customFormat="1" ht="75" spans="1:26">
      <c r="A14" s="3"/>
      <c r="B14" s="17"/>
      <c r="C14" s="13"/>
      <c r="D14" s="13"/>
      <c r="E14" s="30"/>
      <c r="F14" s="13"/>
      <c r="G14" s="13">
        <v>2</v>
      </c>
      <c r="H14" s="14" t="s">
        <v>206</v>
      </c>
      <c r="I14" s="15" t="s">
        <v>202</v>
      </c>
      <c r="J14" s="16">
        <v>1</v>
      </c>
      <c r="K14" s="30"/>
      <c r="L14" s="40">
        <v>1.5</v>
      </c>
    </row>
    <row r="15" s="1" customFormat="1" ht="15" spans="1:26">
      <c r="A15" s="3"/>
      <c r="B15" s="17"/>
      <c r="C15" s="13"/>
      <c r="D15" s="13"/>
      <c r="E15" s="30"/>
      <c r="F15" s="13"/>
      <c r="G15" s="13">
        <v>3</v>
      </c>
      <c r="H15" s="14" t="s">
        <v>207</v>
      </c>
      <c r="I15" s="15" t="s">
        <v>44</v>
      </c>
      <c r="J15" s="16">
        <v>1</v>
      </c>
      <c r="K15" s="30"/>
      <c r="L15" s="40">
        <v>1</v>
      </c>
    </row>
    <row r="16" s="1" customFormat="1" ht="15" spans="1:26">
      <c r="A16" s="3"/>
      <c r="B16" s="17"/>
      <c r="C16" s="13"/>
      <c r="D16" s="13"/>
      <c r="E16" s="34" t="s">
        <v>174</v>
      </c>
      <c r="F16" s="34"/>
      <c r="G16" s="34"/>
      <c r="H16" s="34"/>
      <c r="I16" s="34"/>
      <c r="J16" s="35"/>
      <c r="K16" s="36"/>
      <c r="L16" s="37">
        <f>SUM(L13:L15)</f>
        <v>5</v>
      </c>
    </row>
    <row r="17" s="1" customFormat="1" ht="15.6" spans="1:12">
      <c r="A17" s="3"/>
      <c r="B17" s="17"/>
      <c r="C17" s="13"/>
      <c r="D17" s="13"/>
      <c r="E17" s="30" t="s">
        <v>175</v>
      </c>
      <c r="F17" s="30"/>
      <c r="G17" s="30"/>
      <c r="H17" s="38"/>
      <c r="I17" s="13"/>
      <c r="J17" s="39"/>
      <c r="K17" s="30"/>
      <c r="L17" s="40"/>
    </row>
    <row r="18" s="1" customFormat="1" ht="15" spans="1:12">
      <c r="A18" s="3"/>
      <c r="B18" s="17"/>
      <c r="C18" s="13"/>
      <c r="D18" s="13"/>
      <c r="E18" s="30"/>
      <c r="F18" s="30"/>
      <c r="G18" s="30"/>
      <c r="H18" s="14"/>
      <c r="I18" s="30"/>
      <c r="J18" s="39"/>
      <c r="K18" s="30"/>
      <c r="L18" s="40"/>
    </row>
    <row r="19" ht="105" spans="1:12">
      <c r="A19" s="3" t="s">
        <v>208</v>
      </c>
      <c r="B19" s="17" t="s">
        <v>51</v>
      </c>
      <c r="C19" s="13"/>
      <c r="D19" s="13"/>
      <c r="E19" s="12" t="s">
        <v>154</v>
      </c>
      <c r="F19" s="11" t="s">
        <v>187</v>
      </c>
      <c r="G19" s="13">
        <v>1</v>
      </c>
      <c r="H19" s="229" t="s">
        <v>209</v>
      </c>
      <c r="I19" s="15" t="s">
        <v>51</v>
      </c>
      <c r="J19" s="16">
        <v>1</v>
      </c>
      <c r="K19" s="30"/>
      <c r="L19" s="17">
        <v>3</v>
      </c>
    </row>
    <row r="20" ht="315" spans="1:12">
      <c r="A20" s="3"/>
      <c r="B20" s="17"/>
      <c r="C20" s="13"/>
      <c r="D20" s="13"/>
      <c r="E20" s="21"/>
      <c r="F20" s="27"/>
      <c r="G20" s="13">
        <v>2</v>
      </c>
      <c r="H20" s="229" t="s">
        <v>210</v>
      </c>
      <c r="I20" s="15" t="s">
        <v>211</v>
      </c>
      <c r="J20" s="16">
        <v>1</v>
      </c>
      <c r="K20" s="13" t="s">
        <v>212</v>
      </c>
      <c r="L20" s="17">
        <v>2</v>
      </c>
    </row>
    <row r="21" ht="30" spans="1:12">
      <c r="A21" s="3"/>
      <c r="B21" s="17"/>
      <c r="C21" s="13"/>
      <c r="D21" s="13"/>
      <c r="E21" s="21"/>
      <c r="F21" s="11" t="s">
        <v>76</v>
      </c>
      <c r="G21" s="13">
        <v>3</v>
      </c>
      <c r="H21" s="14" t="s">
        <v>213</v>
      </c>
      <c r="I21" s="15" t="s">
        <v>51</v>
      </c>
      <c r="J21" s="16">
        <v>0.1</v>
      </c>
      <c r="K21" s="30"/>
      <c r="L21" s="17">
        <v>1</v>
      </c>
    </row>
    <row r="22" ht="15.6" spans="1:12">
      <c r="A22" s="3"/>
      <c r="B22" s="17"/>
      <c r="C22" s="13"/>
      <c r="D22" s="13"/>
      <c r="E22" s="21"/>
      <c r="F22" s="20"/>
      <c r="G22" s="13">
        <v>4</v>
      </c>
      <c r="H22" s="215" t="s">
        <v>214</v>
      </c>
      <c r="I22" s="15" t="s">
        <v>211</v>
      </c>
      <c r="J22" s="16">
        <v>0.25</v>
      </c>
      <c r="K22" s="30"/>
      <c r="L22" s="17">
        <v>2</v>
      </c>
    </row>
    <row r="23" ht="15.6" spans="1:12">
      <c r="A23" s="3"/>
      <c r="B23" s="17"/>
      <c r="C23" s="13"/>
      <c r="D23" s="13"/>
      <c r="E23" s="34" t="s">
        <v>174</v>
      </c>
      <c r="F23" s="34"/>
      <c r="G23" s="34"/>
      <c r="H23" s="34"/>
      <c r="I23" s="34"/>
      <c r="J23" s="35"/>
      <c r="K23" s="36"/>
      <c r="L23" s="230">
        <f>SUM(L19:L22)</f>
        <v>8</v>
      </c>
    </row>
    <row r="24" ht="15.6" spans="1:12">
      <c r="A24" s="3"/>
      <c r="B24" s="17"/>
      <c r="C24" s="13"/>
      <c r="D24" s="13"/>
      <c r="E24" s="30" t="s">
        <v>175</v>
      </c>
      <c r="F24" s="30"/>
      <c r="G24" s="30"/>
      <c r="H24" s="38"/>
      <c r="I24" s="13"/>
      <c r="J24" s="39"/>
      <c r="K24" s="30"/>
      <c r="L24" s="40"/>
    </row>
    <row r="25" ht="15" spans="1:12">
      <c r="A25" s="3"/>
      <c r="B25" s="17"/>
      <c r="C25" s="13"/>
      <c r="D25" s="13"/>
      <c r="E25" s="30"/>
      <c r="F25" s="30"/>
      <c r="G25" s="30"/>
      <c r="H25" s="14"/>
      <c r="I25" s="30"/>
      <c r="J25" s="39"/>
      <c r="K25" s="30"/>
      <c r="L25" s="40"/>
    </row>
    <row r="26" ht="15" spans="1:12">
      <c r="A26" s="3" t="s">
        <v>54</v>
      </c>
      <c r="B26" s="17" t="s">
        <v>55</v>
      </c>
      <c r="C26" s="13"/>
      <c r="D26" s="13"/>
      <c r="E26" s="21" t="s">
        <v>154</v>
      </c>
      <c r="F26" s="20" t="s">
        <v>76</v>
      </c>
      <c r="G26" s="11">
        <v>1</v>
      </c>
      <c r="H26" s="215" t="s">
        <v>215</v>
      </c>
      <c r="I26" s="231" t="s">
        <v>216</v>
      </c>
      <c r="J26" s="16">
        <v>1</v>
      </c>
      <c r="K26" s="30"/>
      <c r="L26" s="40">
        <v>2</v>
      </c>
    </row>
    <row r="27" ht="15" spans="1:12">
      <c r="A27" s="3"/>
      <c r="B27" s="17"/>
      <c r="C27" s="13"/>
      <c r="D27" s="13"/>
      <c r="E27" s="21"/>
      <c r="F27" s="20"/>
      <c r="G27" s="13">
        <v>2</v>
      </c>
      <c r="H27" s="215" t="s">
        <v>217</v>
      </c>
      <c r="I27" s="15" t="s">
        <v>218</v>
      </c>
      <c r="J27" s="216">
        <v>0.9</v>
      </c>
      <c r="K27" s="30"/>
      <c r="L27" s="40">
        <v>0.5</v>
      </c>
    </row>
    <row r="28" ht="15" spans="1:12">
      <c r="A28" s="3"/>
      <c r="B28" s="17"/>
      <c r="C28" s="13"/>
      <c r="D28" s="13"/>
      <c r="E28" s="31"/>
      <c r="F28" s="27"/>
      <c r="G28" s="13">
        <v>3</v>
      </c>
      <c r="H28" s="215" t="s">
        <v>219</v>
      </c>
      <c r="I28" s="15" t="s">
        <v>55</v>
      </c>
      <c r="J28" s="16">
        <v>1</v>
      </c>
      <c r="K28" s="30"/>
      <c r="L28" s="40">
        <v>2.5</v>
      </c>
    </row>
    <row r="29" ht="15" spans="1:12">
      <c r="A29" s="3"/>
      <c r="B29" s="17"/>
      <c r="C29" s="13"/>
      <c r="D29" s="13"/>
      <c r="E29" s="34" t="s">
        <v>174</v>
      </c>
      <c r="F29" s="34"/>
      <c r="G29" s="34"/>
      <c r="H29" s="34"/>
      <c r="I29" s="34"/>
      <c r="J29" s="35"/>
      <c r="K29" s="36"/>
      <c r="L29" s="37">
        <f>SUM(L26:L28)</f>
        <v>5</v>
      </c>
    </row>
    <row r="30" ht="15" spans="1:12">
      <c r="A30" s="3"/>
      <c r="B30" s="17"/>
      <c r="C30" s="13"/>
      <c r="D30" s="13"/>
      <c r="E30" s="30"/>
      <c r="F30" s="30"/>
      <c r="G30" s="30"/>
      <c r="H30" s="14"/>
      <c r="I30" s="13"/>
      <c r="J30" s="39"/>
      <c r="K30" s="30"/>
      <c r="L30" s="40"/>
    </row>
    <row r="31" ht="15" spans="1:12">
      <c r="A31" s="3"/>
      <c r="B31" s="17"/>
      <c r="C31" s="13"/>
      <c r="D31" s="13"/>
      <c r="E31" s="30"/>
      <c r="F31" s="30"/>
      <c r="G31" s="30"/>
      <c r="H31" s="14"/>
      <c r="I31" s="30"/>
      <c r="J31" s="39"/>
      <c r="K31" s="30"/>
      <c r="L31" s="40"/>
    </row>
    <row r="32" ht="15" spans="1:12">
      <c r="A32" s="3" t="s">
        <v>97</v>
      </c>
      <c r="B32" s="17" t="s">
        <v>55</v>
      </c>
      <c r="C32" s="13"/>
      <c r="D32" s="13"/>
      <c r="E32" s="12" t="s">
        <v>154</v>
      </c>
      <c r="F32" s="11" t="s">
        <v>187</v>
      </c>
      <c r="G32" s="13">
        <v>1</v>
      </c>
      <c r="H32" s="215" t="s">
        <v>220</v>
      </c>
      <c r="I32" s="15" t="s">
        <v>218</v>
      </c>
      <c r="J32" s="16">
        <v>1</v>
      </c>
      <c r="K32" s="30"/>
      <c r="L32" s="40">
        <v>3.5</v>
      </c>
    </row>
    <row r="33" ht="15" spans="1:12">
      <c r="A33" s="3"/>
      <c r="B33" s="17"/>
      <c r="C33" s="13"/>
      <c r="D33" s="13"/>
      <c r="E33" s="21"/>
      <c r="F33" s="20"/>
      <c r="G33" s="13">
        <v>2</v>
      </c>
      <c r="H33" s="215" t="s">
        <v>221</v>
      </c>
      <c r="I33" s="15" t="s">
        <v>222</v>
      </c>
      <c r="J33" s="16">
        <v>1</v>
      </c>
      <c r="K33" s="30"/>
      <c r="L33" s="40">
        <v>2.5</v>
      </c>
    </row>
    <row r="34" ht="15" spans="1:12">
      <c r="A34" s="3"/>
      <c r="B34" s="17"/>
      <c r="C34" s="13"/>
      <c r="D34" s="13"/>
      <c r="E34" s="21"/>
      <c r="F34" s="20"/>
      <c r="G34" s="13">
        <v>3</v>
      </c>
      <c r="H34" s="215" t="s">
        <v>223</v>
      </c>
      <c r="I34" s="15" t="s">
        <v>55</v>
      </c>
      <c r="J34" s="16">
        <v>1</v>
      </c>
      <c r="K34" s="30"/>
      <c r="L34" s="40">
        <v>1.5</v>
      </c>
    </row>
    <row r="35" ht="15" spans="1:12">
      <c r="A35" s="3"/>
      <c r="B35" s="17"/>
      <c r="C35" s="13"/>
      <c r="D35" s="13"/>
      <c r="E35" s="21"/>
      <c r="F35" s="20"/>
      <c r="G35" s="13">
        <v>4</v>
      </c>
      <c r="H35" s="215" t="s">
        <v>224</v>
      </c>
      <c r="I35" s="15" t="s">
        <v>225</v>
      </c>
      <c r="J35" s="16">
        <v>1</v>
      </c>
      <c r="K35" s="30"/>
      <c r="L35" s="40">
        <v>4</v>
      </c>
    </row>
    <row r="36" ht="15" spans="1:12">
      <c r="A36" s="3"/>
      <c r="B36" s="17"/>
      <c r="C36" s="13"/>
      <c r="D36" s="13"/>
      <c r="E36" s="34" t="s">
        <v>174</v>
      </c>
      <c r="F36" s="34"/>
      <c r="G36" s="34"/>
      <c r="H36" s="34"/>
      <c r="I36" s="34"/>
      <c r="J36" s="35"/>
      <c r="K36" s="36"/>
      <c r="L36" s="37">
        <f>SUM(L32:L35)</f>
        <v>11.5</v>
      </c>
    </row>
    <row r="37" ht="15" spans="1:12">
      <c r="A37" s="3"/>
      <c r="B37" s="17"/>
      <c r="C37" s="13"/>
      <c r="D37" s="13"/>
      <c r="E37" s="30" t="s">
        <v>175</v>
      </c>
      <c r="F37" s="30"/>
      <c r="G37" s="30"/>
      <c r="H37" s="14"/>
      <c r="I37" s="13"/>
      <c r="J37" s="39"/>
      <c r="K37" s="30"/>
      <c r="L37" s="40"/>
    </row>
    <row r="38" ht="15" spans="1:12">
      <c r="A38" s="3"/>
      <c r="B38" s="17"/>
      <c r="C38" s="13"/>
      <c r="D38" s="13"/>
      <c r="E38" s="30"/>
      <c r="F38" s="30"/>
      <c r="G38" s="30"/>
      <c r="H38" s="14"/>
      <c r="I38" s="30"/>
      <c r="J38" s="39"/>
      <c r="K38" s="30"/>
      <c r="L38" s="40"/>
    </row>
    <row r="39" ht="15" spans="1:12">
      <c r="A39" s="232" t="s">
        <v>226</v>
      </c>
      <c r="B39" s="17"/>
      <c r="C39" s="13"/>
      <c r="D39" s="13"/>
      <c r="E39" s="21"/>
      <c r="F39" s="20"/>
      <c r="G39" s="13">
        <v>1</v>
      </c>
      <c r="H39" s="215" t="s">
        <v>227</v>
      </c>
      <c r="I39" s="15" t="s">
        <v>228</v>
      </c>
      <c r="J39" s="16">
        <v>1</v>
      </c>
      <c r="K39" s="30"/>
      <c r="L39" s="40">
        <v>4</v>
      </c>
    </row>
    <row r="40" ht="30" spans="1:12">
      <c r="A40" s="232"/>
      <c r="B40" s="17"/>
      <c r="C40" s="13"/>
      <c r="D40" s="13"/>
      <c r="E40" s="21"/>
      <c r="F40" s="20"/>
      <c r="G40" s="13">
        <v>2</v>
      </c>
      <c r="H40" s="215" t="s">
        <v>229</v>
      </c>
      <c r="I40" s="15" t="s">
        <v>230</v>
      </c>
      <c r="J40" s="16">
        <v>1</v>
      </c>
      <c r="K40" s="30"/>
      <c r="L40" s="40">
        <v>4</v>
      </c>
    </row>
    <row r="41" ht="15" spans="1:12">
      <c r="A41" s="232"/>
      <c r="B41" s="17"/>
      <c r="C41" s="13"/>
      <c r="D41" s="13"/>
      <c r="E41" s="21"/>
      <c r="F41" s="20"/>
      <c r="G41" s="13">
        <v>3</v>
      </c>
      <c r="H41" s="215" t="s">
        <v>231</v>
      </c>
      <c r="I41" s="15" t="s">
        <v>232</v>
      </c>
      <c r="J41" s="16">
        <v>1</v>
      </c>
      <c r="K41" s="30"/>
      <c r="L41" s="40">
        <v>3.5</v>
      </c>
    </row>
    <row r="42" ht="15" spans="1:12">
      <c r="A42" s="232"/>
      <c r="B42" s="17"/>
      <c r="C42" s="13"/>
      <c r="D42" s="13"/>
      <c r="E42" s="21"/>
      <c r="F42" s="20"/>
      <c r="G42" s="13">
        <v>4</v>
      </c>
      <c r="H42" s="215" t="s">
        <v>233</v>
      </c>
      <c r="I42" s="15" t="s">
        <v>234</v>
      </c>
      <c r="J42" s="16">
        <v>1</v>
      </c>
      <c r="K42" s="30"/>
      <c r="L42" s="40">
        <v>1</v>
      </c>
    </row>
    <row r="43" ht="15" spans="1:12">
      <c r="A43" s="232"/>
      <c r="B43" s="17"/>
      <c r="C43" s="13"/>
      <c r="D43" s="13"/>
      <c r="E43" s="21"/>
      <c r="F43" s="20"/>
      <c r="G43" s="13">
        <v>5</v>
      </c>
      <c r="H43" s="215" t="s">
        <v>235</v>
      </c>
      <c r="I43" s="15" t="s">
        <v>236</v>
      </c>
      <c r="J43" s="16"/>
      <c r="K43" s="30"/>
      <c r="L43" s="40">
        <v>2</v>
      </c>
    </row>
    <row r="44" ht="15" spans="1:12">
      <c r="A44" s="232"/>
      <c r="B44" s="17"/>
      <c r="C44" s="13"/>
      <c r="D44" s="13"/>
      <c r="E44" s="21"/>
      <c r="F44" s="20"/>
      <c r="G44" s="13">
        <v>6</v>
      </c>
      <c r="H44" s="215" t="s">
        <v>237</v>
      </c>
      <c r="I44" s="15" t="s">
        <v>63</v>
      </c>
      <c r="J44" s="16"/>
      <c r="K44" s="30"/>
      <c r="L44" s="40"/>
    </row>
    <row r="45" ht="15" spans="1:12">
      <c r="A45" s="232"/>
      <c r="B45" s="17"/>
      <c r="C45" s="13"/>
      <c r="D45" s="13"/>
      <c r="E45" s="34" t="s">
        <v>174</v>
      </c>
      <c r="F45" s="34"/>
      <c r="G45" s="34"/>
      <c r="H45" s="34"/>
      <c r="I45" s="34"/>
      <c r="J45" s="35"/>
      <c r="K45" s="36"/>
      <c r="L45" s="37">
        <f>SUM(L39:L44)</f>
        <v>14.5</v>
      </c>
    </row>
    <row r="46" ht="15.6" spans="1:12">
      <c r="A46" s="232"/>
      <c r="B46" s="17"/>
      <c r="C46" s="13"/>
      <c r="D46" s="13"/>
      <c r="E46" s="30" t="s">
        <v>175</v>
      </c>
      <c r="F46" s="30"/>
      <c r="G46" s="30"/>
      <c r="H46" s="38"/>
      <c r="I46" s="13"/>
      <c r="J46" s="39"/>
      <c r="K46" s="30"/>
      <c r="L46" s="40"/>
    </row>
    <row r="47" ht="15" spans="1:12">
      <c r="A47" s="233"/>
      <c r="B47" s="17"/>
      <c r="C47" s="13"/>
      <c r="D47" s="13"/>
      <c r="E47" s="30"/>
      <c r="F47" s="30"/>
      <c r="G47" s="30"/>
      <c r="H47" s="14"/>
      <c r="I47" s="30"/>
      <c r="J47" s="39"/>
      <c r="K47" s="30"/>
      <c r="L47" s="40"/>
    </row>
    <row r="48" ht="15" spans="1:12">
      <c r="A48" s="234" t="s">
        <v>238</v>
      </c>
      <c r="B48" s="17"/>
      <c r="C48" s="13"/>
      <c r="D48" s="13"/>
      <c r="E48" s="21"/>
      <c r="F48" s="20"/>
      <c r="G48" s="13">
        <v>1</v>
      </c>
      <c r="H48" s="215" t="s">
        <v>239</v>
      </c>
      <c r="I48" s="15" t="s">
        <v>222</v>
      </c>
      <c r="J48" s="16">
        <v>1</v>
      </c>
      <c r="K48" s="30"/>
      <c r="L48" s="40">
        <v>1.5</v>
      </c>
    </row>
    <row r="49" ht="15" spans="1:12">
      <c r="A49" s="232"/>
      <c r="B49" s="17"/>
      <c r="C49" s="13"/>
      <c r="D49" s="13"/>
      <c r="E49" s="21"/>
      <c r="F49" s="20"/>
      <c r="G49" s="13">
        <v>2</v>
      </c>
      <c r="H49" s="215" t="s">
        <v>239</v>
      </c>
      <c r="I49" s="15" t="s">
        <v>232</v>
      </c>
      <c r="J49" s="16">
        <v>1</v>
      </c>
      <c r="K49" s="30"/>
      <c r="L49" s="40">
        <v>0.5</v>
      </c>
    </row>
    <row r="50" ht="15" spans="1:12">
      <c r="A50" s="232"/>
      <c r="B50" s="17"/>
      <c r="C50" s="13"/>
      <c r="D50" s="13"/>
      <c r="E50" s="34" t="s">
        <v>174</v>
      </c>
      <c r="F50" s="34"/>
      <c r="G50" s="34"/>
      <c r="H50" s="34"/>
      <c r="I50" s="34"/>
      <c r="J50" s="35"/>
      <c r="K50" s="36"/>
      <c r="L50" s="37">
        <f>SUM(L48:L49)</f>
        <v>2</v>
      </c>
    </row>
    <row r="51" ht="15.6" spans="1:12">
      <c r="A51" s="232"/>
      <c r="B51" s="17"/>
      <c r="C51" s="13"/>
      <c r="D51" s="13"/>
      <c r="E51" s="30" t="s">
        <v>175</v>
      </c>
      <c r="F51" s="30"/>
      <c r="G51" s="30"/>
      <c r="H51" s="38"/>
      <c r="I51" s="13"/>
      <c r="J51" s="39"/>
      <c r="K51" s="30"/>
      <c r="L51" s="40"/>
    </row>
    <row r="52" ht="15" spans="1:12">
      <c r="A52" s="233"/>
      <c r="B52" s="17"/>
      <c r="C52" s="13"/>
      <c r="D52" s="13"/>
      <c r="E52" s="30"/>
      <c r="F52" s="30"/>
      <c r="G52" s="30"/>
      <c r="H52" s="14"/>
      <c r="I52" s="30"/>
      <c r="J52" s="39"/>
      <c r="K52" s="30"/>
      <c r="L52" s="40"/>
    </row>
  </sheetData>
  <mergeCells count="67">
    <mergeCell ref="E10:H10"/>
    <mergeCell ref="E16:H16"/>
    <mergeCell ref="E23:H23"/>
    <mergeCell ref="E29:H29"/>
    <mergeCell ref="E36:H36"/>
    <mergeCell ref="E45:H45"/>
    <mergeCell ref="E50:H50"/>
    <mergeCell ref="A2:A12"/>
    <mergeCell ref="A13:A18"/>
    <mergeCell ref="A19:A25"/>
    <mergeCell ref="A26:A31"/>
    <mergeCell ref="A32:A38"/>
    <mergeCell ref="A39:A47"/>
    <mergeCell ref="A48:A52"/>
    <mergeCell ref="B2:B12"/>
    <mergeCell ref="B13:B18"/>
    <mergeCell ref="B19:B25"/>
    <mergeCell ref="B26:B31"/>
    <mergeCell ref="B32:B38"/>
    <mergeCell ref="B39:B47"/>
    <mergeCell ref="B48:B52"/>
    <mergeCell ref="C2:C12"/>
    <mergeCell ref="C13:C18"/>
    <mergeCell ref="C19:C25"/>
    <mergeCell ref="C26:C31"/>
    <mergeCell ref="C32:C38"/>
    <mergeCell ref="C39:C47"/>
    <mergeCell ref="C48:C52"/>
    <mergeCell ref="D2:D12"/>
    <mergeCell ref="D13:D18"/>
    <mergeCell ref="D19:D25"/>
    <mergeCell ref="D26:D31"/>
    <mergeCell ref="D32:D38"/>
    <mergeCell ref="D39:D47"/>
    <mergeCell ref="D48:D52"/>
    <mergeCell ref="E2:E9"/>
    <mergeCell ref="E11:E12"/>
    <mergeCell ref="E13:E15"/>
    <mergeCell ref="E17:E18"/>
    <mergeCell ref="E19:E22"/>
    <mergeCell ref="E24:E25"/>
    <mergeCell ref="E26:E28"/>
    <mergeCell ref="E30:E31"/>
    <mergeCell ref="E32:E35"/>
    <mergeCell ref="E37:E38"/>
    <mergeCell ref="E39:E44"/>
    <mergeCell ref="E46:E47"/>
    <mergeCell ref="E48:E49"/>
    <mergeCell ref="E51:E52"/>
    <mergeCell ref="F2:F9"/>
    <mergeCell ref="F11:F12"/>
    <mergeCell ref="F13:F15"/>
    <mergeCell ref="F17:F18"/>
    <mergeCell ref="F19:F20"/>
    <mergeCell ref="F21:F22"/>
    <mergeCell ref="F24:F25"/>
    <mergeCell ref="F26:F28"/>
    <mergeCell ref="F30:F31"/>
    <mergeCell ref="F32:F35"/>
    <mergeCell ref="F37:F38"/>
    <mergeCell ref="F39:F44"/>
    <mergeCell ref="F46:F47"/>
    <mergeCell ref="F48:F49"/>
    <mergeCell ref="F51:F52"/>
    <mergeCell ref="G5:G9"/>
    <mergeCell ref="H5:H7"/>
    <mergeCell ref="H8:H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30"/>
  <sheetViews>
    <sheetView workbookViewId="0">
      <pane ySplit="1" topLeftCell="A9" activePane="bottomLeft" state="frozen"/>
      <selection/>
      <selection pane="bottomLeft" activeCell="C13" sqref="C13:C17"/>
    </sheetView>
  </sheetViews>
  <sheetFormatPr defaultColWidth="8.71296296296296" defaultRowHeight="13.2"/>
  <cols>
    <col min="1" max="1" width="22.4259259259259" style="1" customWidth="1"/>
    <col min="2" max="2" width="11.7222222222222" style="1" customWidth="1"/>
    <col min="3" max="7" width="9.14814814814815" style="1"/>
    <col min="8" max="8" width="59.7222222222222" style="1" customWidth="1"/>
    <col min="9" max="11" width="9.14814814814815" style="1"/>
    <col min="12" max="12" width="19.5740740740741" style="2" customWidth="1"/>
    <col min="13" max="16384" width="9.14814814814815" style="1"/>
  </cols>
  <sheetData>
    <row r="1" ht="69.6"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ht="15.6" spans="1:26">
      <c r="A2" s="3" t="s">
        <v>240</v>
      </c>
      <c r="B2" s="17" t="s">
        <v>60</v>
      </c>
      <c r="C2" s="16">
        <v>1</v>
      </c>
      <c r="D2" s="13"/>
      <c r="E2" s="30" t="s">
        <v>154</v>
      </c>
      <c r="F2" s="13" t="s">
        <v>187</v>
      </c>
      <c r="G2" s="13">
        <v>1</v>
      </c>
      <c r="H2" s="14" t="s">
        <v>241</v>
      </c>
      <c r="I2" s="15" t="s">
        <v>242</v>
      </c>
      <c r="J2" s="16">
        <v>0.99</v>
      </c>
      <c r="K2" s="30"/>
      <c r="L2" s="17">
        <v>1.5</v>
      </c>
    </row>
    <row r="3" ht="15.6" spans="1:26">
      <c r="A3" s="3"/>
      <c r="B3" s="17"/>
      <c r="C3" s="16"/>
      <c r="D3" s="13"/>
      <c r="E3" s="30"/>
      <c r="F3" s="13"/>
      <c r="G3" s="13">
        <v>2</v>
      </c>
      <c r="H3" s="14" t="s">
        <v>243</v>
      </c>
      <c r="I3" s="15" t="s">
        <v>244</v>
      </c>
      <c r="J3" s="16">
        <v>1</v>
      </c>
      <c r="K3" s="30"/>
      <c r="L3" s="17">
        <v>3</v>
      </c>
    </row>
    <row r="4" ht="15.6" spans="1:26">
      <c r="A4" s="3"/>
      <c r="B4" s="17"/>
      <c r="C4" s="16"/>
      <c r="D4" s="13"/>
      <c r="E4" s="30"/>
      <c r="F4" s="13"/>
      <c r="G4" s="13"/>
      <c r="H4" s="14"/>
      <c r="I4" s="15" t="s">
        <v>234</v>
      </c>
      <c r="J4" s="16"/>
      <c r="K4" s="30"/>
      <c r="L4" s="17">
        <v>2</v>
      </c>
    </row>
    <row r="5" ht="15.6" spans="1:26">
      <c r="A5" s="3"/>
      <c r="B5" s="17"/>
      <c r="C5" s="16"/>
      <c r="D5" s="13"/>
      <c r="E5" s="30"/>
      <c r="F5" s="13"/>
      <c r="G5" s="13">
        <v>3</v>
      </c>
      <c r="H5" s="14" t="s">
        <v>245</v>
      </c>
      <c r="I5" s="15" t="s">
        <v>246</v>
      </c>
      <c r="J5" s="16">
        <v>1</v>
      </c>
      <c r="K5" s="30"/>
      <c r="L5" s="17">
        <v>0.5</v>
      </c>
    </row>
    <row r="6" ht="15.6" spans="1:26">
      <c r="A6" s="3"/>
      <c r="B6" s="17"/>
      <c r="C6" s="16"/>
      <c r="D6" s="13"/>
      <c r="E6" s="30"/>
      <c r="F6" s="13"/>
      <c r="G6" s="13">
        <v>4</v>
      </c>
      <c r="H6" s="14" t="s">
        <v>247</v>
      </c>
      <c r="I6" s="15" t="s">
        <v>234</v>
      </c>
      <c r="J6" s="16">
        <v>0.85</v>
      </c>
      <c r="K6" s="30"/>
      <c r="L6" s="17">
        <v>0.5</v>
      </c>
    </row>
    <row r="7" ht="15.6" spans="1:26">
      <c r="A7" s="3"/>
      <c r="B7" s="17"/>
      <c r="C7" s="16"/>
      <c r="D7" s="13"/>
      <c r="E7" s="30"/>
      <c r="F7" s="13"/>
      <c r="G7" s="13"/>
      <c r="H7" s="14"/>
      <c r="I7" s="15" t="s">
        <v>248</v>
      </c>
      <c r="J7" s="16"/>
      <c r="K7" s="30"/>
      <c r="L7" s="17">
        <v>2</v>
      </c>
    </row>
    <row r="8" ht="15.6" spans="1:26">
      <c r="A8" s="3"/>
      <c r="B8" s="17"/>
      <c r="C8" s="16"/>
      <c r="D8" s="13"/>
      <c r="E8" s="30"/>
      <c r="F8" s="13"/>
      <c r="G8" s="13">
        <v>5</v>
      </c>
      <c r="H8" s="14" t="s">
        <v>249</v>
      </c>
      <c r="I8" s="15" t="s">
        <v>236</v>
      </c>
      <c r="J8" s="16">
        <v>1</v>
      </c>
      <c r="K8" s="30"/>
      <c r="L8" s="17">
        <v>2</v>
      </c>
    </row>
    <row r="9" ht="15.6" spans="1:26">
      <c r="A9" s="3"/>
      <c r="B9" s="17"/>
      <c r="C9" s="16"/>
      <c r="D9" s="13"/>
      <c r="E9" s="30"/>
      <c r="F9" s="13"/>
      <c r="G9" s="13">
        <v>6</v>
      </c>
      <c r="H9" s="14" t="s">
        <v>250</v>
      </c>
      <c r="I9" s="15" t="s">
        <v>251</v>
      </c>
      <c r="J9" s="16">
        <v>1</v>
      </c>
      <c r="K9" s="30"/>
      <c r="L9" s="17">
        <v>1</v>
      </c>
    </row>
    <row r="10" ht="27" customHeight="1" spans="1:26">
      <c r="A10" s="3"/>
      <c r="B10" s="17"/>
      <c r="C10" s="16"/>
      <c r="D10" s="13"/>
      <c r="E10" s="34" t="s">
        <v>174</v>
      </c>
      <c r="F10" s="34"/>
      <c r="G10" s="34"/>
      <c r="H10" s="34"/>
      <c r="I10" s="34"/>
      <c r="J10" s="35"/>
      <c r="K10" s="36"/>
      <c r="L10" s="37">
        <f>SUM(L2:L9)</f>
        <v>12.5</v>
      </c>
    </row>
    <row r="11" ht="15.6" spans="1:26">
      <c r="A11" s="3"/>
      <c r="B11" s="17"/>
      <c r="C11" s="16"/>
      <c r="D11" s="13"/>
      <c r="E11" s="30" t="s">
        <v>175</v>
      </c>
      <c r="F11" s="30" t="s">
        <v>187</v>
      </c>
      <c r="G11" s="30">
        <v>1</v>
      </c>
      <c r="H11" s="38" t="s">
        <v>252</v>
      </c>
      <c r="I11" s="13" t="s">
        <v>242</v>
      </c>
      <c r="J11" s="39"/>
      <c r="K11" s="30"/>
      <c r="L11" s="40"/>
    </row>
    <row r="12" ht="15" spans="1:26">
      <c r="A12" s="9"/>
      <c r="B12" s="10"/>
      <c r="C12" s="24"/>
      <c r="D12" s="11"/>
      <c r="E12" s="12"/>
      <c r="F12" s="12"/>
      <c r="G12" s="30">
        <v>2</v>
      </c>
      <c r="H12" s="215" t="s">
        <v>253</v>
      </c>
      <c r="I12" s="15" t="s">
        <v>234</v>
      </c>
      <c r="J12" s="16"/>
      <c r="K12" s="30"/>
      <c r="L12" s="40"/>
    </row>
    <row r="13" ht="15" spans="1:26">
      <c r="A13" s="9" t="s">
        <v>254</v>
      </c>
      <c r="B13" s="10" t="s">
        <v>63</v>
      </c>
      <c r="C13" s="24">
        <v>0.85</v>
      </c>
      <c r="D13" s="11"/>
      <c r="E13" s="12" t="s">
        <v>154</v>
      </c>
      <c r="F13" s="11" t="s">
        <v>76</v>
      </c>
      <c r="G13" s="13">
        <v>1</v>
      </c>
      <c r="H13" s="215" t="s">
        <v>255</v>
      </c>
      <c r="I13" s="15" t="s">
        <v>216</v>
      </c>
      <c r="J13" s="16">
        <v>0.95</v>
      </c>
      <c r="K13" s="30"/>
      <c r="L13" s="40">
        <v>1</v>
      </c>
    </row>
    <row r="14" ht="15" spans="1:26">
      <c r="A14" s="18"/>
      <c r="B14" s="19"/>
      <c r="C14" s="26"/>
      <c r="D14" s="20"/>
      <c r="E14" s="21"/>
      <c r="F14" s="20"/>
      <c r="G14" s="13">
        <v>2</v>
      </c>
      <c r="H14" s="215" t="s">
        <v>256</v>
      </c>
      <c r="I14" s="15" t="s">
        <v>236</v>
      </c>
      <c r="J14" s="16"/>
      <c r="K14" s="30"/>
      <c r="L14" s="40">
        <v>2</v>
      </c>
    </row>
    <row r="15" ht="15" spans="1:26">
      <c r="A15" s="18"/>
      <c r="B15" s="19"/>
      <c r="C15" s="26"/>
      <c r="D15" s="20"/>
      <c r="E15" s="21"/>
      <c r="F15" s="20"/>
      <c r="G15" s="13">
        <v>3</v>
      </c>
      <c r="H15" s="215" t="s">
        <v>257</v>
      </c>
      <c r="I15" s="15" t="s">
        <v>251</v>
      </c>
      <c r="J15" s="16"/>
      <c r="K15" s="30"/>
      <c r="L15" s="40">
        <v>3</v>
      </c>
    </row>
    <row r="16" ht="15" spans="1:26">
      <c r="A16" s="18"/>
      <c r="B16" s="19"/>
      <c r="C16" s="26"/>
      <c r="D16" s="20"/>
      <c r="E16" s="34" t="s">
        <v>174</v>
      </c>
      <c r="F16" s="34"/>
      <c r="G16" s="34"/>
      <c r="H16" s="34"/>
      <c r="I16" s="34"/>
      <c r="J16" s="35"/>
      <c r="K16" s="36"/>
      <c r="L16" s="37">
        <f>SUM(L13:L15)</f>
        <v>6</v>
      </c>
    </row>
    <row r="17" ht="15" spans="1:12">
      <c r="A17" s="18"/>
      <c r="B17" s="19"/>
      <c r="C17" s="26"/>
      <c r="D17" s="20"/>
      <c r="E17" s="12" t="s">
        <v>175</v>
      </c>
      <c r="F17" s="11" t="s">
        <v>76</v>
      </c>
      <c r="G17" s="13">
        <v>1</v>
      </c>
      <c r="H17" s="215" t="s">
        <v>258</v>
      </c>
      <c r="I17" s="15" t="s">
        <v>216</v>
      </c>
      <c r="J17" s="216"/>
      <c r="K17" s="30"/>
      <c r="L17" s="40"/>
    </row>
    <row r="18" ht="27" customHeight="1" spans="1:12">
      <c r="A18" s="3" t="s">
        <v>259</v>
      </c>
      <c r="B18" s="17" t="s">
        <v>66</v>
      </c>
      <c r="C18" s="13"/>
      <c r="D18" s="13"/>
      <c r="E18" s="30" t="s">
        <v>154</v>
      </c>
      <c r="F18" s="13" t="s">
        <v>68</v>
      </c>
      <c r="G18" s="13">
        <v>1</v>
      </c>
      <c r="H18" s="14" t="s">
        <v>260</v>
      </c>
      <c r="I18" s="15" t="s">
        <v>261</v>
      </c>
      <c r="J18" s="16">
        <v>1</v>
      </c>
      <c r="K18" s="30"/>
      <c r="L18" s="40">
        <v>2</v>
      </c>
    </row>
    <row r="19" ht="15" spans="1:12">
      <c r="A19" s="3"/>
      <c r="B19" s="17"/>
      <c r="C19" s="13"/>
      <c r="D19" s="13"/>
      <c r="E19" s="30"/>
      <c r="F19" s="13"/>
      <c r="G19" s="13"/>
      <c r="H19" s="14"/>
      <c r="I19" s="15" t="s">
        <v>41</v>
      </c>
      <c r="J19" s="16"/>
      <c r="K19" s="30"/>
      <c r="L19" s="40">
        <v>4</v>
      </c>
    </row>
    <row r="20" ht="15" spans="1:12">
      <c r="A20" s="3"/>
      <c r="B20" s="17"/>
      <c r="C20" s="13"/>
      <c r="D20" s="13"/>
      <c r="E20" s="30"/>
      <c r="F20" s="13"/>
      <c r="G20" s="13"/>
      <c r="H20" s="14"/>
      <c r="I20" s="15" t="s">
        <v>246</v>
      </c>
      <c r="J20" s="16"/>
      <c r="K20" s="30"/>
      <c r="L20" s="40">
        <v>3</v>
      </c>
    </row>
    <row r="21" ht="15" spans="1:12">
      <c r="A21" s="3"/>
      <c r="B21" s="17"/>
      <c r="C21" s="13"/>
      <c r="D21" s="13"/>
      <c r="E21" s="30"/>
      <c r="F21" s="13"/>
      <c r="G21" s="13">
        <v>2</v>
      </c>
      <c r="H21" s="14" t="s">
        <v>262</v>
      </c>
      <c r="I21" s="15" t="s">
        <v>263</v>
      </c>
      <c r="J21" s="16">
        <v>1</v>
      </c>
      <c r="K21" s="30"/>
      <c r="L21" s="40">
        <v>4</v>
      </c>
    </row>
    <row r="22" ht="15" spans="1:12">
      <c r="A22" s="3"/>
      <c r="B22" s="17"/>
      <c r="C22" s="13"/>
      <c r="D22" s="13"/>
      <c r="E22" s="30"/>
      <c r="F22" s="13"/>
      <c r="G22" s="13"/>
      <c r="H22" s="14"/>
      <c r="I22" s="15" t="s">
        <v>264</v>
      </c>
      <c r="J22" s="16"/>
      <c r="K22" s="30"/>
      <c r="L22" s="40">
        <v>1.5</v>
      </c>
    </row>
    <row r="23" ht="15" spans="1:12">
      <c r="A23" s="3"/>
      <c r="B23" s="17"/>
      <c r="C23" s="13"/>
      <c r="D23" s="13"/>
      <c r="E23" s="30"/>
      <c r="F23" s="13"/>
      <c r="G23" s="13">
        <v>3</v>
      </c>
      <c r="H23" s="14" t="s">
        <v>265</v>
      </c>
      <c r="I23" s="15" t="s">
        <v>60</v>
      </c>
      <c r="J23" s="16">
        <v>1</v>
      </c>
      <c r="K23" s="30"/>
      <c r="L23" s="40">
        <v>1.5</v>
      </c>
    </row>
    <row r="24" ht="15" spans="1:12">
      <c r="A24" s="3"/>
      <c r="B24" s="17"/>
      <c r="C24" s="13"/>
      <c r="D24" s="13"/>
      <c r="E24" s="30"/>
      <c r="F24" s="13"/>
      <c r="G24" s="13">
        <v>4</v>
      </c>
      <c r="H24" s="14" t="s">
        <v>266</v>
      </c>
      <c r="I24" s="15" t="s">
        <v>60</v>
      </c>
      <c r="J24" s="16">
        <v>1</v>
      </c>
      <c r="K24" s="30"/>
      <c r="L24" s="40">
        <v>0.5</v>
      </c>
    </row>
    <row r="25" ht="15" spans="1:12">
      <c r="A25" s="3"/>
      <c r="B25" s="17"/>
      <c r="C25" s="13"/>
      <c r="D25" s="13"/>
      <c r="E25" s="30"/>
      <c r="F25" s="13"/>
      <c r="G25" s="13"/>
      <c r="H25" s="14"/>
      <c r="I25" s="15" t="s">
        <v>246</v>
      </c>
      <c r="J25" s="16"/>
      <c r="K25" s="30"/>
      <c r="L25" s="40">
        <v>0.5</v>
      </c>
    </row>
    <row r="26" ht="15" spans="1:12">
      <c r="A26" s="3"/>
      <c r="B26" s="17"/>
      <c r="C26" s="13"/>
      <c r="D26" s="13"/>
      <c r="E26" s="34" t="s">
        <v>174</v>
      </c>
      <c r="F26" s="34"/>
      <c r="G26" s="34"/>
      <c r="H26" s="34"/>
      <c r="I26" s="34"/>
      <c r="J26" s="35"/>
      <c r="K26" s="36"/>
      <c r="L26" s="37">
        <f>SUM(L18:L25)</f>
        <v>17</v>
      </c>
    </row>
    <row r="27" ht="15" spans="1:12">
      <c r="A27" s="3"/>
      <c r="B27" s="17"/>
      <c r="C27" s="13"/>
      <c r="D27" s="13"/>
      <c r="E27" s="30" t="s">
        <v>175</v>
      </c>
      <c r="F27" s="30" t="s">
        <v>68</v>
      </c>
      <c r="G27" s="13">
        <v>1</v>
      </c>
      <c r="H27" s="215" t="s">
        <v>267</v>
      </c>
      <c r="I27" s="15" t="s">
        <v>246</v>
      </c>
      <c r="J27" s="39"/>
      <c r="K27" s="30"/>
      <c r="L27" s="40"/>
    </row>
    <row r="28" ht="15" spans="1:12">
      <c r="A28" s="3"/>
      <c r="B28" s="17"/>
      <c r="C28" s="13"/>
      <c r="D28" s="13"/>
      <c r="E28" s="30"/>
      <c r="F28" s="30"/>
      <c r="G28" s="13">
        <v>2</v>
      </c>
      <c r="H28" s="14" t="s">
        <v>268</v>
      </c>
      <c r="I28" s="15" t="s">
        <v>60</v>
      </c>
      <c r="J28" s="39"/>
      <c r="K28" s="30"/>
      <c r="L28" s="40"/>
    </row>
    <row r="29" ht="15" spans="1:12">
      <c r="A29" s="3"/>
      <c r="B29" s="17"/>
      <c r="C29" s="13"/>
      <c r="D29" s="13"/>
      <c r="E29" s="30"/>
      <c r="F29" s="30"/>
      <c r="G29" s="13">
        <v>3</v>
      </c>
      <c r="H29" s="14" t="s">
        <v>269</v>
      </c>
      <c r="I29" s="15" t="s">
        <v>246</v>
      </c>
      <c r="J29" s="39"/>
      <c r="K29" s="30"/>
      <c r="L29" s="40"/>
    </row>
    <row r="30" ht="15" spans="1:12">
      <c r="A30" s="3"/>
      <c r="B30" s="17"/>
      <c r="C30" s="13"/>
      <c r="D30" s="13"/>
      <c r="E30" s="30"/>
      <c r="F30" s="30"/>
      <c r="G30" s="13">
        <v>4</v>
      </c>
      <c r="H30" s="14" t="s">
        <v>270</v>
      </c>
      <c r="I30" s="15" t="s">
        <v>246</v>
      </c>
      <c r="J30" s="39"/>
      <c r="K30" s="30"/>
      <c r="L30" s="40"/>
    </row>
  </sheetData>
  <mergeCells count="41">
    <mergeCell ref="E10:H10"/>
    <mergeCell ref="E16:H16"/>
    <mergeCell ref="E26:H26"/>
    <mergeCell ref="A2:A12"/>
    <mergeCell ref="A13:A17"/>
    <mergeCell ref="A18:A30"/>
    <mergeCell ref="B2:B12"/>
    <mergeCell ref="B13:B17"/>
    <mergeCell ref="B18:B30"/>
    <mergeCell ref="C2:C12"/>
    <mergeCell ref="C13:C17"/>
    <mergeCell ref="C18:C30"/>
    <mergeCell ref="D2:D12"/>
    <mergeCell ref="D13:D17"/>
    <mergeCell ref="D18:D30"/>
    <mergeCell ref="E2:E9"/>
    <mergeCell ref="E11:E12"/>
    <mergeCell ref="E13:E15"/>
    <mergeCell ref="E18:E25"/>
    <mergeCell ref="E27:E30"/>
    <mergeCell ref="F2:F9"/>
    <mergeCell ref="F11:F12"/>
    <mergeCell ref="F13:F15"/>
    <mergeCell ref="F18:F25"/>
    <mergeCell ref="F27:F30"/>
    <mergeCell ref="G3:G4"/>
    <mergeCell ref="G6:G7"/>
    <mergeCell ref="G18:G20"/>
    <mergeCell ref="G21:G22"/>
    <mergeCell ref="G24:G25"/>
    <mergeCell ref="H3:H4"/>
    <mergeCell ref="H6:H7"/>
    <mergeCell ref="H18:H20"/>
    <mergeCell ref="H21:H22"/>
    <mergeCell ref="H24:H25"/>
    <mergeCell ref="J3:J4"/>
    <mergeCell ref="J6:J7"/>
    <mergeCell ref="J13:J15"/>
    <mergeCell ref="J18:J20"/>
    <mergeCell ref="J21:J22"/>
    <mergeCell ref="J24:J25"/>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8"/>
  <sheetViews>
    <sheetView workbookViewId="0">
      <pane ySplit="1" topLeftCell="A7" activePane="bottomLeft" state="frozen"/>
      <selection/>
      <selection pane="bottomLeft" activeCell="A36" sqref="A36"/>
    </sheetView>
  </sheetViews>
  <sheetFormatPr defaultColWidth="9.13888888888889" defaultRowHeight="13.2"/>
  <cols>
    <col min="1" max="1" width="22.4259259259259" style="1" customWidth="1"/>
    <col min="2" max="2" width="11.712962962963" style="1" customWidth="1"/>
    <col min="3" max="3" width="12.5" style="1"/>
    <col min="4"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ht="15" spans="1:26">
      <c r="A2" s="163" t="s">
        <v>271</v>
      </c>
      <c r="B2" s="164" t="s">
        <v>71</v>
      </c>
      <c r="C2" s="165" t="s">
        <v>272</v>
      </c>
      <c r="D2" s="166"/>
      <c r="E2" s="167" t="s">
        <v>154</v>
      </c>
      <c r="F2" s="166" t="s">
        <v>76</v>
      </c>
      <c r="G2" s="27">
        <v>1</v>
      </c>
      <c r="H2" s="99" t="s">
        <v>273</v>
      </c>
      <c r="I2" s="168" t="s">
        <v>82</v>
      </c>
      <c r="J2" s="101">
        <v>1</v>
      </c>
      <c r="K2" s="169"/>
      <c r="L2" s="170">
        <v>0.25</v>
      </c>
    </row>
    <row r="3" ht="15" spans="1:26">
      <c r="A3" s="171"/>
      <c r="B3" s="172"/>
      <c r="C3" s="173"/>
      <c r="D3" s="169"/>
      <c r="E3" s="174"/>
      <c r="F3" s="169"/>
      <c r="G3" s="13">
        <v>2</v>
      </c>
      <c r="H3" s="103"/>
      <c r="I3" s="168"/>
      <c r="J3" s="101"/>
      <c r="K3" s="169"/>
      <c r="L3" s="170"/>
    </row>
    <row r="4" ht="15" spans="1:26">
      <c r="A4" s="171"/>
      <c r="B4" s="172"/>
      <c r="C4" s="173"/>
      <c r="D4" s="169"/>
      <c r="E4" s="175"/>
      <c r="F4" s="176"/>
      <c r="G4" s="11">
        <v>3</v>
      </c>
      <c r="H4" s="162"/>
      <c r="I4" s="168"/>
      <c r="J4" s="101"/>
      <c r="K4" s="168"/>
      <c r="L4" s="170"/>
    </row>
    <row r="5" ht="15" spans="1:26">
      <c r="A5" s="171"/>
      <c r="B5" s="172"/>
      <c r="C5" s="173"/>
      <c r="D5" s="169"/>
      <c r="E5" s="177" t="s">
        <v>174</v>
      </c>
      <c r="F5" s="178"/>
      <c r="G5" s="178"/>
      <c r="H5" s="179"/>
      <c r="I5" s="180"/>
      <c r="J5" s="181"/>
      <c r="K5" s="182"/>
      <c r="L5" s="183">
        <f>SUM(L2:L4)</f>
        <v>0.25</v>
      </c>
    </row>
    <row r="6" ht="15.6" spans="1:26">
      <c r="A6" s="171"/>
      <c r="B6" s="172"/>
      <c r="C6" s="173"/>
      <c r="D6" s="169"/>
      <c r="E6" s="167" t="s">
        <v>175</v>
      </c>
      <c r="F6" s="184" t="s">
        <v>76</v>
      </c>
      <c r="G6" s="27">
        <v>1</v>
      </c>
      <c r="H6" s="185"/>
      <c r="I6" s="169"/>
      <c r="J6" s="186"/>
      <c r="K6" s="174"/>
      <c r="L6" s="170"/>
    </row>
    <row r="7" ht="15.6" spans="1:26">
      <c r="A7" s="171"/>
      <c r="B7" s="172"/>
      <c r="C7" s="173"/>
      <c r="D7" s="169"/>
      <c r="E7" s="174"/>
      <c r="F7" s="187"/>
      <c r="G7" s="13">
        <v>2</v>
      </c>
      <c r="H7" s="188"/>
      <c r="I7" s="174"/>
      <c r="J7" s="186"/>
      <c r="K7" s="174"/>
      <c r="L7" s="170"/>
    </row>
    <row r="8" ht="30" spans="1:26">
      <c r="A8" s="163" t="s">
        <v>274</v>
      </c>
      <c r="B8" s="164" t="s">
        <v>71</v>
      </c>
      <c r="C8" s="165" t="s">
        <v>275</v>
      </c>
      <c r="D8" s="166"/>
      <c r="E8" s="167" t="s">
        <v>154</v>
      </c>
      <c r="F8" s="166" t="s">
        <v>76</v>
      </c>
      <c r="G8" s="13">
        <v>1</v>
      </c>
      <c r="H8" s="189" t="s">
        <v>276</v>
      </c>
      <c r="I8" s="190" t="s">
        <v>82</v>
      </c>
      <c r="J8" s="101">
        <v>1</v>
      </c>
      <c r="K8" s="169"/>
      <c r="L8" s="170">
        <v>0.25</v>
      </c>
    </row>
    <row r="9" ht="15" spans="1:26">
      <c r="A9" s="163"/>
      <c r="B9" s="164"/>
      <c r="C9" s="165"/>
      <c r="D9" s="166"/>
      <c r="E9" s="167"/>
      <c r="F9" s="166"/>
      <c r="G9" s="13">
        <v>2</v>
      </c>
      <c r="H9" s="191"/>
      <c r="I9" s="190"/>
      <c r="J9" s="101"/>
      <c r="K9" s="169"/>
      <c r="L9" s="170"/>
    </row>
    <row r="10" ht="18" customHeight="1" spans="1:26">
      <c r="A10" s="163"/>
      <c r="B10" s="164"/>
      <c r="C10" s="165"/>
      <c r="D10" s="166"/>
      <c r="E10" s="167"/>
      <c r="F10" s="166"/>
      <c r="G10" s="13">
        <v>3</v>
      </c>
      <c r="H10" s="192"/>
      <c r="I10" s="190"/>
      <c r="J10" s="101"/>
      <c r="K10" s="169"/>
      <c r="L10" s="170"/>
    </row>
    <row r="11" ht="15" spans="1:26">
      <c r="A11" s="163"/>
      <c r="B11" s="164"/>
      <c r="C11" s="165"/>
      <c r="D11" s="166"/>
      <c r="E11" s="167"/>
      <c r="F11" s="166"/>
      <c r="G11" s="13">
        <v>4</v>
      </c>
      <c r="H11" s="193"/>
      <c r="I11" s="190"/>
      <c r="J11" s="101"/>
      <c r="K11" s="169"/>
      <c r="L11" s="170"/>
    </row>
    <row r="12" ht="15" spans="1:26">
      <c r="A12" s="163"/>
      <c r="B12" s="164"/>
      <c r="C12" s="165"/>
      <c r="D12" s="166"/>
      <c r="E12" s="167"/>
      <c r="F12" s="166"/>
      <c r="G12" s="13">
        <v>5</v>
      </c>
      <c r="H12" s="194"/>
      <c r="I12" s="190"/>
      <c r="J12" s="101"/>
      <c r="K12" s="169"/>
      <c r="L12" s="170"/>
    </row>
    <row r="13" ht="15" spans="1:26">
      <c r="A13" s="163"/>
      <c r="B13" s="164"/>
      <c r="C13" s="165"/>
      <c r="D13" s="166"/>
      <c r="E13" s="195" t="s">
        <v>174</v>
      </c>
      <c r="F13" s="195"/>
      <c r="G13" s="195"/>
      <c r="H13" s="195"/>
      <c r="I13" s="195"/>
      <c r="J13" s="181"/>
      <c r="K13" s="182"/>
      <c r="L13" s="183">
        <f>SUM(L8:L12)</f>
        <v>0.25</v>
      </c>
    </row>
    <row r="14" ht="15" spans="1:26">
      <c r="A14" s="163"/>
      <c r="B14" s="164"/>
      <c r="C14" s="165"/>
      <c r="D14" s="166"/>
      <c r="E14" s="174" t="s">
        <v>175</v>
      </c>
      <c r="F14" s="174" t="s">
        <v>76</v>
      </c>
      <c r="G14" s="13">
        <v>1</v>
      </c>
      <c r="H14" s="196"/>
      <c r="I14" s="190"/>
      <c r="J14" s="197"/>
      <c r="K14" s="174"/>
      <c r="L14" s="170"/>
    </row>
    <row r="15" ht="15" spans="1:26">
      <c r="A15" s="163"/>
      <c r="B15" s="164"/>
      <c r="C15" s="165"/>
      <c r="D15" s="166"/>
      <c r="E15" s="174"/>
      <c r="F15" s="174"/>
      <c r="G15" s="13">
        <v>2</v>
      </c>
      <c r="H15" s="196"/>
      <c r="I15" s="190"/>
      <c r="J15" s="197"/>
      <c r="K15" s="174"/>
      <c r="L15" s="170"/>
    </row>
    <row r="16" ht="32" customHeight="1" spans="1:26">
      <c r="A16" s="171" t="s">
        <v>277</v>
      </c>
      <c r="B16" s="172" t="s">
        <v>71</v>
      </c>
      <c r="C16" s="173" t="s">
        <v>278</v>
      </c>
      <c r="D16" s="169"/>
      <c r="E16" s="175" t="s">
        <v>154</v>
      </c>
      <c r="F16" s="176" t="s">
        <v>76</v>
      </c>
      <c r="G16" s="13">
        <v>1</v>
      </c>
      <c r="H16" s="198" t="s">
        <v>279</v>
      </c>
      <c r="I16" s="190" t="s">
        <v>71</v>
      </c>
      <c r="J16" s="101">
        <v>0.6</v>
      </c>
      <c r="K16" s="169"/>
      <c r="L16" s="170">
        <v>1</v>
      </c>
    </row>
    <row r="17" ht="32" customHeight="1" spans="1:12">
      <c r="A17" s="171"/>
      <c r="B17" s="172"/>
      <c r="C17" s="173"/>
      <c r="D17" s="169"/>
      <c r="E17" s="175"/>
      <c r="F17" s="176"/>
      <c r="G17" s="13">
        <v>2</v>
      </c>
      <c r="H17" s="198" t="s">
        <v>280</v>
      </c>
      <c r="I17" s="190" t="s">
        <v>281</v>
      </c>
      <c r="J17" s="101">
        <v>1</v>
      </c>
      <c r="K17" s="169"/>
      <c r="L17" s="170">
        <v>2.5</v>
      </c>
    </row>
    <row r="18" ht="27" customHeight="1" spans="1:12">
      <c r="A18" s="171"/>
      <c r="B18" s="172"/>
      <c r="C18" s="173"/>
      <c r="D18" s="169"/>
      <c r="E18" s="175"/>
      <c r="F18" s="176"/>
      <c r="G18" s="13">
        <v>3</v>
      </c>
      <c r="H18" s="99" t="s">
        <v>282</v>
      </c>
      <c r="I18" s="190" t="s">
        <v>71</v>
      </c>
      <c r="J18" s="101">
        <v>0.8</v>
      </c>
      <c r="K18" s="169"/>
      <c r="L18" s="170">
        <v>1.5</v>
      </c>
    </row>
    <row r="19" ht="27" customHeight="1" spans="1:12">
      <c r="A19" s="171"/>
      <c r="B19" s="172"/>
      <c r="C19" s="173"/>
      <c r="D19" s="169"/>
      <c r="E19" s="175"/>
      <c r="F19" s="176"/>
      <c r="G19" s="13">
        <v>4</v>
      </c>
      <c r="H19" s="199"/>
      <c r="I19" s="190" t="s">
        <v>283</v>
      </c>
      <c r="J19" s="101">
        <v>0.8</v>
      </c>
      <c r="K19" s="169"/>
      <c r="L19" s="170">
        <v>4</v>
      </c>
    </row>
    <row r="20" ht="15" spans="1:12">
      <c r="A20" s="171"/>
      <c r="B20" s="172"/>
      <c r="C20" s="173"/>
      <c r="D20" s="169"/>
      <c r="E20" s="195" t="s">
        <v>174</v>
      </c>
      <c r="F20" s="195"/>
      <c r="G20" s="195"/>
      <c r="H20" s="195"/>
      <c r="I20" s="195"/>
      <c r="J20" s="181"/>
      <c r="K20" s="182"/>
      <c r="L20" s="183">
        <f>SUM(L16:L19)</f>
        <v>9</v>
      </c>
    </row>
    <row r="21" ht="15" spans="1:12">
      <c r="A21" s="171"/>
      <c r="B21" s="172"/>
      <c r="C21" s="173"/>
      <c r="D21" s="169"/>
      <c r="E21" s="174" t="s">
        <v>175</v>
      </c>
      <c r="F21" s="174" t="s">
        <v>76</v>
      </c>
      <c r="G21" s="13">
        <v>1</v>
      </c>
      <c r="H21" s="196"/>
      <c r="I21" s="190"/>
      <c r="J21" s="197"/>
      <c r="K21" s="174"/>
      <c r="L21" s="170"/>
    </row>
    <row r="22" ht="15" spans="1:12">
      <c r="A22" s="171"/>
      <c r="B22" s="172"/>
      <c r="C22" s="173"/>
      <c r="D22" s="169"/>
      <c r="E22" s="174"/>
      <c r="F22" s="174"/>
      <c r="G22" s="13">
        <v>2</v>
      </c>
      <c r="H22" s="200"/>
      <c r="I22" s="190"/>
      <c r="J22" s="197"/>
      <c r="K22" s="174"/>
      <c r="L22" s="170"/>
    </row>
    <row r="23" ht="15" spans="1:12">
      <c r="A23" s="201" t="s">
        <v>284</v>
      </c>
      <c r="B23" s="202" t="s">
        <v>82</v>
      </c>
      <c r="C23" s="203" t="s">
        <v>272</v>
      </c>
      <c r="D23" s="204"/>
      <c r="E23" s="205" t="s">
        <v>154</v>
      </c>
      <c r="F23" s="204" t="s">
        <v>76</v>
      </c>
      <c r="G23" s="13">
        <v>1</v>
      </c>
      <c r="H23" s="206"/>
      <c r="I23" s="190"/>
      <c r="J23" s="101"/>
      <c r="K23" s="207"/>
      <c r="L23" s="94"/>
    </row>
    <row r="24" ht="15" spans="1:12">
      <c r="A24" s="201"/>
      <c r="B24" s="202"/>
      <c r="C24" s="203"/>
      <c r="D24" s="204"/>
      <c r="E24" s="205"/>
      <c r="F24" s="204"/>
      <c r="G24" s="13">
        <v>2</v>
      </c>
      <c r="H24" s="208"/>
      <c r="I24" s="190"/>
      <c r="J24" s="101"/>
      <c r="K24" s="207"/>
      <c r="L24" s="94"/>
    </row>
    <row r="25" ht="15" spans="1:12">
      <c r="A25" s="201"/>
      <c r="B25" s="202"/>
      <c r="C25" s="203"/>
      <c r="D25" s="204"/>
      <c r="E25" s="205"/>
      <c r="F25" s="204"/>
      <c r="G25" s="13">
        <v>3</v>
      </c>
      <c r="H25" s="209"/>
      <c r="I25" s="190"/>
      <c r="J25" s="92"/>
      <c r="K25" s="207"/>
      <c r="L25" s="94"/>
    </row>
    <row r="26" ht="15" spans="1:12">
      <c r="A26" s="201"/>
      <c r="B26" s="202"/>
      <c r="C26" s="203"/>
      <c r="D26" s="204"/>
      <c r="E26" s="210" t="s">
        <v>174</v>
      </c>
      <c r="F26" s="178"/>
      <c r="G26" s="178"/>
      <c r="H26" s="211"/>
      <c r="I26" s="35"/>
      <c r="J26" s="35"/>
      <c r="K26" s="212"/>
      <c r="L26" s="37">
        <f>SUM(L23:L25)</f>
        <v>0</v>
      </c>
    </row>
    <row r="27" ht="15" spans="1:12">
      <c r="A27" s="201"/>
      <c r="B27" s="202"/>
      <c r="C27" s="203"/>
      <c r="D27" s="204"/>
      <c r="E27" s="205" t="s">
        <v>175</v>
      </c>
      <c r="F27" s="205" t="s">
        <v>76</v>
      </c>
      <c r="G27" s="13">
        <v>1</v>
      </c>
      <c r="H27" s="213"/>
      <c r="I27" s="190"/>
      <c r="J27" s="92"/>
      <c r="K27" s="205"/>
      <c r="L27" s="94"/>
    </row>
    <row r="28" ht="15" spans="1:12">
      <c r="A28" s="201"/>
      <c r="B28" s="202"/>
      <c r="C28" s="203"/>
      <c r="D28" s="204"/>
      <c r="E28" s="205"/>
      <c r="F28" s="205"/>
      <c r="G28" s="13">
        <v>2</v>
      </c>
      <c r="H28" s="214"/>
      <c r="I28" s="190"/>
      <c r="J28" s="92"/>
      <c r="K28" s="205"/>
      <c r="L28" s="94"/>
    </row>
  </sheetData>
  <mergeCells count="39">
    <mergeCell ref="E5:H5"/>
    <mergeCell ref="E13:H13"/>
    <mergeCell ref="E20:H20"/>
    <mergeCell ref="E26:H26"/>
    <mergeCell ref="A2:A7"/>
    <mergeCell ref="A8:A15"/>
    <mergeCell ref="A16:A22"/>
    <mergeCell ref="A23:A28"/>
    <mergeCell ref="B2:B7"/>
    <mergeCell ref="B8:B15"/>
    <mergeCell ref="B16:B22"/>
    <mergeCell ref="B23:B28"/>
    <mergeCell ref="C2:C7"/>
    <mergeCell ref="C8:C15"/>
    <mergeCell ref="C16:C22"/>
    <mergeCell ref="C23:C28"/>
    <mergeCell ref="D2:D7"/>
    <mergeCell ref="D8:D15"/>
    <mergeCell ref="D16:D22"/>
    <mergeCell ref="D23:D28"/>
    <mergeCell ref="E2:E4"/>
    <mergeCell ref="E6:E7"/>
    <mergeCell ref="E8:E12"/>
    <mergeCell ref="E14:E15"/>
    <mergeCell ref="E16:E19"/>
    <mergeCell ref="E21:E22"/>
    <mergeCell ref="E23:E25"/>
    <mergeCell ref="E27:E28"/>
    <mergeCell ref="F2:F4"/>
    <mergeCell ref="F6:F7"/>
    <mergeCell ref="F8:F12"/>
    <mergeCell ref="F14:F15"/>
    <mergeCell ref="F16:F19"/>
    <mergeCell ref="F21:F22"/>
    <mergeCell ref="F23:F25"/>
    <mergeCell ref="F27:F28"/>
    <mergeCell ref="H2:H3"/>
    <mergeCell ref="H18:H19"/>
    <mergeCell ref="H23:H2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
  <sheetViews>
    <sheetView workbookViewId="0">
      <pane ySplit="1" topLeftCell="A2" activePane="bottomLeft" state="frozen"/>
      <selection/>
      <selection pane="bottomLeft" activeCell="H7" sqref="H7"/>
    </sheetView>
  </sheetViews>
  <sheetFormatPr defaultColWidth="9.16666666666667" defaultRowHeight="13.2"/>
  <cols>
    <col min="1" max="1" width="22.4166666666667" style="158" customWidth="1"/>
    <col min="2" max="2" width="11.75" style="158" customWidth="1"/>
    <col min="3" max="7" width="9.16666666666667" style="158"/>
    <col min="8" max="8" width="59.75" style="158" customWidth="1"/>
    <col min="9" max="11" width="9.16666666666667" style="158"/>
    <col min="12" max="12" width="19.5833333333333" style="159" customWidth="1"/>
    <col min="13" max="16384" width="9.16666666666667" style="158"/>
  </cols>
  <sheetData>
    <row r="1" ht="69.6" spans="1:26">
      <c r="A1" s="45" t="s">
        <v>142</v>
      </c>
      <c r="B1" s="46" t="s">
        <v>6</v>
      </c>
      <c r="C1" s="45" t="s">
        <v>143</v>
      </c>
      <c r="D1" s="45" t="s">
        <v>144</v>
      </c>
      <c r="E1" s="46" t="s">
        <v>145</v>
      </c>
      <c r="F1" s="45" t="s">
        <v>146</v>
      </c>
      <c r="G1" s="45" t="s">
        <v>1</v>
      </c>
      <c r="H1" s="47" t="s">
        <v>147</v>
      </c>
      <c r="I1" s="45" t="s">
        <v>148</v>
      </c>
      <c r="J1" s="48" t="s">
        <v>149</v>
      </c>
      <c r="K1" s="45" t="s">
        <v>150</v>
      </c>
      <c r="L1" s="49" t="s">
        <v>151</v>
      </c>
      <c r="M1" s="50"/>
      <c r="N1" s="50"/>
      <c r="O1" s="50"/>
      <c r="P1" s="50"/>
      <c r="Q1" s="50"/>
      <c r="R1" s="50"/>
      <c r="S1" s="50"/>
      <c r="T1" s="50"/>
      <c r="U1" s="50"/>
      <c r="V1" s="50"/>
      <c r="W1" s="50"/>
      <c r="X1" s="50"/>
      <c r="Y1" s="50"/>
      <c r="Z1" s="50"/>
    </row>
    <row r="2" ht="30" customHeight="1" spans="1:26">
      <c r="A2" s="45" t="s">
        <v>90</v>
      </c>
      <c r="B2" s="51" t="s">
        <v>88</v>
      </c>
      <c r="C2" s="52"/>
      <c r="D2" s="53"/>
      <c r="E2" s="160" t="s">
        <v>154</v>
      </c>
      <c r="F2" s="55" t="s">
        <v>187</v>
      </c>
      <c r="G2" s="53">
        <v>1</v>
      </c>
      <c r="H2" s="56" t="s">
        <v>285</v>
      </c>
      <c r="I2" s="15" t="s">
        <v>88</v>
      </c>
      <c r="J2" s="52">
        <v>1</v>
      </c>
      <c r="K2" s="54"/>
      <c r="L2" s="51">
        <v>1</v>
      </c>
    </row>
    <row r="3" ht="30" customHeight="1" spans="1:26">
      <c r="A3" s="45"/>
      <c r="B3" s="51"/>
      <c r="C3" s="52"/>
      <c r="D3" s="53"/>
      <c r="E3" s="161"/>
      <c r="F3" s="54" t="s">
        <v>68</v>
      </c>
      <c r="G3" s="53">
        <v>2</v>
      </c>
      <c r="H3" s="56" t="s">
        <v>286</v>
      </c>
      <c r="I3" s="15" t="s">
        <v>88</v>
      </c>
      <c r="J3" s="52">
        <v>1</v>
      </c>
      <c r="K3" s="54"/>
      <c r="L3" s="51">
        <v>1</v>
      </c>
    </row>
    <row r="4" ht="30" customHeight="1" spans="1:26">
      <c r="A4" s="45"/>
      <c r="B4" s="51"/>
      <c r="C4" s="52"/>
      <c r="D4" s="53"/>
      <c r="E4" s="161"/>
      <c r="F4" s="55" t="s">
        <v>187</v>
      </c>
      <c r="G4" s="53">
        <v>3</v>
      </c>
      <c r="H4" s="56" t="s">
        <v>287</v>
      </c>
      <c r="I4" s="15" t="s">
        <v>88</v>
      </c>
      <c r="J4" s="52">
        <v>1</v>
      </c>
      <c r="K4" s="54"/>
      <c r="L4" s="51">
        <v>2</v>
      </c>
    </row>
    <row r="5" ht="30" customHeight="1" spans="1:26">
      <c r="A5" s="45"/>
      <c r="B5" s="51"/>
      <c r="C5" s="52"/>
      <c r="D5" s="53"/>
      <c r="E5" s="161"/>
      <c r="F5" s="55" t="s">
        <v>76</v>
      </c>
      <c r="G5" s="53">
        <v>4</v>
      </c>
      <c r="H5" s="56" t="s">
        <v>288</v>
      </c>
      <c r="I5" s="15" t="s">
        <v>289</v>
      </c>
      <c r="J5" s="52">
        <v>1</v>
      </c>
      <c r="K5" s="54"/>
      <c r="L5" s="51">
        <v>2.5</v>
      </c>
    </row>
    <row r="6" ht="27" customHeight="1" spans="1:26">
      <c r="A6" s="45"/>
      <c r="B6" s="51"/>
      <c r="C6" s="53"/>
      <c r="D6" s="53"/>
      <c r="E6" s="34" t="s">
        <v>174</v>
      </c>
      <c r="F6" s="34"/>
      <c r="G6" s="34"/>
      <c r="H6" s="34"/>
      <c r="I6" s="34"/>
      <c r="J6" s="35"/>
      <c r="K6" s="36"/>
      <c r="L6" s="37">
        <f>SUM(L2:L5)</f>
        <v>6.5</v>
      </c>
    </row>
    <row r="7" ht="25.5" customHeight="1" spans="1:26">
      <c r="A7" s="45"/>
      <c r="B7" s="51"/>
      <c r="C7" s="53"/>
      <c r="D7" s="53"/>
      <c r="E7" s="54" t="s">
        <v>175</v>
      </c>
      <c r="F7" s="54" t="s">
        <v>187</v>
      </c>
      <c r="G7" s="54">
        <v>1</v>
      </c>
      <c r="H7" s="56" t="s">
        <v>290</v>
      </c>
      <c r="I7" s="53" t="s">
        <v>88</v>
      </c>
      <c r="J7" s="92">
        <v>1</v>
      </c>
      <c r="K7" s="54"/>
      <c r="L7" s="94">
        <v>15</v>
      </c>
    </row>
    <row r="8" ht="26" customHeight="1" spans="1:26">
      <c r="A8" s="45" t="s">
        <v>291</v>
      </c>
      <c r="B8" s="51" t="s">
        <v>88</v>
      </c>
      <c r="C8" s="53"/>
      <c r="D8" s="53"/>
      <c r="E8" s="54" t="s">
        <v>154</v>
      </c>
      <c r="F8" s="53" t="s">
        <v>187</v>
      </c>
      <c r="G8" s="53">
        <v>1</v>
      </c>
      <c r="H8" s="162" t="s">
        <v>292</v>
      </c>
      <c r="I8" s="15" t="s">
        <v>293</v>
      </c>
      <c r="J8" s="52"/>
      <c r="K8" s="54"/>
      <c r="L8" s="94">
        <v>5</v>
      </c>
    </row>
    <row r="9" ht="15" spans="1:26">
      <c r="A9" s="45"/>
      <c r="B9" s="51"/>
      <c r="C9" s="53"/>
      <c r="D9" s="53"/>
      <c r="E9" s="34" t="s">
        <v>174</v>
      </c>
      <c r="F9" s="34"/>
      <c r="G9" s="34"/>
      <c r="H9" s="34"/>
      <c r="I9" s="34"/>
      <c r="J9" s="35"/>
      <c r="K9" s="36"/>
      <c r="L9" s="37">
        <f>SUM(L8:L8)</f>
        <v>5</v>
      </c>
    </row>
    <row r="10" ht="22.5" customHeight="1" spans="1:26">
      <c r="A10" s="45"/>
      <c r="B10" s="51"/>
      <c r="C10" s="53"/>
      <c r="D10" s="53"/>
      <c r="E10" s="54" t="s">
        <v>175</v>
      </c>
      <c r="F10" s="54" t="s">
        <v>68</v>
      </c>
      <c r="G10" s="53">
        <v>1</v>
      </c>
      <c r="H10" s="162" t="s">
        <v>292</v>
      </c>
      <c r="I10" s="15" t="s">
        <v>293</v>
      </c>
      <c r="J10" s="92"/>
      <c r="K10" s="54"/>
      <c r="L10" s="94">
        <v>5</v>
      </c>
    </row>
  </sheetData>
  <mergeCells count="11">
    <mergeCell ref="E6:H6"/>
    <mergeCell ref="E9:H9"/>
    <mergeCell ref="A2:A7"/>
    <mergeCell ref="A8:A10"/>
    <mergeCell ref="B2:B7"/>
    <mergeCell ref="B8:B10"/>
    <mergeCell ref="C2:C7"/>
    <mergeCell ref="C8:C10"/>
    <mergeCell ref="D2:D7"/>
    <mergeCell ref="D8:D10"/>
    <mergeCell ref="E2:E5"/>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02"/>
  <sheetViews>
    <sheetView workbookViewId="0">
      <pane ySplit="1" topLeftCell="A2" activePane="bottomLeft" state="frozen"/>
      <selection/>
      <selection pane="bottomLeft" activeCell="G32" sqref="$A32:$XFD38"/>
    </sheetView>
  </sheetViews>
  <sheetFormatPr defaultColWidth="8" defaultRowHeight="13.2"/>
  <cols>
    <col min="1" max="1" width="19.6296296296296" style="1" customWidth="1"/>
    <col min="2" max="2" width="10.25" style="1" customWidth="1"/>
    <col min="3" max="5" width="8" style="1"/>
    <col min="6" max="6" width="20.3796296296296" style="1" customWidth="1"/>
    <col min="7" max="7" width="8" style="1"/>
    <col min="8" max="8" width="52.25" style="1" customWidth="1"/>
    <col min="9" max="11" width="8" style="1"/>
    <col min="12" max="12" width="17.1296296296296" style="2" customWidth="1"/>
    <col min="13" max="16384" width="8" style="1"/>
  </cols>
  <sheetData>
    <row r="1" ht="62.4" spans="1:26">
      <c r="A1" s="105" t="s">
        <v>142</v>
      </c>
      <c r="B1" s="106" t="s">
        <v>6</v>
      </c>
      <c r="C1" s="105" t="s">
        <v>143</v>
      </c>
      <c r="D1" s="105" t="s">
        <v>144</v>
      </c>
      <c r="E1" s="106" t="s">
        <v>145</v>
      </c>
      <c r="F1" s="105" t="s">
        <v>146</v>
      </c>
      <c r="G1" s="105" t="s">
        <v>1</v>
      </c>
      <c r="H1" s="107" t="s">
        <v>147</v>
      </c>
      <c r="I1" s="105" t="s">
        <v>148</v>
      </c>
      <c r="J1" s="108" t="s">
        <v>149</v>
      </c>
      <c r="K1" s="105" t="s">
        <v>150</v>
      </c>
      <c r="L1" s="109" t="s">
        <v>151</v>
      </c>
      <c r="M1" s="8"/>
      <c r="N1" s="8"/>
      <c r="O1" s="8"/>
      <c r="P1" s="8"/>
      <c r="Q1" s="8"/>
      <c r="R1" s="8"/>
      <c r="S1" s="8"/>
      <c r="T1" s="8"/>
      <c r="U1" s="8"/>
      <c r="V1" s="8"/>
      <c r="W1" s="8"/>
      <c r="X1" s="8"/>
      <c r="Y1" s="8"/>
      <c r="Z1" s="8"/>
    </row>
    <row r="2" ht="52.8" spans="1:26">
      <c r="A2" s="110" t="s">
        <v>142</v>
      </c>
      <c r="B2" s="111" t="s">
        <v>6</v>
      </c>
      <c r="C2" s="112" t="s">
        <v>143</v>
      </c>
      <c r="D2" s="112" t="s">
        <v>144</v>
      </c>
      <c r="E2" s="111" t="s">
        <v>145</v>
      </c>
      <c r="F2" s="112" t="s">
        <v>146</v>
      </c>
      <c r="G2" s="112" t="s">
        <v>1</v>
      </c>
      <c r="H2" s="113" t="s">
        <v>147</v>
      </c>
      <c r="I2" s="112" t="s">
        <v>148</v>
      </c>
      <c r="J2" s="114" t="s">
        <v>149</v>
      </c>
      <c r="K2" s="112" t="s">
        <v>150</v>
      </c>
      <c r="L2" s="115" t="s">
        <v>151</v>
      </c>
      <c r="M2" s="8"/>
      <c r="N2" s="8"/>
      <c r="O2" s="8"/>
      <c r="P2" s="8"/>
      <c r="Q2" s="8"/>
      <c r="R2" s="8"/>
      <c r="S2" s="8"/>
      <c r="T2" s="8"/>
      <c r="U2" s="8"/>
      <c r="V2" s="8"/>
      <c r="W2" s="8"/>
      <c r="X2" s="8"/>
      <c r="Y2" s="8"/>
      <c r="Z2" s="8"/>
    </row>
    <row r="3" spans="1:26">
      <c r="A3" s="116" t="s">
        <v>294</v>
      </c>
      <c r="B3" s="117" t="s">
        <v>105</v>
      </c>
      <c r="C3" s="118">
        <v>10</v>
      </c>
      <c r="D3" s="118"/>
      <c r="E3" s="119" t="s">
        <v>154</v>
      </c>
      <c r="F3" s="118" t="s">
        <v>76</v>
      </c>
      <c r="G3" s="112">
        <v>1</v>
      </c>
      <c r="H3" s="120"/>
      <c r="I3" s="112"/>
      <c r="J3" s="114"/>
      <c r="K3" s="112"/>
      <c r="L3" s="115"/>
      <c r="M3" s="8"/>
      <c r="N3" s="8"/>
      <c r="O3" s="8"/>
      <c r="P3" s="8"/>
      <c r="Q3" s="8"/>
      <c r="R3" s="8"/>
      <c r="S3" s="8"/>
      <c r="T3" s="8"/>
      <c r="U3" s="8"/>
      <c r="V3" s="8"/>
      <c r="W3" s="8"/>
      <c r="X3" s="8"/>
      <c r="Y3" s="8"/>
      <c r="Z3" s="8"/>
    </row>
    <row r="4" spans="1:26">
      <c r="A4" s="121"/>
      <c r="B4" s="122"/>
      <c r="C4" s="123"/>
      <c r="D4" s="123"/>
      <c r="E4" s="124"/>
      <c r="F4" s="123"/>
      <c r="G4" s="111">
        <v>2</v>
      </c>
      <c r="H4" s="120"/>
      <c r="I4" s="112"/>
      <c r="J4" s="114"/>
      <c r="K4" s="112"/>
      <c r="L4" s="115"/>
      <c r="M4" s="8"/>
      <c r="N4" s="8"/>
      <c r="O4" s="8"/>
      <c r="P4" s="8"/>
      <c r="Q4" s="8"/>
      <c r="R4" s="8"/>
      <c r="S4" s="8"/>
      <c r="T4" s="8"/>
      <c r="U4" s="8"/>
      <c r="V4" s="8"/>
      <c r="W4" s="8"/>
      <c r="X4" s="8"/>
      <c r="Y4" s="8"/>
      <c r="Z4" s="8"/>
    </row>
    <row r="5" spans="1:26">
      <c r="A5" s="121"/>
      <c r="B5" s="122"/>
      <c r="C5" s="123"/>
      <c r="D5" s="123"/>
      <c r="E5" s="125"/>
      <c r="F5" s="126"/>
      <c r="G5" s="112">
        <v>3</v>
      </c>
      <c r="H5" s="120"/>
      <c r="I5" s="112"/>
      <c r="J5" s="114"/>
      <c r="K5" s="112"/>
      <c r="L5" s="115"/>
      <c r="M5" s="8"/>
      <c r="N5" s="8"/>
      <c r="O5" s="8"/>
      <c r="P5" s="8"/>
      <c r="Q5" s="8"/>
      <c r="R5" s="8"/>
      <c r="S5" s="8"/>
      <c r="T5" s="8"/>
      <c r="U5" s="8"/>
      <c r="V5" s="8"/>
      <c r="W5" s="8"/>
      <c r="X5" s="8"/>
      <c r="Y5" s="8"/>
      <c r="Z5" s="8"/>
    </row>
    <row r="6" spans="1:26">
      <c r="A6" s="121"/>
      <c r="B6" s="122"/>
      <c r="C6" s="123"/>
      <c r="D6" s="123"/>
      <c r="E6" s="127" t="s">
        <v>174</v>
      </c>
      <c r="F6" s="128"/>
      <c r="G6" s="128"/>
      <c r="H6" s="129"/>
      <c r="I6" s="130"/>
      <c r="J6" s="131"/>
      <c r="K6" s="132"/>
      <c r="L6" s="133">
        <v>0</v>
      </c>
      <c r="M6" s="8"/>
      <c r="N6" s="8"/>
      <c r="O6" s="8"/>
      <c r="P6" s="8"/>
      <c r="Q6" s="8"/>
      <c r="R6" s="8"/>
      <c r="S6" s="8"/>
      <c r="T6" s="8"/>
      <c r="U6" s="8"/>
      <c r="V6" s="8"/>
      <c r="W6" s="8"/>
      <c r="X6" s="8"/>
      <c r="Y6" s="8"/>
      <c r="Z6" s="8"/>
    </row>
    <row r="7" ht="13.8" spans="1:26">
      <c r="A7" s="121"/>
      <c r="B7" s="122"/>
      <c r="C7" s="123"/>
      <c r="D7" s="123"/>
      <c r="E7" s="119" t="s">
        <v>175</v>
      </c>
      <c r="F7" s="119" t="s">
        <v>76</v>
      </c>
      <c r="G7" s="111">
        <v>1</v>
      </c>
      <c r="H7" s="134"/>
      <c r="I7" s="112"/>
      <c r="J7" s="135"/>
      <c r="K7" s="111"/>
      <c r="L7" s="115"/>
      <c r="M7" s="8"/>
      <c r="N7" s="8"/>
      <c r="O7" s="8"/>
      <c r="P7" s="8"/>
      <c r="Q7" s="8"/>
      <c r="R7" s="8"/>
      <c r="S7" s="8"/>
      <c r="T7" s="8"/>
      <c r="U7" s="8"/>
      <c r="V7" s="8"/>
      <c r="W7" s="8"/>
      <c r="X7" s="8"/>
      <c r="Y7" s="8"/>
      <c r="Z7" s="8"/>
    </row>
    <row r="8" spans="1:26">
      <c r="A8" s="136"/>
      <c r="B8" s="137"/>
      <c r="C8" s="126"/>
      <c r="D8" s="126"/>
      <c r="E8" s="125"/>
      <c r="F8" s="125"/>
      <c r="G8" s="111">
        <v>2</v>
      </c>
      <c r="H8" s="120"/>
      <c r="I8" s="111"/>
      <c r="J8" s="135"/>
      <c r="K8" s="111"/>
      <c r="L8" s="115"/>
      <c r="M8" s="8"/>
      <c r="N8" s="8"/>
      <c r="O8" s="8"/>
      <c r="P8" s="8"/>
      <c r="Q8" s="8"/>
      <c r="R8" s="8"/>
      <c r="S8" s="8"/>
      <c r="T8" s="8"/>
      <c r="U8" s="8"/>
      <c r="V8" s="8"/>
      <c r="W8" s="8"/>
      <c r="X8" s="8"/>
      <c r="Y8" s="8"/>
      <c r="Z8" s="8"/>
    </row>
    <row r="9" spans="1:26">
      <c r="A9" s="138" t="s">
        <v>107</v>
      </c>
      <c r="B9" s="117"/>
      <c r="C9" s="118"/>
      <c r="D9" s="118"/>
      <c r="E9" s="119" t="s">
        <v>154</v>
      </c>
      <c r="F9" s="118" t="s">
        <v>76</v>
      </c>
      <c r="G9" s="111">
        <v>1</v>
      </c>
      <c r="H9" s="139"/>
      <c r="I9" s="140"/>
      <c r="J9" s="114"/>
      <c r="K9" s="112"/>
      <c r="L9" s="115"/>
      <c r="M9" s="8"/>
      <c r="N9" s="8"/>
      <c r="O9" s="8"/>
      <c r="P9" s="8"/>
      <c r="Q9" s="8"/>
      <c r="R9" s="8"/>
      <c r="S9" s="8"/>
      <c r="T9" s="8"/>
      <c r="U9" s="8"/>
      <c r="V9" s="8"/>
      <c r="W9" s="8"/>
      <c r="X9" s="8"/>
      <c r="Y9" s="8"/>
      <c r="Z9" s="8"/>
    </row>
    <row r="10" spans="1:26">
      <c r="A10" s="141"/>
      <c r="B10" s="122"/>
      <c r="C10" s="123"/>
      <c r="D10" s="123"/>
      <c r="E10" s="124"/>
      <c r="F10" s="126"/>
      <c r="G10" s="111">
        <v>2</v>
      </c>
      <c r="H10" s="139"/>
      <c r="I10" s="140"/>
      <c r="J10" s="114"/>
      <c r="K10" s="112"/>
      <c r="L10" s="115"/>
      <c r="M10" s="8"/>
      <c r="N10" s="8"/>
      <c r="O10" s="8"/>
      <c r="P10" s="8"/>
      <c r="Q10" s="8"/>
      <c r="R10" s="8"/>
      <c r="S10" s="8"/>
      <c r="T10" s="8"/>
      <c r="U10" s="8"/>
      <c r="V10" s="8"/>
      <c r="W10" s="8"/>
      <c r="X10" s="8"/>
      <c r="Y10" s="8"/>
      <c r="Z10" s="8"/>
    </row>
    <row r="11" spans="1:26">
      <c r="A11" s="141"/>
      <c r="B11" s="122"/>
      <c r="C11" s="123"/>
      <c r="D11" s="123"/>
      <c r="E11" s="125"/>
      <c r="F11" s="112" t="s">
        <v>182</v>
      </c>
      <c r="G11" s="111">
        <v>1</v>
      </c>
      <c r="H11" s="142" t="s">
        <v>295</v>
      </c>
      <c r="I11" s="140" t="s">
        <v>112</v>
      </c>
      <c r="J11" s="114">
        <v>1</v>
      </c>
      <c r="K11" s="112"/>
      <c r="L11" s="115">
        <v>1.5</v>
      </c>
      <c r="M11" s="8"/>
      <c r="N11" s="8"/>
      <c r="O11" s="8"/>
      <c r="P11" s="8"/>
      <c r="Q11" s="8"/>
      <c r="R11" s="8"/>
      <c r="S11" s="8"/>
      <c r="T11" s="8"/>
      <c r="U11" s="8"/>
      <c r="V11" s="8"/>
      <c r="W11" s="8"/>
      <c r="X11" s="8"/>
      <c r="Y11" s="8"/>
      <c r="Z11" s="8"/>
    </row>
    <row r="12" spans="1:26">
      <c r="A12" s="141"/>
      <c r="B12" s="122"/>
      <c r="C12" s="123"/>
      <c r="D12" s="123"/>
      <c r="E12" s="127" t="s">
        <v>174</v>
      </c>
      <c r="F12" s="128"/>
      <c r="G12" s="128"/>
      <c r="H12" s="129"/>
      <c r="I12" s="130"/>
      <c r="J12" s="131"/>
      <c r="K12" s="132"/>
      <c r="L12" s="133">
        <v>1.5</v>
      </c>
      <c r="M12" s="8"/>
      <c r="N12" s="8"/>
      <c r="O12" s="8"/>
      <c r="P12" s="8"/>
      <c r="Q12" s="8"/>
      <c r="R12" s="8"/>
      <c r="S12" s="8"/>
      <c r="T12" s="8"/>
      <c r="U12" s="8"/>
      <c r="V12" s="8"/>
      <c r="W12" s="8"/>
      <c r="X12" s="8"/>
      <c r="Y12" s="8"/>
      <c r="Z12" s="8"/>
    </row>
    <row r="13" spans="1:26">
      <c r="A13" s="143"/>
      <c r="B13" s="137"/>
      <c r="C13" s="126"/>
      <c r="D13" s="126"/>
      <c r="E13" s="111" t="s">
        <v>175</v>
      </c>
      <c r="F13" s="111" t="s">
        <v>76</v>
      </c>
      <c r="G13" s="111">
        <v>1</v>
      </c>
      <c r="H13" s="139"/>
      <c r="I13" s="140"/>
      <c r="J13" s="135"/>
      <c r="K13" s="111"/>
      <c r="L13" s="115"/>
      <c r="M13" s="8"/>
      <c r="N13" s="8"/>
      <c r="O13" s="8"/>
      <c r="P13" s="8"/>
      <c r="Q13" s="8"/>
      <c r="R13" s="8"/>
      <c r="S13" s="8"/>
      <c r="T13" s="8"/>
      <c r="U13" s="8"/>
      <c r="V13" s="8"/>
      <c r="W13" s="8"/>
      <c r="X13" s="8"/>
      <c r="Y13" s="8"/>
      <c r="Z13" s="8"/>
    </row>
    <row r="14" ht="60" spans="1:26">
      <c r="A14" s="138" t="s">
        <v>296</v>
      </c>
      <c r="B14" s="117"/>
      <c r="C14" s="118"/>
      <c r="D14" s="118"/>
      <c r="E14" s="119" t="s">
        <v>154</v>
      </c>
      <c r="F14" s="118" t="s">
        <v>76</v>
      </c>
      <c r="G14" s="111">
        <v>1</v>
      </c>
      <c r="H14" s="142" t="s">
        <v>297</v>
      </c>
      <c r="I14" s="140" t="s">
        <v>298</v>
      </c>
      <c r="J14" s="114">
        <v>1</v>
      </c>
      <c r="K14" s="112"/>
      <c r="L14" s="115">
        <v>4</v>
      </c>
      <c r="M14" s="8"/>
      <c r="N14" s="8"/>
      <c r="O14" s="8"/>
      <c r="P14" s="8"/>
      <c r="Q14" s="8"/>
      <c r="R14" s="8"/>
      <c r="S14" s="8"/>
      <c r="T14" s="8"/>
      <c r="U14" s="8"/>
      <c r="V14" s="8"/>
      <c r="W14" s="8"/>
      <c r="X14" s="8"/>
      <c r="Y14" s="8"/>
      <c r="Z14" s="8"/>
    </row>
    <row r="15" ht="72" spans="1:26">
      <c r="A15" s="141"/>
      <c r="B15" s="122"/>
      <c r="C15" s="123"/>
      <c r="D15" s="123"/>
      <c r="E15" s="124"/>
      <c r="F15" s="123"/>
      <c r="G15" s="111">
        <v>2</v>
      </c>
      <c r="H15" s="144" t="s">
        <v>299</v>
      </c>
      <c r="I15" s="140" t="s">
        <v>300</v>
      </c>
      <c r="J15" s="114">
        <v>1</v>
      </c>
      <c r="K15" s="112"/>
      <c r="L15" s="115">
        <v>4</v>
      </c>
      <c r="M15" s="8"/>
      <c r="N15" s="8"/>
      <c r="O15" s="8"/>
      <c r="P15" s="8"/>
      <c r="Q15" s="8"/>
      <c r="R15" s="8"/>
      <c r="S15" s="8"/>
      <c r="T15" s="8"/>
      <c r="U15" s="8"/>
      <c r="V15" s="8"/>
      <c r="W15" s="8"/>
      <c r="X15" s="8"/>
      <c r="Y15" s="8"/>
      <c r="Z15" s="8"/>
    </row>
    <row r="16" ht="60" spans="1:26">
      <c r="A16" s="141"/>
      <c r="B16" s="122"/>
      <c r="C16" s="123"/>
      <c r="D16" s="123"/>
      <c r="E16" s="124"/>
      <c r="F16" s="123"/>
      <c r="G16" s="111">
        <v>3</v>
      </c>
      <c r="H16" s="142" t="s">
        <v>301</v>
      </c>
      <c r="I16" s="140" t="s">
        <v>302</v>
      </c>
      <c r="J16" s="114">
        <v>1</v>
      </c>
      <c r="K16" s="114"/>
      <c r="L16" s="115">
        <v>3.3</v>
      </c>
      <c r="M16" s="8"/>
      <c r="N16" s="8"/>
      <c r="O16" s="8"/>
      <c r="P16" s="8"/>
      <c r="Q16" s="8"/>
      <c r="R16" s="8"/>
      <c r="S16" s="8"/>
      <c r="T16" s="8"/>
      <c r="U16" s="8"/>
      <c r="V16" s="8"/>
      <c r="W16" s="8"/>
      <c r="X16" s="8"/>
      <c r="Y16" s="8"/>
      <c r="Z16" s="8"/>
    </row>
    <row r="17" spans="1:26">
      <c r="A17" s="141"/>
      <c r="B17" s="122"/>
      <c r="C17" s="123"/>
      <c r="D17" s="123"/>
      <c r="E17" s="124"/>
      <c r="F17" s="123"/>
      <c r="G17" s="111">
        <v>4</v>
      </c>
      <c r="H17" s="145" t="s">
        <v>303</v>
      </c>
      <c r="I17" s="146" t="s">
        <v>302</v>
      </c>
      <c r="J17" s="147">
        <v>0.3</v>
      </c>
      <c r="K17" s="118"/>
      <c r="L17" s="148">
        <v>0.7</v>
      </c>
      <c r="M17" s="8"/>
      <c r="N17" s="8"/>
      <c r="O17" s="8"/>
      <c r="P17" s="8"/>
      <c r="Q17" s="8"/>
      <c r="R17" s="8"/>
      <c r="S17" s="8"/>
      <c r="T17" s="8"/>
      <c r="U17" s="8"/>
      <c r="V17" s="8"/>
      <c r="W17" s="8"/>
      <c r="X17" s="8"/>
      <c r="Y17" s="8"/>
      <c r="Z17" s="8"/>
    </row>
    <row r="18" ht="52.8" spans="1:26">
      <c r="A18" s="141"/>
      <c r="B18" s="122"/>
      <c r="C18" s="123"/>
      <c r="D18" s="123"/>
      <c r="E18" s="124"/>
      <c r="F18" s="123"/>
      <c r="G18" s="111">
        <v>5</v>
      </c>
      <c r="H18" s="113" t="s">
        <v>304</v>
      </c>
      <c r="I18" s="111" t="s">
        <v>305</v>
      </c>
      <c r="J18" s="114">
        <v>1</v>
      </c>
      <c r="K18" s="149"/>
      <c r="L18" s="111">
        <v>3</v>
      </c>
      <c r="M18" s="8"/>
      <c r="N18" s="8"/>
      <c r="O18" s="8"/>
      <c r="P18" s="8"/>
      <c r="Q18" s="8"/>
      <c r="R18" s="8"/>
      <c r="S18" s="8"/>
      <c r="T18" s="8"/>
      <c r="U18" s="8"/>
      <c r="V18" s="8"/>
      <c r="W18" s="8"/>
      <c r="X18" s="8"/>
      <c r="Y18" s="8"/>
      <c r="Z18" s="8"/>
    </row>
    <row r="19" ht="60" spans="1:26">
      <c r="A19" s="141"/>
      <c r="B19" s="122"/>
      <c r="C19" s="123"/>
      <c r="D19" s="123"/>
      <c r="E19" s="124"/>
      <c r="F19" s="123"/>
      <c r="G19" s="111">
        <v>6</v>
      </c>
      <c r="H19" s="150" t="s">
        <v>306</v>
      </c>
      <c r="I19" s="151" t="s">
        <v>307</v>
      </c>
      <c r="J19" s="152">
        <v>1</v>
      </c>
      <c r="K19" s="126"/>
      <c r="L19" s="153">
        <v>4</v>
      </c>
      <c r="M19" s="8"/>
      <c r="N19" s="8"/>
      <c r="O19" s="8"/>
      <c r="P19" s="8"/>
      <c r="Q19" s="8"/>
      <c r="R19" s="8"/>
      <c r="S19" s="8"/>
      <c r="T19" s="8"/>
      <c r="U19" s="8"/>
      <c r="V19" s="8"/>
      <c r="W19" s="8"/>
      <c r="X19" s="8"/>
      <c r="Y19" s="8"/>
      <c r="Z19" s="8"/>
    </row>
    <row r="20" spans="1:26">
      <c r="A20" s="141"/>
      <c r="B20" s="122"/>
      <c r="C20" s="123"/>
      <c r="D20" s="123"/>
      <c r="E20" s="124"/>
      <c r="F20" s="126"/>
      <c r="G20" s="111">
        <v>7</v>
      </c>
      <c r="H20" s="139"/>
      <c r="I20" s="140"/>
      <c r="J20" s="114"/>
      <c r="K20" s="112"/>
      <c r="L20" s="115"/>
      <c r="M20" s="8"/>
      <c r="N20" s="8"/>
      <c r="O20" s="8"/>
      <c r="P20" s="8"/>
      <c r="Q20" s="8"/>
      <c r="R20" s="8"/>
      <c r="S20" s="8"/>
      <c r="T20" s="8"/>
      <c r="U20" s="8"/>
      <c r="V20" s="8"/>
      <c r="W20" s="8"/>
      <c r="X20" s="8"/>
      <c r="Y20" s="8"/>
      <c r="Z20" s="8"/>
    </row>
    <row r="21" spans="1:26">
      <c r="A21" s="141"/>
      <c r="B21" s="122"/>
      <c r="C21" s="123"/>
      <c r="D21" s="123"/>
      <c r="E21" s="125"/>
      <c r="F21" s="111" t="s">
        <v>182</v>
      </c>
      <c r="G21" s="111">
        <v>1</v>
      </c>
      <c r="H21" s="154" t="s">
        <v>308</v>
      </c>
      <c r="I21" s="111" t="s">
        <v>112</v>
      </c>
      <c r="J21" s="155">
        <v>1</v>
      </c>
      <c r="K21" s="149"/>
      <c r="L21" s="115">
        <v>2</v>
      </c>
      <c r="M21" s="8"/>
      <c r="N21" s="8"/>
      <c r="O21" s="8"/>
      <c r="P21" s="8"/>
      <c r="Q21" s="8"/>
      <c r="R21" s="8"/>
      <c r="S21" s="8"/>
      <c r="T21" s="8"/>
      <c r="U21" s="8"/>
      <c r="V21" s="8"/>
      <c r="W21" s="8"/>
      <c r="X21" s="8"/>
      <c r="Y21" s="8"/>
      <c r="Z21" s="8"/>
    </row>
    <row r="22" spans="1:26">
      <c r="A22" s="141"/>
      <c r="B22" s="122"/>
      <c r="C22" s="123"/>
      <c r="D22" s="123"/>
      <c r="E22" s="127" t="s">
        <v>174</v>
      </c>
      <c r="F22" s="128"/>
      <c r="G22" s="128"/>
      <c r="H22" s="129"/>
      <c r="I22" s="130"/>
      <c r="J22" s="131"/>
      <c r="K22" s="132"/>
      <c r="L22" s="133">
        <v>21</v>
      </c>
      <c r="M22" s="8"/>
      <c r="N22" s="8"/>
      <c r="O22" s="8"/>
      <c r="P22" s="8"/>
      <c r="Q22" s="8"/>
      <c r="R22" s="8"/>
      <c r="S22" s="8"/>
      <c r="T22" s="8"/>
      <c r="U22" s="8"/>
      <c r="V22" s="8"/>
      <c r="W22" s="8"/>
      <c r="X22" s="8"/>
      <c r="Y22" s="8"/>
      <c r="Z22" s="8"/>
    </row>
    <row r="23" spans="1:26">
      <c r="A23" s="143"/>
      <c r="B23" s="137"/>
      <c r="C23" s="126"/>
      <c r="D23" s="126"/>
      <c r="E23" s="111" t="s">
        <v>175</v>
      </c>
      <c r="F23" s="111" t="s">
        <v>76</v>
      </c>
      <c r="G23" s="111">
        <v>1</v>
      </c>
      <c r="H23" s="139"/>
      <c r="I23" s="140"/>
      <c r="J23" s="135"/>
      <c r="K23" s="111"/>
      <c r="L23" s="115"/>
      <c r="M23" s="8"/>
      <c r="N23" s="8"/>
      <c r="O23" s="8"/>
      <c r="P23" s="8"/>
      <c r="Q23" s="8"/>
      <c r="R23" s="8"/>
      <c r="S23" s="8"/>
      <c r="T23" s="8"/>
      <c r="U23" s="8"/>
      <c r="V23" s="8"/>
      <c r="W23" s="8"/>
      <c r="X23" s="8"/>
      <c r="Y23" s="8"/>
      <c r="Z23" s="8"/>
    </row>
    <row r="24" ht="24" spans="1:26">
      <c r="A24" s="138" t="s">
        <v>309</v>
      </c>
      <c r="B24" s="117"/>
      <c r="C24" s="118"/>
      <c r="D24" s="118"/>
      <c r="E24" s="119" t="s">
        <v>154</v>
      </c>
      <c r="F24" s="118" t="s">
        <v>76</v>
      </c>
      <c r="G24" s="111">
        <v>1</v>
      </c>
      <c r="H24" s="142" t="s">
        <v>310</v>
      </c>
      <c r="I24" s="140" t="s">
        <v>108</v>
      </c>
      <c r="J24" s="114">
        <v>1</v>
      </c>
      <c r="K24" s="112"/>
      <c r="L24" s="115">
        <v>1.5</v>
      </c>
      <c r="M24" s="8"/>
      <c r="N24" s="8"/>
      <c r="O24" s="8"/>
      <c r="P24" s="8"/>
      <c r="Q24" s="8"/>
      <c r="R24" s="8"/>
      <c r="S24" s="8"/>
      <c r="T24" s="8"/>
      <c r="U24" s="8"/>
      <c r="V24" s="8"/>
      <c r="W24" s="8"/>
      <c r="X24" s="8"/>
      <c r="Y24" s="8"/>
      <c r="Z24" s="8"/>
    </row>
    <row r="25" ht="24" spans="1:26">
      <c r="A25" s="141"/>
      <c r="B25" s="122"/>
      <c r="C25" s="123"/>
      <c r="D25" s="123"/>
      <c r="E25" s="124"/>
      <c r="F25" s="123"/>
      <c r="G25" s="111">
        <v>2</v>
      </c>
      <c r="H25" s="144" t="s">
        <v>311</v>
      </c>
      <c r="I25" s="140" t="s">
        <v>108</v>
      </c>
      <c r="J25" s="114">
        <v>1</v>
      </c>
      <c r="K25" s="112"/>
      <c r="L25" s="115">
        <v>2</v>
      </c>
      <c r="M25" s="8"/>
      <c r="N25" s="8"/>
      <c r="O25" s="8"/>
      <c r="P25" s="8"/>
      <c r="Q25" s="8"/>
      <c r="R25" s="8"/>
      <c r="S25" s="8"/>
      <c r="T25" s="8"/>
      <c r="U25" s="8"/>
      <c r="V25" s="8"/>
      <c r="W25" s="8"/>
      <c r="X25" s="8"/>
      <c r="Y25" s="8"/>
      <c r="Z25" s="8"/>
    </row>
    <row r="26" ht="24" spans="1:26">
      <c r="A26" s="141"/>
      <c r="B26" s="122"/>
      <c r="C26" s="123"/>
      <c r="D26" s="123"/>
      <c r="E26" s="124"/>
      <c r="F26" s="123"/>
      <c r="G26" s="111">
        <v>3</v>
      </c>
      <c r="H26" s="142" t="s">
        <v>312</v>
      </c>
      <c r="I26" s="140" t="s">
        <v>34</v>
      </c>
      <c r="J26" s="114">
        <v>1</v>
      </c>
      <c r="K26" s="114"/>
      <c r="L26" s="115">
        <v>1</v>
      </c>
      <c r="M26" s="8"/>
      <c r="N26" s="8"/>
      <c r="O26" s="8"/>
      <c r="P26" s="8"/>
      <c r="Q26" s="8"/>
      <c r="R26" s="8"/>
      <c r="S26" s="8"/>
      <c r="T26" s="8"/>
      <c r="U26" s="8"/>
      <c r="V26" s="8"/>
      <c r="W26" s="8"/>
      <c r="X26" s="8"/>
      <c r="Y26" s="8"/>
      <c r="Z26" s="8"/>
    </row>
    <row r="27" ht="84" spans="1:26">
      <c r="A27" s="141"/>
      <c r="B27" s="122"/>
      <c r="C27" s="123"/>
      <c r="D27" s="123"/>
      <c r="E27" s="124"/>
      <c r="F27" s="123"/>
      <c r="G27" s="111">
        <v>4</v>
      </c>
      <c r="H27" s="142" t="s">
        <v>313</v>
      </c>
      <c r="I27" s="140" t="s">
        <v>34</v>
      </c>
      <c r="J27" s="114">
        <v>0.8</v>
      </c>
      <c r="K27" s="114"/>
      <c r="L27" s="115">
        <v>2.5</v>
      </c>
      <c r="M27" s="8"/>
      <c r="N27" s="8"/>
      <c r="O27" s="8"/>
      <c r="P27" s="8"/>
      <c r="Q27" s="8"/>
      <c r="R27" s="8"/>
      <c r="S27" s="8"/>
      <c r="T27" s="8"/>
      <c r="U27" s="8"/>
      <c r="V27" s="8"/>
      <c r="W27" s="8"/>
      <c r="X27" s="8"/>
      <c r="Y27" s="8"/>
      <c r="Z27" s="8"/>
    </row>
    <row r="28" spans="1:26">
      <c r="A28" s="141"/>
      <c r="B28" s="122"/>
      <c r="C28" s="123"/>
      <c r="D28" s="123"/>
      <c r="E28" s="124"/>
      <c r="F28" s="123"/>
      <c r="G28" s="111">
        <v>5</v>
      </c>
      <c r="H28" s="139"/>
      <c r="I28" s="140"/>
      <c r="J28" s="114"/>
      <c r="K28" s="112"/>
      <c r="L28" s="115"/>
      <c r="M28" s="8"/>
      <c r="N28" s="8"/>
      <c r="O28" s="8"/>
      <c r="P28" s="8"/>
      <c r="Q28" s="8"/>
      <c r="R28" s="8"/>
      <c r="S28" s="8"/>
      <c r="T28" s="8"/>
      <c r="U28" s="8"/>
      <c r="V28" s="8"/>
      <c r="W28" s="8"/>
      <c r="X28" s="8"/>
      <c r="Y28" s="8"/>
      <c r="Z28" s="8"/>
    </row>
    <row r="29" spans="1:26">
      <c r="A29" s="141"/>
      <c r="B29" s="122"/>
      <c r="C29" s="123"/>
      <c r="D29" s="123"/>
      <c r="E29" s="125"/>
      <c r="F29" s="126"/>
      <c r="G29" s="111">
        <v>6</v>
      </c>
      <c r="H29" s="139"/>
      <c r="I29" s="140"/>
      <c r="J29" s="114"/>
      <c r="K29" s="112"/>
      <c r="L29" s="115"/>
      <c r="M29" s="8"/>
      <c r="N29" s="8"/>
      <c r="O29" s="8"/>
      <c r="P29" s="8"/>
      <c r="Q29" s="8"/>
      <c r="R29" s="8"/>
      <c r="S29" s="8"/>
      <c r="T29" s="8"/>
      <c r="U29" s="8"/>
      <c r="V29" s="8"/>
      <c r="W29" s="8"/>
      <c r="X29" s="8"/>
      <c r="Y29" s="8"/>
      <c r="Z29" s="8"/>
    </row>
    <row r="30" spans="1:26">
      <c r="A30" s="141"/>
      <c r="B30" s="122"/>
      <c r="C30" s="123"/>
      <c r="D30" s="123"/>
      <c r="E30" s="127" t="s">
        <v>174</v>
      </c>
      <c r="F30" s="128"/>
      <c r="G30" s="128"/>
      <c r="H30" s="129"/>
      <c r="I30" s="130"/>
      <c r="J30" s="131"/>
      <c r="K30" s="132"/>
      <c r="L30" s="133">
        <v>7</v>
      </c>
      <c r="M30" s="8"/>
      <c r="N30" s="8"/>
      <c r="O30" s="8"/>
      <c r="P30" s="8"/>
      <c r="Q30" s="8"/>
      <c r="R30" s="8"/>
      <c r="S30" s="8"/>
      <c r="T30" s="8"/>
      <c r="U30" s="8"/>
      <c r="V30" s="8"/>
      <c r="W30" s="8"/>
      <c r="X30" s="8"/>
      <c r="Y30" s="8"/>
      <c r="Z30" s="8"/>
    </row>
    <row r="31" spans="1:26">
      <c r="A31" s="143"/>
      <c r="B31" s="137"/>
      <c r="C31" s="126"/>
      <c r="D31" s="126"/>
      <c r="E31" s="111" t="s">
        <v>175</v>
      </c>
      <c r="F31" s="111" t="s">
        <v>76</v>
      </c>
      <c r="G31" s="111">
        <v>1</v>
      </c>
      <c r="H31" s="139"/>
      <c r="I31" s="140"/>
      <c r="J31" s="135"/>
      <c r="K31" s="111"/>
      <c r="L31" s="115"/>
      <c r="M31" s="8"/>
      <c r="N31" s="8"/>
      <c r="O31" s="8"/>
      <c r="P31" s="8"/>
      <c r="Q31" s="8"/>
      <c r="R31" s="8"/>
      <c r="S31" s="8"/>
      <c r="T31" s="8"/>
      <c r="U31" s="8"/>
      <c r="V31" s="8"/>
      <c r="W31" s="8"/>
      <c r="X31" s="8"/>
      <c r="Y31" s="8"/>
      <c r="Z31" s="8"/>
    </row>
    <row r="32" ht="84" spans="1:26">
      <c r="A32" s="138" t="s">
        <v>314</v>
      </c>
      <c r="B32" s="117"/>
      <c r="C32" s="118"/>
      <c r="D32" s="118"/>
      <c r="E32" s="119" t="s">
        <v>154</v>
      </c>
      <c r="F32" s="118" t="s">
        <v>76</v>
      </c>
      <c r="G32" s="111">
        <v>1</v>
      </c>
      <c r="H32" s="142" t="s">
        <v>315</v>
      </c>
      <c r="I32" s="140" t="s">
        <v>105</v>
      </c>
      <c r="J32" s="114">
        <v>1</v>
      </c>
      <c r="K32" s="112"/>
      <c r="L32" s="115">
        <v>4</v>
      </c>
      <c r="M32" s="8"/>
      <c r="N32" s="8"/>
      <c r="O32" s="8"/>
      <c r="P32" s="8"/>
      <c r="Q32" s="8"/>
      <c r="R32" s="8"/>
      <c r="S32" s="8"/>
      <c r="T32" s="8"/>
      <c r="U32" s="8"/>
      <c r="V32" s="8"/>
      <c r="W32" s="8"/>
      <c r="X32" s="8"/>
      <c r="Y32" s="8"/>
      <c r="Z32" s="8"/>
    </row>
    <row r="33" spans="1:26">
      <c r="A33" s="141"/>
      <c r="B33" s="122"/>
      <c r="C33" s="123"/>
      <c r="D33" s="123"/>
      <c r="E33" s="124"/>
      <c r="F33" s="123"/>
      <c r="G33" s="111">
        <v>2</v>
      </c>
      <c r="H33" s="144" t="s">
        <v>316</v>
      </c>
      <c r="I33" s="140" t="s">
        <v>112</v>
      </c>
      <c r="J33" s="114">
        <v>1</v>
      </c>
      <c r="K33" s="112"/>
      <c r="L33" s="115">
        <v>0.5</v>
      </c>
      <c r="M33" s="8"/>
      <c r="N33" s="8"/>
      <c r="O33" s="8"/>
      <c r="P33" s="8"/>
      <c r="Q33" s="8"/>
      <c r="R33" s="8"/>
      <c r="S33" s="8"/>
      <c r="T33" s="8"/>
      <c r="U33" s="8"/>
      <c r="V33" s="8"/>
      <c r="W33" s="8"/>
      <c r="X33" s="8"/>
      <c r="Y33" s="8"/>
      <c r="Z33" s="8"/>
    </row>
    <row r="34" ht="84" spans="1:26">
      <c r="A34" s="141"/>
      <c r="B34" s="122"/>
      <c r="C34" s="123"/>
      <c r="D34" s="123"/>
      <c r="E34" s="124"/>
      <c r="F34" s="126"/>
      <c r="G34" s="111">
        <v>3</v>
      </c>
      <c r="H34" s="142" t="s">
        <v>317</v>
      </c>
      <c r="I34" s="140" t="s">
        <v>318</v>
      </c>
      <c r="J34" s="114">
        <v>1</v>
      </c>
      <c r="K34" s="114"/>
      <c r="L34" s="115">
        <v>4</v>
      </c>
      <c r="M34" s="8"/>
      <c r="N34" s="8"/>
      <c r="O34" s="8"/>
      <c r="P34" s="8"/>
      <c r="Q34" s="8"/>
      <c r="R34" s="8"/>
      <c r="S34" s="8"/>
      <c r="T34" s="8"/>
      <c r="U34" s="8"/>
      <c r="V34" s="8"/>
      <c r="W34" s="8"/>
      <c r="X34" s="8"/>
      <c r="Y34" s="8"/>
      <c r="Z34" s="8"/>
    </row>
    <row r="35" spans="1:26">
      <c r="A35" s="141"/>
      <c r="B35" s="122"/>
      <c r="C35" s="123"/>
      <c r="D35" s="123"/>
      <c r="E35" s="124"/>
      <c r="F35" s="111" t="s">
        <v>182</v>
      </c>
      <c r="G35" s="111">
        <v>4</v>
      </c>
      <c r="H35" s="139"/>
      <c r="I35" s="140"/>
      <c r="J35" s="114"/>
      <c r="K35" s="114"/>
      <c r="L35" s="115"/>
      <c r="M35" s="8"/>
      <c r="N35" s="8"/>
      <c r="O35" s="8"/>
      <c r="P35" s="8"/>
      <c r="Q35" s="8"/>
      <c r="R35" s="8"/>
      <c r="S35" s="8"/>
      <c r="T35" s="8"/>
      <c r="U35" s="8"/>
      <c r="V35" s="8"/>
      <c r="W35" s="8"/>
      <c r="X35" s="8"/>
      <c r="Y35" s="8"/>
      <c r="Z35" s="8"/>
    </row>
    <row r="36" spans="1:26">
      <c r="A36" s="141"/>
      <c r="B36" s="122"/>
      <c r="C36" s="123"/>
      <c r="D36" s="123"/>
      <c r="E36" s="125"/>
      <c r="F36" s="149"/>
      <c r="G36" s="111">
        <v>5</v>
      </c>
      <c r="H36" s="139"/>
      <c r="I36" s="140"/>
      <c r="J36" s="114"/>
      <c r="K36" s="112"/>
      <c r="L36" s="115"/>
      <c r="M36" s="8"/>
      <c r="N36" s="8"/>
      <c r="O36" s="8"/>
      <c r="P36" s="8"/>
      <c r="Q36" s="8"/>
      <c r="R36" s="8"/>
      <c r="S36" s="8"/>
      <c r="T36" s="8"/>
      <c r="U36" s="8"/>
      <c r="V36" s="8"/>
      <c r="W36" s="8"/>
      <c r="X36" s="8"/>
      <c r="Y36" s="8"/>
      <c r="Z36" s="8"/>
    </row>
    <row r="37" spans="1:26">
      <c r="A37" s="141"/>
      <c r="B37" s="122"/>
      <c r="C37" s="123"/>
      <c r="D37" s="123"/>
      <c r="E37" s="127" t="s">
        <v>174</v>
      </c>
      <c r="F37" s="128"/>
      <c r="G37" s="128"/>
      <c r="H37" s="129"/>
      <c r="I37" s="130"/>
      <c r="J37" s="131"/>
      <c r="K37" s="132"/>
      <c r="L37" s="133">
        <v>8.5</v>
      </c>
      <c r="M37" s="8"/>
      <c r="N37" s="8"/>
      <c r="O37" s="8"/>
      <c r="P37" s="8"/>
      <c r="Q37" s="8"/>
      <c r="R37" s="8"/>
      <c r="S37" s="8"/>
      <c r="T37" s="8"/>
      <c r="U37" s="8"/>
      <c r="V37" s="8"/>
      <c r="W37" s="8"/>
      <c r="X37" s="8"/>
      <c r="Y37" s="8"/>
      <c r="Z37" s="8"/>
    </row>
    <row r="38" spans="1:26">
      <c r="A38" s="143"/>
      <c r="B38" s="137"/>
      <c r="C38" s="126"/>
      <c r="D38" s="126"/>
      <c r="E38" s="111" t="s">
        <v>175</v>
      </c>
      <c r="F38" s="111" t="s">
        <v>76</v>
      </c>
      <c r="G38" s="111">
        <v>1</v>
      </c>
      <c r="H38" s="139"/>
      <c r="I38" s="140"/>
      <c r="J38" s="135"/>
      <c r="K38" s="111"/>
      <c r="L38" s="115"/>
      <c r="M38" s="8"/>
      <c r="N38" s="8"/>
      <c r="O38" s="8"/>
      <c r="P38" s="8"/>
      <c r="Q38" s="8"/>
      <c r="R38" s="8"/>
      <c r="S38" s="8"/>
      <c r="T38" s="8"/>
      <c r="U38" s="8"/>
      <c r="V38" s="8"/>
      <c r="W38" s="8"/>
      <c r="X38" s="8"/>
      <c r="Y38" s="8"/>
      <c r="Z38" s="8"/>
    </row>
    <row r="39" spans="1:26">
      <c r="A39" s="8"/>
      <c r="B39" s="156"/>
      <c r="C39" s="8"/>
      <c r="D39" s="8"/>
      <c r="E39" s="8"/>
      <c r="F39" s="8"/>
      <c r="G39" s="8"/>
      <c r="H39" s="157"/>
      <c r="I39" s="8"/>
      <c r="J39" s="8"/>
      <c r="K39" s="8"/>
      <c r="L39" s="8"/>
      <c r="M39" s="8"/>
      <c r="N39" s="8"/>
      <c r="O39" s="8"/>
      <c r="P39" s="8"/>
      <c r="Q39" s="8"/>
      <c r="R39" s="8"/>
      <c r="S39" s="8"/>
      <c r="T39" s="8"/>
      <c r="U39" s="8"/>
      <c r="V39" s="8"/>
      <c r="W39" s="8"/>
      <c r="X39" s="8"/>
      <c r="Y39" s="8"/>
      <c r="Z39" s="8"/>
    </row>
    <row r="40" spans="1:26">
      <c r="A40" s="8"/>
      <c r="B40" s="156"/>
      <c r="C40" s="8"/>
      <c r="D40" s="8"/>
      <c r="E40" s="8"/>
      <c r="F40" s="8"/>
      <c r="G40" s="8"/>
      <c r="H40" s="157"/>
      <c r="I40" s="8"/>
      <c r="J40" s="8"/>
      <c r="K40" s="8"/>
      <c r="L40" s="8"/>
      <c r="M40" s="8"/>
      <c r="N40" s="8"/>
      <c r="O40" s="8"/>
      <c r="P40" s="8"/>
      <c r="Q40" s="8"/>
      <c r="R40" s="8"/>
      <c r="S40" s="8"/>
      <c r="T40" s="8"/>
      <c r="U40" s="8"/>
      <c r="V40" s="8"/>
      <c r="W40" s="8"/>
      <c r="X40" s="8"/>
      <c r="Y40" s="8"/>
      <c r="Z40" s="8"/>
    </row>
    <row r="41" spans="1:26">
      <c r="A41" s="8"/>
      <c r="B41" s="156"/>
      <c r="C41" s="8"/>
      <c r="D41" s="8"/>
      <c r="E41" s="8"/>
      <c r="F41" s="8"/>
      <c r="G41" s="8"/>
      <c r="H41" s="157"/>
      <c r="I41" s="8"/>
      <c r="J41" s="8"/>
      <c r="K41" s="8"/>
      <c r="L41" s="8"/>
      <c r="M41" s="8"/>
      <c r="N41" s="8"/>
      <c r="O41" s="8"/>
      <c r="P41" s="8"/>
      <c r="Q41" s="8"/>
      <c r="R41" s="8"/>
      <c r="S41" s="8"/>
      <c r="T41" s="8"/>
      <c r="U41" s="8"/>
      <c r="V41" s="8"/>
      <c r="W41" s="8"/>
      <c r="X41" s="8"/>
      <c r="Y41" s="8"/>
      <c r="Z41" s="8"/>
    </row>
    <row r="42" spans="1:26">
      <c r="A42" s="8"/>
      <c r="B42" s="156"/>
      <c r="C42" s="8"/>
      <c r="D42" s="8"/>
      <c r="E42" s="8"/>
      <c r="F42" s="8"/>
      <c r="G42" s="8"/>
      <c r="H42" s="157"/>
      <c r="I42" s="8"/>
      <c r="J42" s="8"/>
      <c r="K42" s="8"/>
      <c r="L42" s="8"/>
      <c r="M42" s="8"/>
      <c r="N42" s="8"/>
      <c r="O42" s="8"/>
      <c r="P42" s="8"/>
      <c r="Q42" s="8"/>
      <c r="R42" s="8"/>
      <c r="S42" s="8"/>
      <c r="T42" s="8"/>
      <c r="U42" s="8"/>
      <c r="V42" s="8"/>
      <c r="W42" s="8"/>
      <c r="X42" s="8"/>
      <c r="Y42" s="8"/>
      <c r="Z42" s="8"/>
    </row>
    <row r="43" spans="1:26">
      <c r="A43" s="8"/>
      <c r="B43" s="156"/>
      <c r="C43" s="8"/>
      <c r="D43" s="8"/>
      <c r="E43" s="8"/>
      <c r="F43" s="8"/>
      <c r="G43" s="8"/>
      <c r="H43" s="157"/>
      <c r="I43" s="8"/>
      <c r="J43" s="8"/>
      <c r="K43" s="8"/>
      <c r="L43" s="8"/>
      <c r="M43" s="8"/>
      <c r="N43" s="8"/>
      <c r="O43" s="8"/>
      <c r="P43" s="8"/>
      <c r="Q43" s="8"/>
      <c r="R43" s="8"/>
      <c r="S43" s="8"/>
      <c r="T43" s="8"/>
      <c r="U43" s="8"/>
      <c r="V43" s="8"/>
      <c r="W43" s="8"/>
      <c r="X43" s="8"/>
      <c r="Y43" s="8"/>
      <c r="Z43" s="8"/>
    </row>
    <row r="44" spans="1:26">
      <c r="A44" s="8"/>
      <c r="B44" s="156"/>
      <c r="C44" s="8"/>
      <c r="D44" s="8"/>
      <c r="E44" s="8"/>
      <c r="F44" s="8"/>
      <c r="G44" s="8"/>
      <c r="H44" s="157"/>
      <c r="I44" s="8"/>
      <c r="J44" s="8"/>
      <c r="K44" s="8"/>
      <c r="L44" s="8"/>
      <c r="M44" s="8"/>
      <c r="N44" s="8"/>
      <c r="O44" s="8"/>
      <c r="P44" s="8"/>
      <c r="Q44" s="8"/>
      <c r="R44" s="8"/>
      <c r="S44" s="8"/>
      <c r="T44" s="8"/>
      <c r="U44" s="8"/>
      <c r="V44" s="8"/>
      <c r="W44" s="8"/>
      <c r="X44" s="8"/>
      <c r="Y44" s="8"/>
      <c r="Z44" s="8"/>
    </row>
    <row r="45" spans="1:26">
      <c r="A45" s="8"/>
      <c r="B45" s="8"/>
      <c r="C45" s="8"/>
      <c r="D45" s="8"/>
      <c r="E45" s="8"/>
      <c r="F45" s="8"/>
      <c r="G45" s="8"/>
      <c r="H45" s="157"/>
      <c r="I45" s="8"/>
      <c r="J45" s="8"/>
      <c r="K45" s="8"/>
      <c r="L45" s="8"/>
      <c r="M45" s="8"/>
      <c r="N45" s="8"/>
      <c r="O45" s="8"/>
      <c r="P45" s="8"/>
      <c r="Q45" s="8"/>
      <c r="R45" s="8"/>
      <c r="S45" s="8"/>
      <c r="T45" s="8"/>
      <c r="U45" s="8"/>
      <c r="V45" s="8"/>
      <c r="W45" s="8"/>
      <c r="X45" s="8"/>
      <c r="Y45" s="8"/>
      <c r="Z45" s="8"/>
    </row>
    <row r="46" spans="1:26">
      <c r="A46" s="8"/>
      <c r="B46" s="156"/>
      <c r="C46" s="8"/>
      <c r="D46" s="8"/>
      <c r="E46" s="8"/>
      <c r="F46" s="8"/>
      <c r="G46" s="8"/>
      <c r="H46" s="157"/>
      <c r="I46" s="8"/>
      <c r="J46" s="8"/>
      <c r="K46" s="8"/>
      <c r="L46" s="8"/>
      <c r="M46" s="8"/>
      <c r="N46" s="8"/>
      <c r="O46" s="8"/>
      <c r="P46" s="8"/>
      <c r="Q46" s="8"/>
      <c r="R46" s="8"/>
      <c r="S46" s="8"/>
      <c r="T46" s="8"/>
      <c r="U46" s="8"/>
      <c r="V46" s="8"/>
      <c r="W46" s="8"/>
      <c r="X46" s="8"/>
      <c r="Y46" s="8"/>
      <c r="Z46" s="8"/>
    </row>
    <row r="47" spans="1:26">
      <c r="A47" s="8"/>
      <c r="B47" s="156"/>
      <c r="C47" s="8"/>
      <c r="D47" s="8"/>
      <c r="E47" s="8"/>
      <c r="F47" s="8"/>
      <c r="G47" s="8"/>
      <c r="H47" s="157"/>
      <c r="I47" s="8"/>
      <c r="J47" s="8"/>
      <c r="K47" s="8"/>
      <c r="L47" s="8"/>
      <c r="M47" s="8"/>
      <c r="N47" s="8"/>
      <c r="O47" s="8"/>
      <c r="P47" s="8"/>
      <c r="Q47" s="8"/>
      <c r="R47" s="8"/>
      <c r="S47" s="8"/>
      <c r="T47" s="8"/>
      <c r="U47" s="8"/>
      <c r="V47" s="8"/>
      <c r="W47" s="8"/>
      <c r="X47" s="8"/>
      <c r="Y47" s="8"/>
      <c r="Z47" s="8"/>
    </row>
    <row r="48" spans="1:26">
      <c r="A48" s="8"/>
      <c r="B48" s="156"/>
      <c r="C48" s="8"/>
      <c r="D48" s="8"/>
      <c r="E48" s="8"/>
      <c r="F48" s="8"/>
      <c r="G48" s="8"/>
      <c r="H48" s="157"/>
      <c r="I48" s="8"/>
      <c r="J48" s="8"/>
      <c r="K48" s="8"/>
      <c r="L48" s="8"/>
      <c r="M48" s="8"/>
      <c r="N48" s="8"/>
      <c r="O48" s="8"/>
      <c r="P48" s="8"/>
      <c r="Q48" s="8"/>
      <c r="R48" s="8"/>
      <c r="S48" s="8"/>
      <c r="T48" s="8"/>
      <c r="U48" s="8"/>
      <c r="V48" s="8"/>
      <c r="W48" s="8"/>
      <c r="X48" s="8"/>
      <c r="Y48" s="8"/>
      <c r="Z48" s="8"/>
    </row>
    <row r="49" spans="1:26">
      <c r="A49" s="8"/>
      <c r="B49" s="156"/>
      <c r="C49" s="8"/>
      <c r="D49" s="8"/>
      <c r="E49" s="8"/>
      <c r="F49" s="8"/>
      <c r="G49" s="8"/>
      <c r="H49" s="157"/>
      <c r="I49" s="8"/>
      <c r="J49" s="8"/>
      <c r="K49" s="8"/>
      <c r="L49" s="8"/>
      <c r="M49" s="8"/>
      <c r="N49" s="8"/>
      <c r="O49" s="8"/>
      <c r="P49" s="8"/>
      <c r="Q49" s="8"/>
      <c r="R49" s="8"/>
      <c r="S49" s="8"/>
      <c r="T49" s="8"/>
      <c r="U49" s="8"/>
      <c r="V49" s="8"/>
      <c r="W49" s="8"/>
      <c r="X49" s="8"/>
      <c r="Y49" s="8"/>
      <c r="Z49" s="8"/>
    </row>
    <row r="50" spans="1:26">
      <c r="A50" s="8"/>
      <c r="B50" s="156"/>
      <c r="C50" s="8"/>
      <c r="D50" s="8"/>
      <c r="E50" s="8"/>
      <c r="F50" s="8"/>
      <c r="G50" s="8"/>
      <c r="H50" s="157"/>
      <c r="I50" s="8"/>
      <c r="J50" s="8"/>
      <c r="K50" s="8"/>
      <c r="L50" s="8"/>
      <c r="M50" s="8"/>
      <c r="N50" s="8"/>
      <c r="O50" s="8"/>
      <c r="P50" s="8"/>
      <c r="Q50" s="8"/>
      <c r="R50" s="8"/>
      <c r="S50" s="8"/>
      <c r="T50" s="8"/>
      <c r="U50" s="8"/>
      <c r="V50" s="8"/>
      <c r="W50" s="8"/>
      <c r="X50" s="8"/>
      <c r="Y50" s="8"/>
      <c r="Z50" s="8"/>
    </row>
    <row r="51" spans="1:26">
      <c r="A51" s="8"/>
      <c r="B51" s="156"/>
      <c r="C51" s="8"/>
      <c r="D51" s="8"/>
      <c r="E51" s="8"/>
      <c r="F51" s="8"/>
      <c r="G51" s="8"/>
      <c r="H51" s="157"/>
      <c r="I51" s="8"/>
      <c r="J51" s="8"/>
      <c r="K51" s="8"/>
      <c r="L51" s="8"/>
      <c r="M51" s="8"/>
      <c r="N51" s="8"/>
      <c r="O51" s="8"/>
      <c r="P51" s="8"/>
      <c r="Q51" s="8"/>
      <c r="R51" s="8"/>
      <c r="S51" s="8"/>
      <c r="T51" s="8"/>
      <c r="U51" s="8"/>
      <c r="V51" s="8"/>
      <c r="W51" s="8"/>
      <c r="X51" s="8"/>
      <c r="Y51" s="8"/>
      <c r="Z51" s="8"/>
    </row>
    <row r="52" spans="1:26">
      <c r="A52" s="8"/>
      <c r="B52" s="156"/>
      <c r="C52" s="8"/>
      <c r="D52" s="8"/>
      <c r="E52" s="8"/>
      <c r="F52" s="8"/>
      <c r="G52" s="8"/>
      <c r="H52" s="157"/>
      <c r="I52" s="8"/>
      <c r="J52" s="8"/>
      <c r="K52" s="8"/>
      <c r="L52" s="8"/>
      <c r="M52" s="8"/>
      <c r="N52" s="8"/>
      <c r="O52" s="8"/>
      <c r="P52" s="8"/>
      <c r="Q52" s="8"/>
      <c r="R52" s="8"/>
      <c r="S52" s="8"/>
      <c r="T52" s="8"/>
      <c r="U52" s="8"/>
      <c r="V52" s="8"/>
      <c r="W52" s="8"/>
      <c r="X52" s="8"/>
      <c r="Y52" s="8"/>
      <c r="Z52" s="8"/>
    </row>
    <row r="53" spans="1:26">
      <c r="A53" s="8"/>
      <c r="B53" s="156"/>
      <c r="C53" s="8"/>
      <c r="D53" s="8"/>
      <c r="E53" s="8"/>
      <c r="F53" s="8"/>
      <c r="G53" s="8"/>
      <c r="H53" s="157"/>
      <c r="I53" s="8"/>
      <c r="J53" s="8"/>
      <c r="K53" s="8"/>
      <c r="L53" s="8"/>
      <c r="M53" s="8"/>
      <c r="N53" s="8"/>
      <c r="O53" s="8"/>
      <c r="P53" s="8"/>
      <c r="Q53" s="8"/>
      <c r="R53" s="8"/>
      <c r="S53" s="8"/>
      <c r="T53" s="8"/>
      <c r="U53" s="8"/>
      <c r="V53" s="8"/>
      <c r="W53" s="8"/>
      <c r="X53" s="8"/>
      <c r="Y53" s="8"/>
      <c r="Z53" s="8"/>
    </row>
    <row r="54" spans="1:26">
      <c r="A54" s="8"/>
      <c r="B54" s="156"/>
      <c r="C54" s="8"/>
      <c r="D54" s="8"/>
      <c r="E54" s="8"/>
      <c r="F54" s="8"/>
      <c r="G54" s="8"/>
      <c r="H54" s="157"/>
      <c r="I54" s="8"/>
      <c r="J54" s="8"/>
      <c r="K54" s="8"/>
      <c r="L54" s="8"/>
      <c r="M54" s="8"/>
      <c r="N54" s="8"/>
      <c r="O54" s="8"/>
      <c r="P54" s="8"/>
      <c r="Q54" s="8"/>
      <c r="R54" s="8"/>
      <c r="S54" s="8"/>
      <c r="T54" s="8"/>
      <c r="U54" s="8"/>
      <c r="V54" s="8"/>
      <c r="W54" s="8"/>
      <c r="X54" s="8"/>
      <c r="Y54" s="8"/>
      <c r="Z54" s="8"/>
    </row>
    <row r="55" spans="1:26">
      <c r="A55" s="8"/>
      <c r="B55" s="156"/>
      <c r="C55" s="8"/>
      <c r="D55" s="8"/>
      <c r="E55" s="8"/>
      <c r="F55" s="8"/>
      <c r="G55" s="8"/>
      <c r="H55" s="157"/>
      <c r="I55" s="8"/>
      <c r="J55" s="8"/>
      <c r="K55" s="8"/>
      <c r="L55" s="8"/>
      <c r="M55" s="8"/>
      <c r="N55" s="8"/>
      <c r="O55" s="8"/>
      <c r="P55" s="8"/>
      <c r="Q55" s="8"/>
      <c r="R55" s="8"/>
      <c r="S55" s="8"/>
      <c r="T55" s="8"/>
      <c r="U55" s="8"/>
      <c r="V55" s="8"/>
      <c r="W55" s="8"/>
      <c r="X55" s="8"/>
      <c r="Y55" s="8"/>
      <c r="Z55" s="8"/>
    </row>
    <row r="56" spans="1:26">
      <c r="A56" s="8"/>
      <c r="B56" s="156"/>
      <c r="C56" s="8"/>
      <c r="D56" s="8"/>
      <c r="E56" s="8"/>
      <c r="F56" s="8"/>
      <c r="G56" s="8"/>
      <c r="H56" s="157"/>
      <c r="I56" s="8"/>
      <c r="J56" s="8"/>
      <c r="K56" s="8"/>
      <c r="L56" s="8"/>
      <c r="M56" s="8"/>
      <c r="N56" s="8"/>
      <c r="O56" s="8"/>
      <c r="P56" s="8"/>
      <c r="Q56" s="8"/>
      <c r="R56" s="8"/>
      <c r="S56" s="8"/>
      <c r="T56" s="8"/>
      <c r="U56" s="8"/>
      <c r="V56" s="8"/>
      <c r="W56" s="8"/>
      <c r="X56" s="8"/>
      <c r="Y56" s="8"/>
      <c r="Z56" s="8"/>
    </row>
    <row r="57" spans="1:26">
      <c r="A57" s="8"/>
      <c r="B57" s="156"/>
      <c r="C57" s="8"/>
      <c r="D57" s="8"/>
      <c r="E57" s="8"/>
      <c r="F57" s="8"/>
      <c r="G57" s="8"/>
      <c r="H57" s="157"/>
      <c r="I57" s="8"/>
      <c r="J57" s="8"/>
      <c r="K57" s="8"/>
      <c r="L57" s="8"/>
      <c r="M57" s="8"/>
      <c r="N57" s="8"/>
      <c r="O57" s="8"/>
      <c r="P57" s="8"/>
      <c r="Q57" s="8"/>
      <c r="R57" s="8"/>
      <c r="S57" s="8"/>
      <c r="T57" s="8"/>
      <c r="U57" s="8"/>
      <c r="V57" s="8"/>
      <c r="W57" s="8"/>
      <c r="X57" s="8"/>
      <c r="Y57" s="8"/>
      <c r="Z57" s="8"/>
    </row>
    <row r="58" spans="1:26">
      <c r="A58" s="8"/>
      <c r="B58" s="156"/>
      <c r="C58" s="8"/>
      <c r="D58" s="8"/>
      <c r="E58" s="8"/>
      <c r="F58" s="8"/>
      <c r="G58" s="8"/>
      <c r="H58" s="157"/>
      <c r="I58" s="8"/>
      <c r="J58" s="8"/>
      <c r="K58" s="8"/>
      <c r="L58" s="8"/>
      <c r="M58" s="8"/>
      <c r="N58" s="8"/>
      <c r="O58" s="8"/>
      <c r="P58" s="8"/>
      <c r="Q58" s="8"/>
      <c r="R58" s="8"/>
      <c r="S58" s="8"/>
      <c r="T58" s="8"/>
      <c r="U58" s="8"/>
      <c r="V58" s="8"/>
      <c r="W58" s="8"/>
      <c r="X58" s="8"/>
      <c r="Y58" s="8"/>
      <c r="Z58" s="8"/>
    </row>
    <row r="59" spans="1:26">
      <c r="A59" s="8"/>
      <c r="B59" s="156"/>
      <c r="C59" s="8"/>
      <c r="D59" s="8"/>
      <c r="E59" s="8"/>
      <c r="F59" s="8"/>
      <c r="G59" s="8"/>
      <c r="H59" s="157"/>
      <c r="I59" s="8"/>
      <c r="J59" s="8"/>
      <c r="K59" s="8"/>
      <c r="L59" s="8"/>
      <c r="M59" s="8"/>
      <c r="N59" s="8"/>
      <c r="O59" s="8"/>
      <c r="P59" s="8"/>
      <c r="Q59" s="8"/>
      <c r="R59" s="8"/>
      <c r="S59" s="8"/>
      <c r="T59" s="8"/>
      <c r="U59" s="8"/>
      <c r="V59" s="8"/>
      <c r="W59" s="8"/>
      <c r="X59" s="8"/>
      <c r="Y59" s="8"/>
      <c r="Z59" s="8"/>
    </row>
    <row r="60" spans="1:26">
      <c r="A60" s="8"/>
      <c r="B60" s="156"/>
      <c r="C60" s="8"/>
      <c r="D60" s="8"/>
      <c r="E60" s="8"/>
      <c r="F60" s="8"/>
      <c r="G60" s="8"/>
      <c r="H60" s="157"/>
      <c r="I60" s="8"/>
      <c r="J60" s="8"/>
      <c r="K60" s="8"/>
      <c r="L60" s="8"/>
      <c r="M60" s="8"/>
      <c r="N60" s="8"/>
      <c r="O60" s="8"/>
      <c r="P60" s="8"/>
      <c r="Q60" s="8"/>
      <c r="R60" s="8"/>
      <c r="S60" s="8"/>
      <c r="T60" s="8"/>
      <c r="U60" s="8"/>
      <c r="V60" s="8"/>
      <c r="W60" s="8"/>
      <c r="X60" s="8"/>
      <c r="Y60" s="8"/>
      <c r="Z60" s="8"/>
    </row>
    <row r="61" spans="1:26">
      <c r="A61" s="8"/>
      <c r="B61" s="156"/>
      <c r="C61" s="8"/>
      <c r="D61" s="8"/>
      <c r="E61" s="8"/>
      <c r="F61" s="8"/>
      <c r="G61" s="8"/>
      <c r="H61" s="157"/>
      <c r="I61" s="8"/>
      <c r="J61" s="8"/>
      <c r="K61" s="8"/>
      <c r="L61" s="8"/>
      <c r="M61" s="8"/>
      <c r="N61" s="8"/>
      <c r="O61" s="8"/>
      <c r="P61" s="8"/>
      <c r="Q61" s="8"/>
      <c r="R61" s="8"/>
      <c r="S61" s="8"/>
      <c r="T61" s="8"/>
      <c r="U61" s="8"/>
      <c r="V61" s="8"/>
      <c r="W61" s="8"/>
      <c r="X61" s="8"/>
      <c r="Y61" s="8"/>
      <c r="Z61" s="8"/>
    </row>
    <row r="62" spans="1:26">
      <c r="A62" s="8"/>
      <c r="B62" s="156"/>
      <c r="C62" s="8"/>
      <c r="D62" s="8"/>
      <c r="E62" s="8"/>
      <c r="F62" s="8"/>
      <c r="G62" s="8"/>
      <c r="H62" s="157"/>
      <c r="I62" s="8"/>
      <c r="J62" s="8"/>
      <c r="K62" s="8"/>
      <c r="L62" s="8"/>
      <c r="M62" s="8"/>
      <c r="N62" s="8"/>
      <c r="O62" s="8"/>
      <c r="P62" s="8"/>
      <c r="Q62" s="8"/>
      <c r="R62" s="8"/>
      <c r="S62" s="8"/>
      <c r="T62" s="8"/>
      <c r="U62" s="8"/>
      <c r="V62" s="8"/>
      <c r="W62" s="8"/>
      <c r="X62" s="8"/>
      <c r="Y62" s="8"/>
      <c r="Z62" s="8"/>
    </row>
    <row r="63" spans="1:26">
      <c r="A63" s="8"/>
      <c r="B63" s="156"/>
      <c r="C63" s="8"/>
      <c r="D63" s="8"/>
      <c r="E63" s="8"/>
      <c r="F63" s="8"/>
      <c r="G63" s="8"/>
      <c r="H63" s="157"/>
      <c r="I63" s="8"/>
      <c r="J63" s="8"/>
      <c r="K63" s="8"/>
      <c r="L63" s="8"/>
      <c r="M63" s="8"/>
      <c r="N63" s="8"/>
      <c r="O63" s="8"/>
      <c r="P63" s="8"/>
      <c r="Q63" s="8"/>
      <c r="R63" s="8"/>
      <c r="S63" s="8"/>
      <c r="T63" s="8"/>
      <c r="U63" s="8"/>
      <c r="V63" s="8"/>
      <c r="W63" s="8"/>
      <c r="X63" s="8"/>
      <c r="Y63" s="8"/>
      <c r="Z63" s="8"/>
    </row>
    <row r="64" spans="1:26">
      <c r="A64" s="8"/>
      <c r="B64" s="156"/>
      <c r="C64" s="8"/>
      <c r="D64" s="8"/>
      <c r="E64" s="8"/>
      <c r="F64" s="8"/>
      <c r="G64" s="8"/>
      <c r="H64" s="157"/>
      <c r="I64" s="8"/>
      <c r="J64" s="8"/>
      <c r="K64" s="8"/>
      <c r="L64" s="8"/>
      <c r="M64" s="8"/>
      <c r="N64" s="8"/>
      <c r="O64" s="8"/>
      <c r="P64" s="8"/>
      <c r="Q64" s="8"/>
      <c r="R64" s="8"/>
      <c r="S64" s="8"/>
      <c r="T64" s="8"/>
      <c r="U64" s="8"/>
      <c r="V64" s="8"/>
      <c r="W64" s="8"/>
      <c r="X64" s="8"/>
      <c r="Y64" s="8"/>
      <c r="Z64" s="8"/>
    </row>
    <row r="65" spans="1:26">
      <c r="A65" s="8"/>
      <c r="B65" s="156"/>
      <c r="C65" s="8"/>
      <c r="D65" s="8"/>
      <c r="E65" s="8"/>
      <c r="F65" s="8"/>
      <c r="G65" s="8"/>
      <c r="H65" s="157"/>
      <c r="I65" s="8"/>
      <c r="J65" s="8"/>
      <c r="K65" s="8"/>
      <c r="L65" s="8"/>
      <c r="M65" s="8"/>
      <c r="N65" s="8"/>
      <c r="O65" s="8"/>
      <c r="P65" s="8"/>
      <c r="Q65" s="8"/>
      <c r="R65" s="8"/>
      <c r="S65" s="8"/>
      <c r="T65" s="8"/>
      <c r="U65" s="8"/>
      <c r="V65" s="8"/>
      <c r="W65" s="8"/>
      <c r="X65" s="8"/>
      <c r="Y65" s="8"/>
      <c r="Z65" s="8"/>
    </row>
    <row r="66" spans="1:26">
      <c r="A66" s="8"/>
      <c r="B66" s="156"/>
      <c r="C66" s="8"/>
      <c r="D66" s="8"/>
      <c r="E66" s="8"/>
      <c r="F66" s="8"/>
      <c r="G66" s="8"/>
      <c r="H66" s="157"/>
      <c r="I66" s="8"/>
      <c r="J66" s="8"/>
      <c r="K66" s="8"/>
      <c r="L66" s="8"/>
      <c r="M66" s="8"/>
      <c r="N66" s="8"/>
      <c r="O66" s="8"/>
      <c r="P66" s="8"/>
      <c r="Q66" s="8"/>
      <c r="R66" s="8"/>
      <c r="S66" s="8"/>
      <c r="T66" s="8"/>
      <c r="U66" s="8"/>
      <c r="V66" s="8"/>
      <c r="W66" s="8"/>
      <c r="X66" s="8"/>
      <c r="Y66" s="8"/>
      <c r="Z66" s="8"/>
    </row>
    <row r="67" spans="1:26">
      <c r="A67" s="8"/>
      <c r="B67" s="156"/>
      <c r="C67" s="8"/>
      <c r="D67" s="8"/>
      <c r="E67" s="8"/>
      <c r="F67" s="8"/>
      <c r="G67" s="8"/>
      <c r="H67" s="157"/>
      <c r="I67" s="8"/>
      <c r="J67" s="8"/>
      <c r="K67" s="8"/>
      <c r="L67" s="8"/>
      <c r="M67" s="8"/>
      <c r="N67" s="8"/>
      <c r="O67" s="8"/>
      <c r="P67" s="8"/>
      <c r="Q67" s="8"/>
      <c r="R67" s="8"/>
      <c r="S67" s="8"/>
      <c r="T67" s="8"/>
      <c r="U67" s="8"/>
      <c r="V67" s="8"/>
      <c r="W67" s="8"/>
      <c r="X67" s="8"/>
      <c r="Y67" s="8"/>
      <c r="Z67" s="8"/>
    </row>
    <row r="68" spans="1:26">
      <c r="A68" s="8"/>
      <c r="B68" s="156"/>
      <c r="C68" s="8"/>
      <c r="D68" s="8"/>
      <c r="E68" s="8"/>
      <c r="F68" s="8"/>
      <c r="G68" s="8"/>
      <c r="H68" s="157"/>
      <c r="I68" s="8"/>
      <c r="J68" s="8"/>
      <c r="K68" s="8"/>
      <c r="L68" s="8"/>
      <c r="M68" s="8"/>
      <c r="N68" s="8"/>
      <c r="O68" s="8"/>
      <c r="P68" s="8"/>
      <c r="Q68" s="8"/>
      <c r="R68" s="8"/>
      <c r="S68" s="8"/>
      <c r="T68" s="8"/>
      <c r="U68" s="8"/>
      <c r="V68" s="8"/>
      <c r="W68" s="8"/>
      <c r="X68" s="8"/>
      <c r="Y68" s="8"/>
      <c r="Z68" s="8"/>
    </row>
    <row r="69" spans="1:26">
      <c r="A69" s="8"/>
      <c r="B69" s="156"/>
      <c r="C69" s="8"/>
      <c r="D69" s="8"/>
      <c r="E69" s="8"/>
      <c r="F69" s="8"/>
      <c r="G69" s="8"/>
      <c r="H69" s="157"/>
      <c r="I69" s="8"/>
      <c r="J69" s="8"/>
      <c r="K69" s="8"/>
      <c r="L69" s="8"/>
      <c r="M69" s="8"/>
      <c r="N69" s="8"/>
      <c r="O69" s="8"/>
      <c r="P69" s="8"/>
      <c r="Q69" s="8"/>
      <c r="R69" s="8"/>
      <c r="S69" s="8"/>
      <c r="T69" s="8"/>
      <c r="U69" s="8"/>
      <c r="V69" s="8"/>
      <c r="W69" s="8"/>
      <c r="X69" s="8"/>
      <c r="Y69" s="8"/>
      <c r="Z69" s="8"/>
    </row>
    <row r="70" spans="1:26">
      <c r="A70" s="8"/>
      <c r="B70" s="156"/>
      <c r="C70" s="8"/>
      <c r="D70" s="8"/>
      <c r="E70" s="8"/>
      <c r="F70" s="8"/>
      <c r="G70" s="8"/>
      <c r="H70" s="157"/>
      <c r="I70" s="8"/>
      <c r="J70" s="8"/>
      <c r="K70" s="8"/>
      <c r="L70" s="8"/>
      <c r="M70" s="8"/>
      <c r="N70" s="8"/>
      <c r="O70" s="8"/>
      <c r="P70" s="8"/>
      <c r="Q70" s="8"/>
      <c r="R70" s="8"/>
      <c r="S70" s="8"/>
      <c r="T70" s="8"/>
      <c r="U70" s="8"/>
      <c r="V70" s="8"/>
      <c r="W70" s="8"/>
      <c r="X70" s="8"/>
      <c r="Y70" s="8"/>
      <c r="Z70" s="8"/>
    </row>
    <row r="71" spans="1:26">
      <c r="A71" s="8"/>
      <c r="B71" s="156"/>
      <c r="C71" s="8"/>
      <c r="D71" s="8"/>
      <c r="E71" s="8"/>
      <c r="F71" s="8"/>
      <c r="G71" s="8"/>
      <c r="H71" s="157"/>
      <c r="I71" s="8"/>
      <c r="J71" s="8"/>
      <c r="K71" s="8"/>
      <c r="L71" s="8"/>
      <c r="M71" s="8"/>
      <c r="N71" s="8"/>
      <c r="O71" s="8"/>
      <c r="P71" s="8"/>
      <c r="Q71" s="8"/>
      <c r="R71" s="8"/>
      <c r="S71" s="8"/>
      <c r="T71" s="8"/>
      <c r="U71" s="8"/>
      <c r="V71" s="8"/>
      <c r="W71" s="8"/>
      <c r="X71" s="8"/>
      <c r="Y71" s="8"/>
      <c r="Z71" s="8"/>
    </row>
    <row r="72" spans="1:26">
      <c r="A72" s="8"/>
      <c r="B72" s="156"/>
      <c r="C72" s="8"/>
      <c r="D72" s="8"/>
      <c r="E72" s="8"/>
      <c r="F72" s="8"/>
      <c r="G72" s="8"/>
      <c r="H72" s="157"/>
      <c r="I72" s="8"/>
      <c r="J72" s="8"/>
      <c r="K72" s="8"/>
      <c r="L72" s="8"/>
      <c r="M72" s="8"/>
      <c r="N72" s="8"/>
      <c r="O72" s="8"/>
      <c r="P72" s="8"/>
      <c r="Q72" s="8"/>
      <c r="R72" s="8"/>
      <c r="S72" s="8"/>
      <c r="T72" s="8"/>
      <c r="U72" s="8"/>
      <c r="V72" s="8"/>
      <c r="W72" s="8"/>
      <c r="X72" s="8"/>
      <c r="Y72" s="8"/>
      <c r="Z72" s="8"/>
    </row>
    <row r="73" spans="1:26">
      <c r="A73" s="8"/>
      <c r="B73" s="156"/>
      <c r="C73" s="8"/>
      <c r="D73" s="8"/>
      <c r="E73" s="8"/>
      <c r="F73" s="8"/>
      <c r="G73" s="8"/>
      <c r="H73" s="157"/>
      <c r="I73" s="8"/>
      <c r="J73" s="8"/>
      <c r="K73" s="8"/>
      <c r="L73" s="8"/>
      <c r="M73" s="8"/>
      <c r="N73" s="8"/>
      <c r="O73" s="8"/>
      <c r="P73" s="8"/>
      <c r="Q73" s="8"/>
      <c r="R73" s="8"/>
      <c r="S73" s="8"/>
      <c r="T73" s="8"/>
      <c r="U73" s="8"/>
      <c r="V73" s="8"/>
      <c r="W73" s="8"/>
      <c r="X73" s="8"/>
      <c r="Y73" s="8"/>
      <c r="Z73" s="8"/>
    </row>
    <row r="74" spans="1:26">
      <c r="A74" s="8"/>
      <c r="B74" s="156"/>
      <c r="C74" s="8"/>
      <c r="D74" s="8"/>
      <c r="E74" s="8"/>
      <c r="F74" s="8"/>
      <c r="G74" s="8"/>
      <c r="H74" s="157"/>
      <c r="I74" s="8"/>
      <c r="J74" s="8"/>
      <c r="K74" s="8"/>
      <c r="L74" s="8"/>
      <c r="M74" s="8"/>
      <c r="N74" s="8"/>
      <c r="O74" s="8"/>
      <c r="P74" s="8"/>
      <c r="Q74" s="8"/>
      <c r="R74" s="8"/>
      <c r="S74" s="8"/>
      <c r="T74" s="8"/>
      <c r="U74" s="8"/>
      <c r="V74" s="8"/>
      <c r="W74" s="8"/>
      <c r="X74" s="8"/>
      <c r="Y74" s="8"/>
      <c r="Z74" s="8"/>
    </row>
    <row r="75" spans="1:26">
      <c r="A75" s="8"/>
      <c r="B75" s="156"/>
      <c r="C75" s="8"/>
      <c r="D75" s="8"/>
      <c r="E75" s="8"/>
      <c r="F75" s="8"/>
      <c r="G75" s="8"/>
      <c r="H75" s="157"/>
      <c r="I75" s="8"/>
      <c r="J75" s="8"/>
      <c r="K75" s="8"/>
      <c r="L75" s="8"/>
      <c r="M75" s="8"/>
      <c r="N75" s="8"/>
      <c r="O75" s="8"/>
      <c r="P75" s="8"/>
      <c r="Q75" s="8"/>
      <c r="R75" s="8"/>
      <c r="S75" s="8"/>
      <c r="T75" s="8"/>
      <c r="U75" s="8"/>
      <c r="V75" s="8"/>
      <c r="W75" s="8"/>
      <c r="X75" s="8"/>
      <c r="Y75" s="8"/>
      <c r="Z75" s="8"/>
    </row>
    <row r="76" spans="1:26">
      <c r="A76" s="8"/>
      <c r="B76" s="156"/>
      <c r="C76" s="8"/>
      <c r="D76" s="8"/>
      <c r="E76" s="8"/>
      <c r="F76" s="8"/>
      <c r="G76" s="8"/>
      <c r="H76" s="157"/>
      <c r="I76" s="8"/>
      <c r="J76" s="8"/>
      <c r="K76" s="8"/>
      <c r="L76" s="8"/>
      <c r="M76" s="8"/>
      <c r="N76" s="8"/>
      <c r="O76" s="8"/>
      <c r="P76" s="8"/>
      <c r="Q76" s="8"/>
      <c r="R76" s="8"/>
      <c r="S76" s="8"/>
      <c r="T76" s="8"/>
      <c r="U76" s="8"/>
      <c r="V76" s="8"/>
      <c r="W76" s="8"/>
      <c r="X76" s="8"/>
      <c r="Y76" s="8"/>
      <c r="Z76" s="8"/>
    </row>
    <row r="77" spans="1:26">
      <c r="A77" s="8"/>
      <c r="B77" s="156"/>
      <c r="C77" s="8"/>
      <c r="D77" s="8"/>
      <c r="E77" s="8"/>
      <c r="F77" s="8"/>
      <c r="G77" s="8"/>
      <c r="H77" s="157"/>
      <c r="I77" s="8"/>
      <c r="J77" s="8"/>
      <c r="K77" s="8"/>
      <c r="L77" s="8"/>
      <c r="M77" s="8"/>
      <c r="N77" s="8"/>
      <c r="O77" s="8"/>
      <c r="P77" s="8"/>
      <c r="Q77" s="8"/>
      <c r="R77" s="8"/>
      <c r="S77" s="8"/>
      <c r="T77" s="8"/>
      <c r="U77" s="8"/>
      <c r="V77" s="8"/>
      <c r="W77" s="8"/>
      <c r="X77" s="8"/>
      <c r="Y77" s="8"/>
      <c r="Z77" s="8"/>
    </row>
    <row r="78" spans="1:26">
      <c r="A78" s="8"/>
      <c r="B78" s="156"/>
      <c r="C78" s="8"/>
      <c r="D78" s="8"/>
      <c r="E78" s="8"/>
      <c r="F78" s="8"/>
      <c r="G78" s="8"/>
      <c r="H78" s="157"/>
      <c r="I78" s="8"/>
      <c r="J78" s="8"/>
      <c r="K78" s="8"/>
      <c r="L78" s="8"/>
      <c r="M78" s="8"/>
      <c r="N78" s="8"/>
      <c r="O78" s="8"/>
      <c r="P78" s="8"/>
      <c r="Q78" s="8"/>
      <c r="R78" s="8"/>
      <c r="S78" s="8"/>
      <c r="T78" s="8"/>
      <c r="U78" s="8"/>
      <c r="V78" s="8"/>
      <c r="W78" s="8"/>
      <c r="X78" s="8"/>
      <c r="Y78" s="8"/>
      <c r="Z78" s="8"/>
    </row>
    <row r="79" spans="1:26">
      <c r="A79" s="8"/>
      <c r="B79" s="156"/>
      <c r="C79" s="8"/>
      <c r="D79" s="8"/>
      <c r="E79" s="8"/>
      <c r="F79" s="8"/>
      <c r="G79" s="8"/>
      <c r="H79" s="157"/>
      <c r="I79" s="8"/>
      <c r="J79" s="8"/>
      <c r="K79" s="8"/>
      <c r="L79" s="8"/>
      <c r="M79" s="8"/>
      <c r="N79" s="8"/>
      <c r="O79" s="8"/>
      <c r="P79" s="8"/>
      <c r="Q79" s="8"/>
      <c r="R79" s="8"/>
      <c r="S79" s="8"/>
      <c r="T79" s="8"/>
      <c r="U79" s="8"/>
      <c r="V79" s="8"/>
      <c r="W79" s="8"/>
      <c r="X79" s="8"/>
      <c r="Y79" s="8"/>
      <c r="Z79" s="8"/>
    </row>
    <row r="80" spans="1:26">
      <c r="A80" s="8"/>
      <c r="B80" s="156"/>
      <c r="C80" s="8"/>
      <c r="D80" s="8"/>
      <c r="E80" s="8"/>
      <c r="F80" s="8"/>
      <c r="G80" s="8"/>
      <c r="H80" s="157"/>
      <c r="I80" s="8"/>
      <c r="J80" s="8"/>
      <c r="K80" s="8"/>
      <c r="L80" s="8"/>
      <c r="M80" s="8"/>
      <c r="N80" s="8"/>
      <c r="O80" s="8"/>
      <c r="P80" s="8"/>
      <c r="Q80" s="8"/>
      <c r="R80" s="8"/>
      <c r="S80" s="8"/>
      <c r="T80" s="8"/>
      <c r="U80" s="8"/>
      <c r="V80" s="8"/>
      <c r="W80" s="8"/>
      <c r="X80" s="8"/>
      <c r="Y80" s="8"/>
      <c r="Z80" s="8"/>
    </row>
    <row r="81" spans="1:26">
      <c r="A81" s="8"/>
      <c r="B81" s="156"/>
      <c r="C81" s="8"/>
      <c r="D81" s="8"/>
      <c r="E81" s="8"/>
      <c r="F81" s="8"/>
      <c r="G81" s="8"/>
      <c r="H81" s="157"/>
      <c r="I81" s="8"/>
      <c r="J81" s="8"/>
      <c r="K81" s="8"/>
      <c r="L81" s="8"/>
      <c r="M81" s="8"/>
      <c r="N81" s="8"/>
      <c r="O81" s="8"/>
      <c r="P81" s="8"/>
      <c r="Q81" s="8"/>
      <c r="R81" s="8"/>
      <c r="S81" s="8"/>
      <c r="T81" s="8"/>
      <c r="U81" s="8"/>
      <c r="V81" s="8"/>
      <c r="W81" s="8"/>
      <c r="X81" s="8"/>
      <c r="Y81" s="8"/>
      <c r="Z81" s="8"/>
    </row>
    <row r="82" spans="1:26">
      <c r="A82" s="8"/>
      <c r="B82" s="156"/>
      <c r="C82" s="8"/>
      <c r="D82" s="8"/>
      <c r="E82" s="8"/>
      <c r="F82" s="8"/>
      <c r="G82" s="8"/>
      <c r="H82" s="157"/>
      <c r="I82" s="8"/>
      <c r="J82" s="8"/>
      <c r="K82" s="8"/>
      <c r="L82" s="8"/>
      <c r="M82" s="8"/>
      <c r="N82" s="8"/>
      <c r="O82" s="8"/>
      <c r="P82" s="8"/>
      <c r="Q82" s="8"/>
      <c r="R82" s="8"/>
      <c r="S82" s="8"/>
      <c r="T82" s="8"/>
      <c r="U82" s="8"/>
      <c r="V82" s="8"/>
      <c r="W82" s="8"/>
      <c r="X82" s="8"/>
      <c r="Y82" s="8"/>
      <c r="Z82" s="8"/>
    </row>
    <row r="83" spans="1:26">
      <c r="A83" s="8"/>
      <c r="B83" s="156"/>
      <c r="C83" s="8"/>
      <c r="D83" s="8"/>
      <c r="E83" s="8"/>
      <c r="F83" s="8"/>
      <c r="G83" s="8"/>
      <c r="H83" s="157"/>
      <c r="I83" s="8"/>
      <c r="J83" s="8"/>
      <c r="K83" s="8"/>
      <c r="L83" s="8"/>
      <c r="M83" s="8"/>
      <c r="N83" s="8"/>
      <c r="O83" s="8"/>
      <c r="P83" s="8"/>
      <c r="Q83" s="8"/>
      <c r="R83" s="8"/>
      <c r="S83" s="8"/>
      <c r="T83" s="8"/>
      <c r="U83" s="8"/>
      <c r="V83" s="8"/>
      <c r="W83" s="8"/>
      <c r="X83" s="8"/>
      <c r="Y83" s="8"/>
      <c r="Z83" s="8"/>
    </row>
    <row r="84" spans="1:26">
      <c r="A84" s="8"/>
      <c r="B84" s="156"/>
      <c r="C84" s="8"/>
      <c r="D84" s="8"/>
      <c r="E84" s="8"/>
      <c r="F84" s="8"/>
      <c r="G84" s="8"/>
      <c r="H84" s="157"/>
      <c r="I84" s="8"/>
      <c r="J84" s="8"/>
      <c r="K84" s="8"/>
      <c r="L84" s="8"/>
      <c r="M84" s="8"/>
      <c r="N84" s="8"/>
      <c r="O84" s="8"/>
      <c r="P84" s="8"/>
      <c r="Q84" s="8"/>
      <c r="R84" s="8"/>
      <c r="S84" s="8"/>
      <c r="T84" s="8"/>
      <c r="U84" s="8"/>
      <c r="V84" s="8"/>
      <c r="W84" s="8"/>
      <c r="X84" s="8"/>
      <c r="Y84" s="8"/>
      <c r="Z84" s="8"/>
    </row>
    <row r="85" spans="1:26">
      <c r="A85" s="8"/>
      <c r="B85" s="156"/>
      <c r="C85" s="8"/>
      <c r="D85" s="8"/>
      <c r="E85" s="8"/>
      <c r="F85" s="8"/>
      <c r="G85" s="8"/>
      <c r="H85" s="157"/>
      <c r="I85" s="8"/>
      <c r="J85" s="8"/>
      <c r="K85" s="8"/>
      <c r="L85" s="8"/>
      <c r="M85" s="8"/>
      <c r="N85" s="8"/>
      <c r="O85" s="8"/>
      <c r="P85" s="8"/>
      <c r="Q85" s="8"/>
      <c r="R85" s="8"/>
      <c r="S85" s="8"/>
      <c r="T85" s="8"/>
      <c r="U85" s="8"/>
      <c r="V85" s="8"/>
      <c r="W85" s="8"/>
      <c r="X85" s="8"/>
      <c r="Y85" s="8"/>
      <c r="Z85" s="8"/>
    </row>
    <row r="86" spans="1:26">
      <c r="A86" s="8"/>
      <c r="B86" s="156"/>
      <c r="C86" s="8"/>
      <c r="D86" s="8"/>
      <c r="E86" s="8"/>
      <c r="F86" s="8"/>
      <c r="G86" s="8"/>
      <c r="H86" s="157"/>
      <c r="I86" s="8"/>
      <c r="J86" s="8"/>
      <c r="K86" s="8"/>
      <c r="L86" s="8"/>
      <c r="M86" s="8"/>
      <c r="N86" s="8"/>
      <c r="O86" s="8"/>
      <c r="P86" s="8"/>
      <c r="Q86" s="8"/>
      <c r="R86" s="8"/>
      <c r="S86" s="8"/>
      <c r="T86" s="8"/>
      <c r="U86" s="8"/>
      <c r="V86" s="8"/>
      <c r="W86" s="8"/>
      <c r="X86" s="8"/>
      <c r="Y86" s="8"/>
      <c r="Z86" s="8"/>
    </row>
    <row r="87" spans="1:26">
      <c r="A87" s="8"/>
      <c r="B87" s="156"/>
      <c r="C87" s="8"/>
      <c r="D87" s="8"/>
      <c r="E87" s="8"/>
      <c r="F87" s="8"/>
      <c r="G87" s="8"/>
      <c r="H87" s="157"/>
      <c r="I87" s="8"/>
      <c r="J87" s="8"/>
      <c r="K87" s="8"/>
      <c r="L87" s="8"/>
      <c r="M87" s="8"/>
      <c r="N87" s="8"/>
      <c r="O87" s="8"/>
      <c r="P87" s="8"/>
      <c r="Q87" s="8"/>
      <c r="R87" s="8"/>
      <c r="S87" s="8"/>
      <c r="T87" s="8"/>
      <c r="U87" s="8"/>
      <c r="V87" s="8"/>
      <c r="W87" s="8"/>
      <c r="X87" s="8"/>
      <c r="Y87" s="8"/>
      <c r="Z87" s="8"/>
    </row>
    <row r="88" spans="1:26">
      <c r="A88" s="8"/>
      <c r="B88" s="156"/>
      <c r="C88" s="8"/>
      <c r="D88" s="8"/>
      <c r="E88" s="8"/>
      <c r="F88" s="8"/>
      <c r="G88" s="8"/>
      <c r="H88" s="157"/>
      <c r="I88" s="8"/>
      <c r="J88" s="8"/>
      <c r="K88" s="8"/>
      <c r="L88" s="8"/>
      <c r="M88" s="8"/>
      <c r="N88" s="8"/>
      <c r="O88" s="8"/>
      <c r="P88" s="8"/>
      <c r="Q88" s="8"/>
      <c r="R88" s="8"/>
      <c r="S88" s="8"/>
      <c r="T88" s="8"/>
      <c r="U88" s="8"/>
      <c r="V88" s="8"/>
      <c r="W88" s="8"/>
      <c r="X88" s="8"/>
      <c r="Y88" s="8"/>
      <c r="Z88" s="8"/>
    </row>
    <row r="89" spans="1:26">
      <c r="A89" s="8"/>
      <c r="B89" s="156"/>
      <c r="C89" s="8"/>
      <c r="D89" s="8"/>
      <c r="E89" s="8"/>
      <c r="F89" s="8"/>
      <c r="G89" s="8"/>
      <c r="H89" s="157"/>
      <c r="I89" s="8"/>
      <c r="J89" s="8"/>
      <c r="K89" s="8"/>
      <c r="L89" s="8"/>
      <c r="M89" s="8"/>
      <c r="N89" s="8"/>
      <c r="O89" s="8"/>
      <c r="P89" s="8"/>
      <c r="Q89" s="8"/>
      <c r="R89" s="8"/>
      <c r="S89" s="8"/>
      <c r="T89" s="8"/>
      <c r="U89" s="8"/>
      <c r="V89" s="8"/>
      <c r="W89" s="8"/>
      <c r="X89" s="8"/>
      <c r="Y89" s="8"/>
      <c r="Z89" s="8"/>
    </row>
    <row r="90" spans="1:26">
      <c r="A90" s="8"/>
      <c r="B90" s="156"/>
      <c r="C90" s="8"/>
      <c r="D90" s="8"/>
      <c r="E90" s="8"/>
      <c r="F90" s="8"/>
      <c r="G90" s="8"/>
      <c r="H90" s="157"/>
      <c r="I90" s="8"/>
      <c r="J90" s="8"/>
      <c r="K90" s="8"/>
      <c r="L90" s="8"/>
      <c r="M90" s="8"/>
      <c r="N90" s="8"/>
      <c r="O90" s="8"/>
      <c r="P90" s="8"/>
      <c r="Q90" s="8"/>
      <c r="R90" s="8"/>
      <c r="S90" s="8"/>
      <c r="T90" s="8"/>
      <c r="U90" s="8"/>
      <c r="V90" s="8"/>
      <c r="W90" s="8"/>
      <c r="X90" s="8"/>
      <c r="Y90" s="8"/>
      <c r="Z90" s="8"/>
    </row>
    <row r="91" spans="1:26">
      <c r="A91" s="8"/>
      <c r="B91" s="156"/>
      <c r="C91" s="8"/>
      <c r="D91" s="8"/>
      <c r="E91" s="8"/>
      <c r="F91" s="8"/>
      <c r="G91" s="8"/>
      <c r="H91" s="157"/>
      <c r="I91" s="8"/>
      <c r="J91" s="8"/>
      <c r="K91" s="8"/>
      <c r="L91" s="8"/>
      <c r="M91" s="8"/>
      <c r="N91" s="8"/>
      <c r="O91" s="8"/>
      <c r="P91" s="8"/>
      <c r="Q91" s="8"/>
      <c r="R91" s="8"/>
      <c r="S91" s="8"/>
      <c r="T91" s="8"/>
      <c r="U91" s="8"/>
      <c r="V91" s="8"/>
      <c r="W91" s="8"/>
      <c r="X91" s="8"/>
      <c r="Y91" s="8"/>
      <c r="Z91" s="8"/>
    </row>
    <row r="92" spans="1:26">
      <c r="A92" s="8"/>
      <c r="B92" s="156"/>
      <c r="C92" s="8"/>
      <c r="D92" s="8"/>
      <c r="E92" s="8"/>
      <c r="F92" s="8"/>
      <c r="G92" s="8"/>
      <c r="H92" s="157"/>
      <c r="I92" s="8"/>
      <c r="J92" s="8"/>
      <c r="K92" s="8"/>
      <c r="L92" s="8"/>
      <c r="M92" s="8"/>
      <c r="N92" s="8"/>
      <c r="O92" s="8"/>
      <c r="P92" s="8"/>
      <c r="Q92" s="8"/>
      <c r="R92" s="8"/>
      <c r="S92" s="8"/>
      <c r="T92" s="8"/>
      <c r="U92" s="8"/>
      <c r="V92" s="8"/>
      <c r="W92" s="8"/>
      <c r="X92" s="8"/>
      <c r="Y92" s="8"/>
      <c r="Z92" s="8"/>
    </row>
    <row r="93" spans="1:26">
      <c r="A93" s="8"/>
      <c r="B93" s="156"/>
      <c r="C93" s="8"/>
      <c r="D93" s="8"/>
      <c r="E93" s="8"/>
      <c r="F93" s="8"/>
      <c r="G93" s="8"/>
      <c r="H93" s="157"/>
      <c r="I93" s="8"/>
      <c r="J93" s="8"/>
      <c r="K93" s="8"/>
      <c r="L93" s="8"/>
      <c r="M93" s="8"/>
      <c r="N93" s="8"/>
      <c r="O93" s="8"/>
      <c r="P93" s="8"/>
      <c r="Q93" s="8"/>
      <c r="R93" s="8"/>
      <c r="S93" s="8"/>
      <c r="T93" s="8"/>
      <c r="U93" s="8"/>
      <c r="V93" s="8"/>
      <c r="W93" s="8"/>
      <c r="X93" s="8"/>
      <c r="Y93" s="8"/>
      <c r="Z93" s="8"/>
    </row>
    <row r="94" spans="1:26">
      <c r="A94" s="8"/>
      <c r="B94" s="156"/>
      <c r="C94" s="8"/>
      <c r="D94" s="8"/>
      <c r="E94" s="8"/>
      <c r="F94" s="8"/>
      <c r="G94" s="8"/>
      <c r="H94" s="157"/>
      <c r="I94" s="8"/>
      <c r="J94" s="8"/>
      <c r="K94" s="8"/>
      <c r="L94" s="8"/>
      <c r="M94" s="8"/>
      <c r="N94" s="8"/>
      <c r="O94" s="8"/>
      <c r="P94" s="8"/>
      <c r="Q94" s="8"/>
      <c r="R94" s="8"/>
      <c r="S94" s="8"/>
      <c r="T94" s="8"/>
      <c r="U94" s="8"/>
      <c r="V94" s="8"/>
      <c r="W94" s="8"/>
      <c r="X94" s="8"/>
      <c r="Y94" s="8"/>
      <c r="Z94" s="8"/>
    </row>
    <row r="95" spans="1:26">
      <c r="A95" s="8"/>
      <c r="B95" s="156"/>
      <c r="C95" s="8"/>
      <c r="D95" s="8"/>
      <c r="E95" s="8"/>
      <c r="F95" s="8"/>
      <c r="G95" s="8"/>
      <c r="H95" s="157"/>
      <c r="I95" s="8"/>
      <c r="J95" s="8"/>
      <c r="K95" s="8"/>
      <c r="L95" s="8"/>
      <c r="M95" s="8"/>
      <c r="N95" s="8"/>
      <c r="O95" s="8"/>
      <c r="P95" s="8"/>
      <c r="Q95" s="8"/>
      <c r="R95" s="8"/>
      <c r="S95" s="8"/>
      <c r="T95" s="8"/>
      <c r="U95" s="8"/>
      <c r="V95" s="8"/>
      <c r="W95" s="8"/>
      <c r="X95" s="8"/>
      <c r="Y95" s="8"/>
      <c r="Z95" s="8"/>
    </row>
    <row r="96" spans="1:26">
      <c r="A96" s="8"/>
      <c r="B96" s="156"/>
      <c r="C96" s="8"/>
      <c r="D96" s="8"/>
      <c r="E96" s="8"/>
      <c r="F96" s="8"/>
      <c r="G96" s="8"/>
      <c r="H96" s="157"/>
      <c r="I96" s="8"/>
      <c r="J96" s="8"/>
      <c r="K96" s="8"/>
      <c r="L96" s="8"/>
      <c r="M96" s="8"/>
      <c r="N96" s="8"/>
      <c r="O96" s="8"/>
      <c r="P96" s="8"/>
      <c r="Q96" s="8"/>
      <c r="R96" s="8"/>
      <c r="S96" s="8"/>
      <c r="T96" s="8"/>
      <c r="U96" s="8"/>
      <c r="V96" s="8"/>
      <c r="W96" s="8"/>
      <c r="X96" s="8"/>
      <c r="Y96" s="8"/>
      <c r="Z96" s="8"/>
    </row>
    <row r="97" spans="1:26">
      <c r="A97" s="8"/>
      <c r="B97" s="156"/>
      <c r="C97" s="8"/>
      <c r="D97" s="8"/>
      <c r="E97" s="8"/>
      <c r="F97" s="8"/>
      <c r="G97" s="8"/>
      <c r="H97" s="157"/>
      <c r="I97" s="8"/>
      <c r="J97" s="8"/>
      <c r="K97" s="8"/>
      <c r="L97" s="8"/>
      <c r="M97" s="8"/>
      <c r="N97" s="8"/>
      <c r="O97" s="8"/>
      <c r="P97" s="8"/>
      <c r="Q97" s="8"/>
      <c r="R97" s="8"/>
      <c r="S97" s="8"/>
      <c r="T97" s="8"/>
      <c r="U97" s="8"/>
      <c r="V97" s="8"/>
      <c r="W97" s="8"/>
      <c r="X97" s="8"/>
      <c r="Y97" s="8"/>
      <c r="Z97" s="8"/>
    </row>
    <row r="98" spans="1:26">
      <c r="A98" s="8"/>
      <c r="B98" s="156"/>
      <c r="C98" s="8"/>
      <c r="D98" s="8"/>
      <c r="E98" s="8"/>
      <c r="F98" s="8"/>
      <c r="G98" s="8"/>
      <c r="H98" s="157"/>
      <c r="I98" s="8"/>
      <c r="J98" s="8"/>
      <c r="K98" s="8"/>
      <c r="L98" s="8"/>
      <c r="M98" s="8"/>
      <c r="N98" s="8"/>
      <c r="O98" s="8"/>
      <c r="P98" s="8"/>
      <c r="Q98" s="8"/>
      <c r="R98" s="8"/>
      <c r="S98" s="8"/>
      <c r="T98" s="8"/>
      <c r="U98" s="8"/>
      <c r="V98" s="8"/>
      <c r="W98" s="8"/>
      <c r="X98" s="8"/>
      <c r="Y98" s="8"/>
      <c r="Z98" s="8"/>
    </row>
    <row r="99" spans="1:26">
      <c r="A99" s="8"/>
      <c r="B99" s="156"/>
      <c r="C99" s="8"/>
      <c r="D99" s="8"/>
      <c r="E99" s="8"/>
      <c r="F99" s="8"/>
      <c r="G99" s="8"/>
      <c r="H99" s="157"/>
      <c r="I99" s="8"/>
      <c r="J99" s="8"/>
      <c r="K99" s="8"/>
      <c r="L99" s="8"/>
      <c r="M99" s="8"/>
      <c r="N99" s="8"/>
      <c r="O99" s="8"/>
      <c r="P99" s="8"/>
      <c r="Q99" s="8"/>
      <c r="R99" s="8"/>
      <c r="S99" s="8"/>
      <c r="T99" s="8"/>
      <c r="U99" s="8"/>
      <c r="V99" s="8"/>
      <c r="W99" s="8"/>
      <c r="X99" s="8"/>
      <c r="Y99" s="8"/>
      <c r="Z99" s="8"/>
    </row>
    <row r="100" spans="1:26">
      <c r="A100" s="8"/>
      <c r="B100" s="156"/>
      <c r="C100" s="8"/>
      <c r="D100" s="8"/>
      <c r="E100" s="8"/>
      <c r="F100" s="8"/>
      <c r="G100" s="8"/>
      <c r="H100" s="157"/>
      <c r="I100" s="8"/>
      <c r="J100" s="8"/>
      <c r="K100" s="8"/>
      <c r="L100" s="8"/>
      <c r="M100" s="8"/>
      <c r="N100" s="8"/>
      <c r="O100" s="8"/>
      <c r="P100" s="8"/>
      <c r="Q100" s="8"/>
      <c r="R100" s="8"/>
      <c r="S100" s="8"/>
      <c r="T100" s="8"/>
      <c r="U100" s="8"/>
      <c r="V100" s="8"/>
      <c r="W100" s="8"/>
      <c r="X100" s="8"/>
      <c r="Y100" s="8"/>
      <c r="Z100" s="8"/>
    </row>
    <row r="101" spans="1:26">
      <c r="A101" s="8"/>
      <c r="B101" s="156"/>
      <c r="C101" s="8"/>
      <c r="D101" s="8"/>
      <c r="E101" s="8"/>
      <c r="F101" s="8"/>
      <c r="G101" s="8"/>
      <c r="H101" s="157"/>
      <c r="I101" s="8"/>
      <c r="J101" s="8"/>
      <c r="K101" s="8"/>
      <c r="L101" s="8"/>
      <c r="M101" s="8"/>
      <c r="N101" s="8"/>
      <c r="O101" s="8"/>
      <c r="P101" s="8"/>
      <c r="Q101" s="8"/>
      <c r="R101" s="8"/>
      <c r="S101" s="8"/>
      <c r="T101" s="8"/>
      <c r="U101" s="8"/>
      <c r="V101" s="8"/>
      <c r="W101" s="8"/>
      <c r="X101" s="8"/>
      <c r="Y101" s="8"/>
      <c r="Z101" s="8"/>
    </row>
    <row r="102" spans="1:26">
      <c r="A102" s="8"/>
      <c r="B102" s="156"/>
      <c r="C102" s="8"/>
      <c r="D102" s="8"/>
      <c r="E102" s="8"/>
      <c r="F102" s="8"/>
      <c r="G102" s="8"/>
      <c r="H102" s="157"/>
      <c r="I102" s="8"/>
      <c r="J102" s="8"/>
      <c r="K102" s="8"/>
      <c r="L102" s="8"/>
      <c r="M102" s="8"/>
      <c r="N102" s="8"/>
      <c r="O102" s="8"/>
      <c r="P102" s="8"/>
      <c r="Q102" s="8"/>
      <c r="R102" s="8"/>
      <c r="S102" s="8"/>
      <c r="T102" s="8"/>
      <c r="U102" s="8"/>
      <c r="V102" s="8"/>
      <c r="W102" s="8"/>
      <c r="X102" s="8"/>
      <c r="Y102" s="8"/>
      <c r="Z102" s="8"/>
    </row>
    <row r="103" spans="1:26">
      <c r="A103" s="8"/>
      <c r="B103" s="156"/>
      <c r="C103" s="8"/>
      <c r="D103" s="8"/>
      <c r="E103" s="8"/>
      <c r="F103" s="8"/>
      <c r="G103" s="8"/>
      <c r="H103" s="157"/>
      <c r="I103" s="8"/>
      <c r="J103" s="8"/>
      <c r="K103" s="8"/>
      <c r="L103" s="8"/>
      <c r="M103" s="8"/>
      <c r="N103" s="8"/>
      <c r="O103" s="8"/>
      <c r="P103" s="8"/>
      <c r="Q103" s="8"/>
      <c r="R103" s="8"/>
      <c r="S103" s="8"/>
      <c r="T103" s="8"/>
      <c r="U103" s="8"/>
      <c r="V103" s="8"/>
      <c r="W103" s="8"/>
      <c r="X103" s="8"/>
      <c r="Y103" s="8"/>
      <c r="Z103" s="8"/>
    </row>
    <row r="104" spans="1:26">
      <c r="A104" s="8"/>
      <c r="B104" s="156"/>
      <c r="C104" s="8"/>
      <c r="D104" s="8"/>
      <c r="E104" s="8"/>
      <c r="F104" s="8"/>
      <c r="G104" s="8"/>
      <c r="H104" s="157"/>
      <c r="I104" s="8"/>
      <c r="J104" s="8"/>
      <c r="K104" s="8"/>
      <c r="L104" s="8"/>
      <c r="M104" s="8"/>
      <c r="N104" s="8"/>
      <c r="O104" s="8"/>
      <c r="P104" s="8"/>
      <c r="Q104" s="8"/>
      <c r="R104" s="8"/>
      <c r="S104" s="8"/>
      <c r="T104" s="8"/>
      <c r="U104" s="8"/>
      <c r="V104" s="8"/>
      <c r="W104" s="8"/>
      <c r="X104" s="8"/>
      <c r="Y104" s="8"/>
      <c r="Z104" s="8"/>
    </row>
    <row r="105" spans="1:26">
      <c r="A105" s="8"/>
      <c r="B105" s="156"/>
      <c r="C105" s="8"/>
      <c r="D105" s="8"/>
      <c r="E105" s="8"/>
      <c r="F105" s="8"/>
      <c r="G105" s="8"/>
      <c r="H105" s="157"/>
      <c r="I105" s="8"/>
      <c r="J105" s="8"/>
      <c r="K105" s="8"/>
      <c r="L105" s="8"/>
      <c r="M105" s="8"/>
      <c r="N105" s="8"/>
      <c r="O105" s="8"/>
      <c r="P105" s="8"/>
      <c r="Q105" s="8"/>
      <c r="R105" s="8"/>
      <c r="S105" s="8"/>
      <c r="T105" s="8"/>
      <c r="U105" s="8"/>
      <c r="V105" s="8"/>
      <c r="W105" s="8"/>
      <c r="X105" s="8"/>
      <c r="Y105" s="8"/>
      <c r="Z105" s="8"/>
    </row>
    <row r="106" spans="1:26">
      <c r="A106" s="8"/>
      <c r="B106" s="156"/>
      <c r="C106" s="8"/>
      <c r="D106" s="8"/>
      <c r="E106" s="8"/>
      <c r="F106" s="8"/>
      <c r="G106" s="8"/>
      <c r="H106" s="157"/>
      <c r="I106" s="8"/>
      <c r="J106" s="8"/>
      <c r="K106" s="8"/>
      <c r="L106" s="8"/>
      <c r="M106" s="8"/>
      <c r="N106" s="8"/>
      <c r="O106" s="8"/>
      <c r="P106" s="8"/>
      <c r="Q106" s="8"/>
      <c r="R106" s="8"/>
      <c r="S106" s="8"/>
      <c r="T106" s="8"/>
      <c r="U106" s="8"/>
      <c r="V106" s="8"/>
      <c r="W106" s="8"/>
      <c r="X106" s="8"/>
      <c r="Y106" s="8"/>
      <c r="Z106" s="8"/>
    </row>
    <row r="107" spans="1:26">
      <c r="A107" s="8"/>
      <c r="B107" s="156"/>
      <c r="C107" s="8"/>
      <c r="D107" s="8"/>
      <c r="E107" s="8"/>
      <c r="F107" s="8"/>
      <c r="G107" s="8"/>
      <c r="H107" s="157"/>
      <c r="I107" s="8"/>
      <c r="J107" s="8"/>
      <c r="K107" s="8"/>
      <c r="L107" s="8"/>
      <c r="M107" s="8"/>
      <c r="N107" s="8"/>
      <c r="O107" s="8"/>
      <c r="P107" s="8"/>
      <c r="Q107" s="8"/>
      <c r="R107" s="8"/>
      <c r="S107" s="8"/>
      <c r="T107" s="8"/>
      <c r="U107" s="8"/>
      <c r="V107" s="8"/>
      <c r="W107" s="8"/>
      <c r="X107" s="8"/>
      <c r="Y107" s="8"/>
      <c r="Z107" s="8"/>
    </row>
    <row r="108" spans="1:26">
      <c r="A108" s="8"/>
      <c r="B108" s="156"/>
      <c r="C108" s="8"/>
      <c r="D108" s="8"/>
      <c r="E108" s="8"/>
      <c r="F108" s="8"/>
      <c r="G108" s="8"/>
      <c r="H108" s="157"/>
      <c r="I108" s="8"/>
      <c r="J108" s="8"/>
      <c r="K108" s="8"/>
      <c r="L108" s="8"/>
      <c r="M108" s="8"/>
      <c r="N108" s="8"/>
      <c r="O108" s="8"/>
      <c r="P108" s="8"/>
      <c r="Q108" s="8"/>
      <c r="R108" s="8"/>
      <c r="S108" s="8"/>
      <c r="T108" s="8"/>
      <c r="U108" s="8"/>
      <c r="V108" s="8"/>
      <c r="W108" s="8"/>
      <c r="X108" s="8"/>
      <c r="Y108" s="8"/>
      <c r="Z108" s="8"/>
    </row>
    <row r="109" spans="1:26">
      <c r="A109" s="8"/>
      <c r="B109" s="156"/>
      <c r="C109" s="8"/>
      <c r="D109" s="8"/>
      <c r="E109" s="8"/>
      <c r="F109" s="8"/>
      <c r="G109" s="8"/>
      <c r="H109" s="157"/>
      <c r="I109" s="8"/>
      <c r="J109" s="8"/>
      <c r="K109" s="8"/>
      <c r="L109" s="8"/>
      <c r="M109" s="8"/>
      <c r="N109" s="8"/>
      <c r="O109" s="8"/>
      <c r="P109" s="8"/>
      <c r="Q109" s="8"/>
      <c r="R109" s="8"/>
      <c r="S109" s="8"/>
      <c r="T109" s="8"/>
      <c r="U109" s="8"/>
      <c r="V109" s="8"/>
      <c r="W109" s="8"/>
      <c r="X109" s="8"/>
      <c r="Y109" s="8"/>
      <c r="Z109" s="8"/>
    </row>
    <row r="110" spans="1:26">
      <c r="A110" s="8"/>
      <c r="B110" s="156"/>
      <c r="C110" s="8"/>
      <c r="D110" s="8"/>
      <c r="E110" s="8"/>
      <c r="F110" s="8"/>
      <c r="G110" s="8"/>
      <c r="H110" s="157"/>
      <c r="I110" s="8"/>
      <c r="J110" s="8"/>
      <c r="K110" s="8"/>
      <c r="L110" s="8"/>
      <c r="M110" s="8"/>
      <c r="N110" s="8"/>
      <c r="O110" s="8"/>
      <c r="P110" s="8"/>
      <c r="Q110" s="8"/>
      <c r="R110" s="8"/>
      <c r="S110" s="8"/>
      <c r="T110" s="8"/>
      <c r="U110" s="8"/>
      <c r="V110" s="8"/>
      <c r="W110" s="8"/>
      <c r="X110" s="8"/>
      <c r="Y110" s="8"/>
      <c r="Z110" s="8"/>
    </row>
    <row r="111" spans="1:26">
      <c r="A111" s="8"/>
      <c r="B111" s="156"/>
      <c r="C111" s="8"/>
      <c r="D111" s="8"/>
      <c r="E111" s="8"/>
      <c r="F111" s="8"/>
      <c r="G111" s="8"/>
      <c r="H111" s="157"/>
      <c r="I111" s="8"/>
      <c r="J111" s="8"/>
      <c r="K111" s="8"/>
      <c r="L111" s="8"/>
      <c r="M111" s="8"/>
      <c r="N111" s="8"/>
      <c r="O111" s="8"/>
      <c r="P111" s="8"/>
      <c r="Q111" s="8"/>
      <c r="R111" s="8"/>
      <c r="S111" s="8"/>
      <c r="T111" s="8"/>
      <c r="U111" s="8"/>
      <c r="V111" s="8"/>
      <c r="W111" s="8"/>
      <c r="X111" s="8"/>
      <c r="Y111" s="8"/>
      <c r="Z111" s="8"/>
    </row>
    <row r="112" spans="1:26">
      <c r="A112" s="8"/>
      <c r="B112" s="156"/>
      <c r="C112" s="8"/>
      <c r="D112" s="8"/>
      <c r="E112" s="8"/>
      <c r="F112" s="8"/>
      <c r="G112" s="8"/>
      <c r="H112" s="157"/>
      <c r="I112" s="8"/>
      <c r="J112" s="8"/>
      <c r="K112" s="8"/>
      <c r="L112" s="8"/>
      <c r="M112" s="8"/>
      <c r="N112" s="8"/>
      <c r="O112" s="8"/>
      <c r="P112" s="8"/>
      <c r="Q112" s="8"/>
      <c r="R112" s="8"/>
      <c r="S112" s="8"/>
      <c r="T112" s="8"/>
      <c r="U112" s="8"/>
      <c r="V112" s="8"/>
      <c r="W112" s="8"/>
      <c r="X112" s="8"/>
      <c r="Y112" s="8"/>
      <c r="Z112" s="8"/>
    </row>
    <row r="113" spans="1:26">
      <c r="A113" s="8"/>
      <c r="B113" s="156"/>
      <c r="C113" s="8"/>
      <c r="D113" s="8"/>
      <c r="E113" s="8"/>
      <c r="F113" s="8"/>
      <c r="G113" s="8"/>
      <c r="H113" s="157"/>
      <c r="I113" s="8"/>
      <c r="J113" s="8"/>
      <c r="K113" s="8"/>
      <c r="L113" s="8"/>
      <c r="M113" s="8"/>
      <c r="N113" s="8"/>
      <c r="O113" s="8"/>
      <c r="P113" s="8"/>
      <c r="Q113" s="8"/>
      <c r="R113" s="8"/>
      <c r="S113" s="8"/>
      <c r="T113" s="8"/>
      <c r="U113" s="8"/>
      <c r="V113" s="8"/>
      <c r="W113" s="8"/>
      <c r="X113" s="8"/>
      <c r="Y113" s="8"/>
      <c r="Z113" s="8"/>
    </row>
    <row r="114" spans="1:26">
      <c r="A114" s="8"/>
      <c r="B114" s="156"/>
      <c r="C114" s="8"/>
      <c r="D114" s="8"/>
      <c r="E114" s="8"/>
      <c r="F114" s="8"/>
      <c r="G114" s="8"/>
      <c r="H114" s="157"/>
      <c r="I114" s="8"/>
      <c r="J114" s="8"/>
      <c r="K114" s="8"/>
      <c r="L114" s="8"/>
      <c r="M114" s="8"/>
      <c r="N114" s="8"/>
      <c r="O114" s="8"/>
      <c r="P114" s="8"/>
      <c r="Q114" s="8"/>
      <c r="R114" s="8"/>
      <c r="S114" s="8"/>
      <c r="T114" s="8"/>
      <c r="U114" s="8"/>
      <c r="V114" s="8"/>
      <c r="W114" s="8"/>
      <c r="X114" s="8"/>
      <c r="Y114" s="8"/>
      <c r="Z114" s="8"/>
    </row>
    <row r="115" spans="1:26">
      <c r="A115" s="8"/>
      <c r="B115" s="156"/>
      <c r="C115" s="8"/>
      <c r="D115" s="8"/>
      <c r="E115" s="8"/>
      <c r="F115" s="8"/>
      <c r="G115" s="8"/>
      <c r="H115" s="157"/>
      <c r="I115" s="8"/>
      <c r="J115" s="8"/>
      <c r="K115" s="8"/>
      <c r="L115" s="8"/>
      <c r="M115" s="8"/>
      <c r="N115" s="8"/>
      <c r="O115" s="8"/>
      <c r="P115" s="8"/>
      <c r="Q115" s="8"/>
      <c r="R115" s="8"/>
      <c r="S115" s="8"/>
      <c r="T115" s="8"/>
      <c r="U115" s="8"/>
      <c r="V115" s="8"/>
      <c r="W115" s="8"/>
      <c r="X115" s="8"/>
      <c r="Y115" s="8"/>
      <c r="Z115" s="8"/>
    </row>
    <row r="116" spans="1:26">
      <c r="A116" s="8"/>
      <c r="B116" s="156"/>
      <c r="C116" s="8"/>
      <c r="D116" s="8"/>
      <c r="E116" s="8"/>
      <c r="F116" s="8"/>
      <c r="G116" s="8"/>
      <c r="H116" s="157"/>
      <c r="I116" s="8"/>
      <c r="J116" s="8"/>
      <c r="K116" s="8"/>
      <c r="L116" s="8"/>
      <c r="M116" s="8"/>
      <c r="N116" s="8"/>
      <c r="O116" s="8"/>
      <c r="P116" s="8"/>
      <c r="Q116" s="8"/>
      <c r="R116" s="8"/>
      <c r="S116" s="8"/>
      <c r="T116" s="8"/>
      <c r="U116" s="8"/>
      <c r="V116" s="8"/>
      <c r="W116" s="8"/>
      <c r="X116" s="8"/>
      <c r="Y116" s="8"/>
      <c r="Z116" s="8"/>
    </row>
    <row r="117" spans="1:26">
      <c r="A117" s="8"/>
      <c r="B117" s="156"/>
      <c r="C117" s="8"/>
      <c r="D117" s="8"/>
      <c r="E117" s="8"/>
      <c r="F117" s="8"/>
      <c r="G117" s="8"/>
      <c r="H117" s="157"/>
      <c r="I117" s="8"/>
      <c r="J117" s="8"/>
      <c r="K117" s="8"/>
      <c r="L117" s="8"/>
      <c r="M117" s="8"/>
      <c r="N117" s="8"/>
      <c r="O117" s="8"/>
      <c r="P117" s="8"/>
      <c r="Q117" s="8"/>
      <c r="R117" s="8"/>
      <c r="S117" s="8"/>
      <c r="T117" s="8"/>
      <c r="U117" s="8"/>
      <c r="V117" s="8"/>
      <c r="W117" s="8"/>
      <c r="X117" s="8"/>
      <c r="Y117" s="8"/>
      <c r="Z117" s="8"/>
    </row>
    <row r="118" spans="1:26">
      <c r="A118" s="8"/>
      <c r="B118" s="156"/>
      <c r="C118" s="8"/>
      <c r="D118" s="8"/>
      <c r="E118" s="8"/>
      <c r="F118" s="8"/>
      <c r="G118" s="8"/>
      <c r="H118" s="157"/>
      <c r="I118" s="8"/>
      <c r="J118" s="8"/>
      <c r="K118" s="8"/>
      <c r="L118" s="8"/>
      <c r="M118" s="8"/>
      <c r="N118" s="8"/>
      <c r="O118" s="8"/>
      <c r="P118" s="8"/>
      <c r="Q118" s="8"/>
      <c r="R118" s="8"/>
      <c r="S118" s="8"/>
      <c r="T118" s="8"/>
      <c r="U118" s="8"/>
      <c r="V118" s="8"/>
      <c r="W118" s="8"/>
      <c r="X118" s="8"/>
      <c r="Y118" s="8"/>
      <c r="Z118" s="8"/>
    </row>
    <row r="119" spans="1:26">
      <c r="A119" s="8"/>
      <c r="B119" s="156"/>
      <c r="C119" s="8"/>
      <c r="D119" s="8"/>
      <c r="E119" s="8"/>
      <c r="F119" s="8"/>
      <c r="G119" s="8"/>
      <c r="H119" s="157"/>
      <c r="I119" s="8"/>
      <c r="J119" s="8"/>
      <c r="K119" s="8"/>
      <c r="L119" s="8"/>
      <c r="M119" s="8"/>
      <c r="N119" s="8"/>
      <c r="O119" s="8"/>
      <c r="P119" s="8"/>
      <c r="Q119" s="8"/>
      <c r="R119" s="8"/>
      <c r="S119" s="8"/>
      <c r="T119" s="8"/>
      <c r="U119" s="8"/>
      <c r="V119" s="8"/>
      <c r="W119" s="8"/>
      <c r="X119" s="8"/>
      <c r="Y119" s="8"/>
      <c r="Z119" s="8"/>
    </row>
    <row r="120" spans="1:26">
      <c r="A120" s="8"/>
      <c r="B120" s="156"/>
      <c r="C120" s="8"/>
      <c r="D120" s="8"/>
      <c r="E120" s="8"/>
      <c r="F120" s="8"/>
      <c r="G120" s="8"/>
      <c r="H120" s="157"/>
      <c r="I120" s="8"/>
      <c r="J120" s="8"/>
      <c r="K120" s="8"/>
      <c r="L120" s="8"/>
      <c r="M120" s="8"/>
      <c r="N120" s="8"/>
      <c r="O120" s="8"/>
      <c r="P120" s="8"/>
      <c r="Q120" s="8"/>
      <c r="R120" s="8"/>
      <c r="S120" s="8"/>
      <c r="T120" s="8"/>
      <c r="U120" s="8"/>
      <c r="V120" s="8"/>
      <c r="W120" s="8"/>
      <c r="X120" s="8"/>
      <c r="Y120" s="8"/>
      <c r="Z120" s="8"/>
    </row>
    <row r="121" spans="1:26">
      <c r="A121" s="8"/>
      <c r="B121" s="156"/>
      <c r="C121" s="8"/>
      <c r="D121" s="8"/>
      <c r="E121" s="8"/>
      <c r="F121" s="8"/>
      <c r="G121" s="8"/>
      <c r="H121" s="157"/>
      <c r="I121" s="8"/>
      <c r="J121" s="8"/>
      <c r="K121" s="8"/>
      <c r="L121" s="8"/>
      <c r="M121" s="8"/>
      <c r="N121" s="8"/>
      <c r="O121" s="8"/>
      <c r="P121" s="8"/>
      <c r="Q121" s="8"/>
      <c r="R121" s="8"/>
      <c r="S121" s="8"/>
      <c r="T121" s="8"/>
      <c r="U121" s="8"/>
      <c r="V121" s="8"/>
      <c r="W121" s="8"/>
      <c r="X121" s="8"/>
      <c r="Y121" s="8"/>
      <c r="Z121" s="8"/>
    </row>
    <row r="122" spans="1:26">
      <c r="A122" s="8"/>
      <c r="B122" s="156"/>
      <c r="C122" s="8"/>
      <c r="D122" s="8"/>
      <c r="E122" s="8"/>
      <c r="F122" s="8"/>
      <c r="G122" s="8"/>
      <c r="H122" s="157"/>
      <c r="I122" s="8"/>
      <c r="J122" s="8"/>
      <c r="K122" s="8"/>
      <c r="L122" s="8"/>
      <c r="M122" s="8"/>
      <c r="N122" s="8"/>
      <c r="O122" s="8"/>
      <c r="P122" s="8"/>
      <c r="Q122" s="8"/>
      <c r="R122" s="8"/>
      <c r="S122" s="8"/>
      <c r="T122" s="8"/>
      <c r="U122" s="8"/>
      <c r="V122" s="8"/>
      <c r="W122" s="8"/>
      <c r="X122" s="8"/>
      <c r="Y122" s="8"/>
      <c r="Z122" s="8"/>
    </row>
    <row r="123" spans="1:26">
      <c r="A123" s="8"/>
      <c r="B123" s="156"/>
      <c r="C123" s="8"/>
      <c r="D123" s="8"/>
      <c r="E123" s="8"/>
      <c r="F123" s="8"/>
      <c r="G123" s="8"/>
      <c r="H123" s="157"/>
      <c r="I123" s="8"/>
      <c r="J123" s="8"/>
      <c r="K123" s="8"/>
      <c r="L123" s="8"/>
      <c r="M123" s="8"/>
      <c r="N123" s="8"/>
      <c r="O123" s="8"/>
      <c r="P123" s="8"/>
      <c r="Q123" s="8"/>
      <c r="R123" s="8"/>
      <c r="S123" s="8"/>
      <c r="T123" s="8"/>
      <c r="U123" s="8"/>
      <c r="V123" s="8"/>
      <c r="W123" s="8"/>
      <c r="X123" s="8"/>
      <c r="Y123" s="8"/>
      <c r="Z123" s="8"/>
    </row>
    <row r="124" spans="1:26">
      <c r="A124" s="8"/>
      <c r="B124" s="156"/>
      <c r="C124" s="8"/>
      <c r="D124" s="8"/>
      <c r="E124" s="8"/>
      <c r="F124" s="8"/>
      <c r="G124" s="8"/>
      <c r="H124" s="157"/>
      <c r="I124" s="8"/>
      <c r="J124" s="8"/>
      <c r="K124" s="8"/>
      <c r="L124" s="8"/>
      <c r="M124" s="8"/>
      <c r="N124" s="8"/>
      <c r="O124" s="8"/>
      <c r="P124" s="8"/>
      <c r="Q124" s="8"/>
      <c r="R124" s="8"/>
      <c r="S124" s="8"/>
      <c r="T124" s="8"/>
      <c r="U124" s="8"/>
      <c r="V124" s="8"/>
      <c r="W124" s="8"/>
      <c r="X124" s="8"/>
      <c r="Y124" s="8"/>
      <c r="Z124" s="8"/>
    </row>
    <row r="125" spans="1:26">
      <c r="A125" s="8"/>
      <c r="B125" s="156"/>
      <c r="C125" s="8"/>
      <c r="D125" s="8"/>
      <c r="E125" s="8"/>
      <c r="F125" s="8"/>
      <c r="G125" s="8"/>
      <c r="H125" s="157"/>
      <c r="I125" s="8"/>
      <c r="J125" s="8"/>
      <c r="K125" s="8"/>
      <c r="L125" s="8"/>
      <c r="M125" s="8"/>
      <c r="N125" s="8"/>
      <c r="O125" s="8"/>
      <c r="P125" s="8"/>
      <c r="Q125" s="8"/>
      <c r="R125" s="8"/>
      <c r="S125" s="8"/>
      <c r="T125" s="8"/>
      <c r="U125" s="8"/>
      <c r="V125" s="8"/>
      <c r="W125" s="8"/>
      <c r="X125" s="8"/>
      <c r="Y125" s="8"/>
      <c r="Z125" s="8"/>
    </row>
    <row r="126" spans="1:26">
      <c r="A126" s="8"/>
      <c r="B126" s="156"/>
      <c r="C126" s="8"/>
      <c r="D126" s="8"/>
      <c r="E126" s="8"/>
      <c r="F126" s="8"/>
      <c r="G126" s="8"/>
      <c r="H126" s="157"/>
      <c r="I126" s="8"/>
      <c r="J126" s="8"/>
      <c r="K126" s="8"/>
      <c r="L126" s="8"/>
      <c r="M126" s="8"/>
      <c r="N126" s="8"/>
      <c r="O126" s="8"/>
      <c r="P126" s="8"/>
      <c r="Q126" s="8"/>
      <c r="R126" s="8"/>
      <c r="S126" s="8"/>
      <c r="T126" s="8"/>
      <c r="U126" s="8"/>
      <c r="V126" s="8"/>
      <c r="W126" s="8"/>
      <c r="X126" s="8"/>
      <c r="Y126" s="8"/>
      <c r="Z126" s="8"/>
    </row>
    <row r="127" spans="1:26">
      <c r="A127" s="8"/>
      <c r="B127" s="156"/>
      <c r="C127" s="8"/>
      <c r="D127" s="8"/>
      <c r="E127" s="8"/>
      <c r="F127" s="8"/>
      <c r="G127" s="8"/>
      <c r="H127" s="157"/>
      <c r="I127" s="8"/>
      <c r="J127" s="8"/>
      <c r="K127" s="8"/>
      <c r="L127" s="8"/>
      <c r="M127" s="8"/>
      <c r="N127" s="8"/>
      <c r="O127" s="8"/>
      <c r="P127" s="8"/>
      <c r="Q127" s="8"/>
      <c r="R127" s="8"/>
      <c r="S127" s="8"/>
      <c r="T127" s="8"/>
      <c r="U127" s="8"/>
      <c r="V127" s="8"/>
      <c r="W127" s="8"/>
      <c r="X127" s="8"/>
      <c r="Y127" s="8"/>
      <c r="Z127" s="8"/>
    </row>
    <row r="128" spans="1:26">
      <c r="A128" s="8"/>
      <c r="B128" s="156"/>
      <c r="C128" s="8"/>
      <c r="D128" s="8"/>
      <c r="E128" s="8"/>
      <c r="F128" s="8"/>
      <c r="G128" s="8"/>
      <c r="H128" s="157"/>
      <c r="I128" s="8"/>
      <c r="J128" s="8"/>
      <c r="K128" s="8"/>
      <c r="L128" s="8"/>
      <c r="M128" s="8"/>
      <c r="N128" s="8"/>
      <c r="O128" s="8"/>
      <c r="P128" s="8"/>
      <c r="Q128" s="8"/>
      <c r="R128" s="8"/>
      <c r="S128" s="8"/>
      <c r="T128" s="8"/>
      <c r="U128" s="8"/>
      <c r="V128" s="8"/>
      <c r="W128" s="8"/>
      <c r="X128" s="8"/>
      <c r="Y128" s="8"/>
      <c r="Z128" s="8"/>
    </row>
    <row r="129" spans="1:26">
      <c r="A129" s="8"/>
      <c r="B129" s="156"/>
      <c r="C129" s="8"/>
      <c r="D129" s="8"/>
      <c r="E129" s="8"/>
      <c r="F129" s="8"/>
      <c r="G129" s="8"/>
      <c r="H129" s="157"/>
      <c r="I129" s="8"/>
      <c r="J129" s="8"/>
      <c r="K129" s="8"/>
      <c r="L129" s="8"/>
      <c r="M129" s="8"/>
      <c r="N129" s="8"/>
      <c r="O129" s="8"/>
      <c r="P129" s="8"/>
      <c r="Q129" s="8"/>
      <c r="R129" s="8"/>
      <c r="S129" s="8"/>
      <c r="T129" s="8"/>
      <c r="U129" s="8"/>
      <c r="V129" s="8"/>
      <c r="W129" s="8"/>
      <c r="X129" s="8"/>
      <c r="Y129" s="8"/>
      <c r="Z129" s="8"/>
    </row>
    <row r="130" spans="1:26">
      <c r="A130" s="8"/>
      <c r="B130" s="156"/>
      <c r="C130" s="8"/>
      <c r="D130" s="8"/>
      <c r="E130" s="8"/>
      <c r="F130" s="8"/>
      <c r="G130" s="8"/>
      <c r="H130" s="157"/>
      <c r="I130" s="8"/>
      <c r="J130" s="8"/>
      <c r="K130" s="8"/>
      <c r="L130" s="8"/>
      <c r="M130" s="8"/>
      <c r="N130" s="8"/>
      <c r="O130" s="8"/>
      <c r="P130" s="8"/>
      <c r="Q130" s="8"/>
      <c r="R130" s="8"/>
      <c r="S130" s="8"/>
      <c r="T130" s="8"/>
      <c r="U130" s="8"/>
      <c r="V130" s="8"/>
      <c r="W130" s="8"/>
      <c r="X130" s="8"/>
      <c r="Y130" s="8"/>
      <c r="Z130" s="8"/>
    </row>
    <row r="131" spans="1:26">
      <c r="A131" s="8"/>
      <c r="B131" s="156"/>
      <c r="C131" s="8"/>
      <c r="D131" s="8"/>
      <c r="E131" s="8"/>
      <c r="F131" s="8"/>
      <c r="G131" s="8"/>
      <c r="H131" s="157"/>
      <c r="I131" s="8"/>
      <c r="J131" s="8"/>
      <c r="K131" s="8"/>
      <c r="L131" s="8"/>
      <c r="M131" s="8"/>
      <c r="N131" s="8"/>
      <c r="O131" s="8"/>
      <c r="P131" s="8"/>
      <c r="Q131" s="8"/>
      <c r="R131" s="8"/>
      <c r="S131" s="8"/>
      <c r="T131" s="8"/>
      <c r="U131" s="8"/>
      <c r="V131" s="8"/>
      <c r="W131" s="8"/>
      <c r="X131" s="8"/>
      <c r="Y131" s="8"/>
      <c r="Z131" s="8"/>
    </row>
    <row r="132" spans="1:26">
      <c r="A132" s="8"/>
      <c r="B132" s="156"/>
      <c r="C132" s="8"/>
      <c r="D132" s="8"/>
      <c r="E132" s="8"/>
      <c r="F132" s="8"/>
      <c r="G132" s="8"/>
      <c r="H132" s="157"/>
      <c r="I132" s="8"/>
      <c r="J132" s="8"/>
      <c r="K132" s="8"/>
      <c r="L132" s="8"/>
      <c r="M132" s="8"/>
      <c r="N132" s="8"/>
      <c r="O132" s="8"/>
      <c r="P132" s="8"/>
      <c r="Q132" s="8"/>
      <c r="R132" s="8"/>
      <c r="S132" s="8"/>
      <c r="T132" s="8"/>
      <c r="U132" s="8"/>
      <c r="V132" s="8"/>
      <c r="W132" s="8"/>
      <c r="X132" s="8"/>
      <c r="Y132" s="8"/>
      <c r="Z132" s="8"/>
    </row>
    <row r="133" spans="1:26">
      <c r="A133" s="8"/>
      <c r="B133" s="156"/>
      <c r="C133" s="8"/>
      <c r="D133" s="8"/>
      <c r="E133" s="8"/>
      <c r="F133" s="8"/>
      <c r="G133" s="8"/>
      <c r="H133" s="157"/>
      <c r="I133" s="8"/>
      <c r="J133" s="8"/>
      <c r="K133" s="8"/>
      <c r="L133" s="8"/>
      <c r="M133" s="8"/>
      <c r="N133" s="8"/>
      <c r="O133" s="8"/>
      <c r="P133" s="8"/>
      <c r="Q133" s="8"/>
      <c r="R133" s="8"/>
      <c r="S133" s="8"/>
      <c r="T133" s="8"/>
      <c r="U133" s="8"/>
      <c r="V133" s="8"/>
      <c r="W133" s="8"/>
      <c r="X133" s="8"/>
      <c r="Y133" s="8"/>
      <c r="Z133" s="8"/>
    </row>
    <row r="134" spans="1:26">
      <c r="A134" s="8"/>
      <c r="B134" s="156"/>
      <c r="C134" s="8"/>
      <c r="D134" s="8"/>
      <c r="E134" s="8"/>
      <c r="F134" s="8"/>
      <c r="G134" s="8"/>
      <c r="H134" s="157"/>
      <c r="I134" s="8"/>
      <c r="J134" s="8"/>
      <c r="K134" s="8"/>
      <c r="L134" s="8"/>
      <c r="M134" s="8"/>
      <c r="N134" s="8"/>
      <c r="O134" s="8"/>
      <c r="P134" s="8"/>
      <c r="Q134" s="8"/>
      <c r="R134" s="8"/>
      <c r="S134" s="8"/>
      <c r="T134" s="8"/>
      <c r="U134" s="8"/>
      <c r="V134" s="8"/>
      <c r="W134" s="8"/>
      <c r="X134" s="8"/>
      <c r="Y134" s="8"/>
      <c r="Z134" s="8"/>
    </row>
    <row r="135" spans="1:26">
      <c r="A135" s="8"/>
      <c r="B135" s="156"/>
      <c r="C135" s="8"/>
      <c r="D135" s="8"/>
      <c r="E135" s="8"/>
      <c r="F135" s="8"/>
      <c r="G135" s="8"/>
      <c r="H135" s="157"/>
      <c r="I135" s="8"/>
      <c r="J135" s="8"/>
      <c r="K135" s="8"/>
      <c r="L135" s="8"/>
      <c r="M135" s="8"/>
      <c r="N135" s="8"/>
      <c r="O135" s="8"/>
      <c r="P135" s="8"/>
      <c r="Q135" s="8"/>
      <c r="R135" s="8"/>
      <c r="S135" s="8"/>
      <c r="T135" s="8"/>
      <c r="U135" s="8"/>
      <c r="V135" s="8"/>
      <c r="W135" s="8"/>
      <c r="X135" s="8"/>
      <c r="Y135" s="8"/>
      <c r="Z135" s="8"/>
    </row>
    <row r="136" spans="1:26">
      <c r="A136" s="8"/>
      <c r="B136" s="156"/>
      <c r="C136" s="8"/>
      <c r="D136" s="8"/>
      <c r="E136" s="8"/>
      <c r="F136" s="8"/>
      <c r="G136" s="8"/>
      <c r="H136" s="157"/>
      <c r="I136" s="8"/>
      <c r="J136" s="8"/>
      <c r="K136" s="8"/>
      <c r="L136" s="8"/>
      <c r="M136" s="8"/>
      <c r="N136" s="8"/>
      <c r="O136" s="8"/>
      <c r="P136" s="8"/>
      <c r="Q136" s="8"/>
      <c r="R136" s="8"/>
      <c r="S136" s="8"/>
      <c r="T136" s="8"/>
      <c r="U136" s="8"/>
      <c r="V136" s="8"/>
      <c r="W136" s="8"/>
      <c r="X136" s="8"/>
      <c r="Y136" s="8"/>
      <c r="Z136" s="8"/>
    </row>
    <row r="137" spans="1:26">
      <c r="A137" s="8"/>
      <c r="B137" s="156"/>
      <c r="C137" s="8"/>
      <c r="D137" s="8"/>
      <c r="E137" s="8"/>
      <c r="F137" s="8"/>
      <c r="G137" s="8"/>
      <c r="H137" s="157"/>
      <c r="I137" s="8"/>
      <c r="J137" s="8"/>
      <c r="K137" s="8"/>
      <c r="L137" s="8"/>
      <c r="M137" s="8"/>
      <c r="N137" s="8"/>
      <c r="O137" s="8"/>
      <c r="P137" s="8"/>
      <c r="Q137" s="8"/>
      <c r="R137" s="8"/>
      <c r="S137" s="8"/>
      <c r="T137" s="8"/>
      <c r="U137" s="8"/>
      <c r="V137" s="8"/>
      <c r="W137" s="8"/>
      <c r="X137" s="8"/>
      <c r="Y137" s="8"/>
      <c r="Z137" s="8"/>
    </row>
    <row r="138" spans="1:26">
      <c r="A138" s="8"/>
      <c r="B138" s="156"/>
      <c r="C138" s="8"/>
      <c r="D138" s="8"/>
      <c r="E138" s="8"/>
      <c r="F138" s="8"/>
      <c r="G138" s="8"/>
      <c r="H138" s="157"/>
      <c r="I138" s="8"/>
      <c r="J138" s="8"/>
      <c r="K138" s="8"/>
      <c r="L138" s="8"/>
      <c r="M138" s="8"/>
      <c r="N138" s="8"/>
      <c r="O138" s="8"/>
      <c r="P138" s="8"/>
      <c r="Q138" s="8"/>
      <c r="R138" s="8"/>
      <c r="S138" s="8"/>
      <c r="T138" s="8"/>
      <c r="U138" s="8"/>
      <c r="V138" s="8"/>
      <c r="W138" s="8"/>
      <c r="X138" s="8"/>
      <c r="Y138" s="8"/>
      <c r="Z138" s="8"/>
    </row>
    <row r="139" spans="1:26">
      <c r="A139" s="8"/>
      <c r="B139" s="156"/>
      <c r="C139" s="8"/>
      <c r="D139" s="8"/>
      <c r="E139" s="8"/>
      <c r="F139" s="8"/>
      <c r="G139" s="8"/>
      <c r="H139" s="157"/>
      <c r="I139" s="8"/>
      <c r="J139" s="8"/>
      <c r="K139" s="8"/>
      <c r="L139" s="8"/>
      <c r="M139" s="8"/>
      <c r="N139" s="8"/>
      <c r="O139" s="8"/>
      <c r="P139" s="8"/>
      <c r="Q139" s="8"/>
      <c r="R139" s="8"/>
      <c r="S139" s="8"/>
      <c r="T139" s="8"/>
      <c r="U139" s="8"/>
      <c r="V139" s="8"/>
      <c r="W139" s="8"/>
      <c r="X139" s="8"/>
      <c r="Y139" s="8"/>
      <c r="Z139" s="8"/>
    </row>
    <row r="140" spans="1:26">
      <c r="A140" s="8"/>
      <c r="B140" s="156"/>
      <c r="C140" s="8"/>
      <c r="D140" s="8"/>
      <c r="E140" s="8"/>
      <c r="F140" s="8"/>
      <c r="G140" s="8"/>
      <c r="H140" s="157"/>
      <c r="I140" s="8"/>
      <c r="J140" s="8"/>
      <c r="K140" s="8"/>
      <c r="L140" s="8"/>
      <c r="M140" s="8"/>
      <c r="N140" s="8"/>
      <c r="O140" s="8"/>
      <c r="P140" s="8"/>
      <c r="Q140" s="8"/>
      <c r="R140" s="8"/>
      <c r="S140" s="8"/>
      <c r="T140" s="8"/>
      <c r="U140" s="8"/>
      <c r="V140" s="8"/>
      <c r="W140" s="8"/>
      <c r="X140" s="8"/>
      <c r="Y140" s="8"/>
      <c r="Z140" s="8"/>
    </row>
    <row r="141" spans="1:26">
      <c r="A141" s="8"/>
      <c r="B141" s="156"/>
      <c r="C141" s="8"/>
      <c r="D141" s="8"/>
      <c r="E141" s="8"/>
      <c r="F141" s="8"/>
      <c r="G141" s="8"/>
      <c r="H141" s="157"/>
      <c r="I141" s="8"/>
      <c r="J141" s="8"/>
      <c r="K141" s="8"/>
      <c r="L141" s="8"/>
      <c r="M141" s="8"/>
      <c r="N141" s="8"/>
      <c r="O141" s="8"/>
      <c r="P141" s="8"/>
      <c r="Q141" s="8"/>
      <c r="R141" s="8"/>
      <c r="S141" s="8"/>
      <c r="T141" s="8"/>
      <c r="U141" s="8"/>
      <c r="V141" s="8"/>
      <c r="W141" s="8"/>
      <c r="X141" s="8"/>
      <c r="Y141" s="8"/>
      <c r="Z141" s="8"/>
    </row>
    <row r="142" spans="1:26">
      <c r="A142" s="8"/>
      <c r="B142" s="156"/>
      <c r="C142" s="8"/>
      <c r="D142" s="8"/>
      <c r="E142" s="8"/>
      <c r="F142" s="8"/>
      <c r="G142" s="8"/>
      <c r="H142" s="157"/>
      <c r="I142" s="8"/>
      <c r="J142" s="8"/>
      <c r="K142" s="8"/>
      <c r="L142" s="8"/>
      <c r="M142" s="8"/>
      <c r="N142" s="8"/>
      <c r="O142" s="8"/>
      <c r="P142" s="8"/>
      <c r="Q142" s="8"/>
      <c r="R142" s="8"/>
      <c r="S142" s="8"/>
      <c r="T142" s="8"/>
      <c r="U142" s="8"/>
      <c r="V142" s="8"/>
      <c r="W142" s="8"/>
      <c r="X142" s="8"/>
      <c r="Y142" s="8"/>
      <c r="Z142" s="8"/>
    </row>
    <row r="143" spans="1:26">
      <c r="A143" s="8"/>
      <c r="B143" s="156"/>
      <c r="C143" s="8"/>
      <c r="D143" s="8"/>
      <c r="E143" s="8"/>
      <c r="F143" s="8"/>
      <c r="G143" s="8"/>
      <c r="H143" s="157"/>
      <c r="I143" s="8"/>
      <c r="J143" s="8"/>
      <c r="K143" s="8"/>
      <c r="L143" s="8"/>
      <c r="M143" s="8"/>
      <c r="N143" s="8"/>
      <c r="O143" s="8"/>
      <c r="P143" s="8"/>
      <c r="Q143" s="8"/>
      <c r="R143" s="8"/>
      <c r="S143" s="8"/>
      <c r="T143" s="8"/>
      <c r="U143" s="8"/>
      <c r="V143" s="8"/>
      <c r="W143" s="8"/>
      <c r="X143" s="8"/>
      <c r="Y143" s="8"/>
      <c r="Z143" s="8"/>
    </row>
    <row r="144" spans="1:26">
      <c r="A144" s="8"/>
      <c r="B144" s="156"/>
      <c r="C144" s="8"/>
      <c r="D144" s="8"/>
      <c r="E144" s="8"/>
      <c r="F144" s="8"/>
      <c r="G144" s="8"/>
      <c r="H144" s="157"/>
      <c r="I144" s="8"/>
      <c r="J144" s="8"/>
      <c r="K144" s="8"/>
      <c r="L144" s="8"/>
      <c r="M144" s="8"/>
      <c r="N144" s="8"/>
      <c r="O144" s="8"/>
      <c r="P144" s="8"/>
      <c r="Q144" s="8"/>
      <c r="R144" s="8"/>
      <c r="S144" s="8"/>
      <c r="T144" s="8"/>
      <c r="U144" s="8"/>
      <c r="V144" s="8"/>
      <c r="W144" s="8"/>
      <c r="X144" s="8"/>
      <c r="Y144" s="8"/>
      <c r="Z144" s="8"/>
    </row>
    <row r="145" spans="1:26">
      <c r="A145" s="8"/>
      <c r="B145" s="156"/>
      <c r="C145" s="8"/>
      <c r="D145" s="8"/>
      <c r="E145" s="8"/>
      <c r="F145" s="8"/>
      <c r="G145" s="8"/>
      <c r="H145" s="157"/>
      <c r="I145" s="8"/>
      <c r="J145" s="8"/>
      <c r="K145" s="8"/>
      <c r="L145" s="8"/>
      <c r="M145" s="8"/>
      <c r="N145" s="8"/>
      <c r="O145" s="8"/>
      <c r="P145" s="8"/>
      <c r="Q145" s="8"/>
      <c r="R145" s="8"/>
      <c r="S145" s="8"/>
      <c r="T145" s="8"/>
      <c r="U145" s="8"/>
      <c r="V145" s="8"/>
      <c r="W145" s="8"/>
      <c r="X145" s="8"/>
      <c r="Y145" s="8"/>
      <c r="Z145" s="8"/>
    </row>
    <row r="146" spans="1:26">
      <c r="A146" s="8"/>
      <c r="B146" s="156"/>
      <c r="C146" s="8"/>
      <c r="D146" s="8"/>
      <c r="E146" s="8"/>
      <c r="F146" s="8"/>
      <c r="G146" s="8"/>
      <c r="H146" s="157"/>
      <c r="I146" s="8"/>
      <c r="J146" s="8"/>
      <c r="K146" s="8"/>
      <c r="L146" s="8"/>
      <c r="M146" s="8"/>
      <c r="N146" s="8"/>
      <c r="O146" s="8"/>
      <c r="P146" s="8"/>
      <c r="Q146" s="8"/>
      <c r="R146" s="8"/>
      <c r="S146" s="8"/>
      <c r="T146" s="8"/>
      <c r="U146" s="8"/>
      <c r="V146" s="8"/>
      <c r="W146" s="8"/>
      <c r="X146" s="8"/>
      <c r="Y146" s="8"/>
      <c r="Z146" s="8"/>
    </row>
    <row r="147" spans="1:26">
      <c r="A147" s="8"/>
      <c r="B147" s="156"/>
      <c r="C147" s="8"/>
      <c r="D147" s="8"/>
      <c r="E147" s="8"/>
      <c r="F147" s="8"/>
      <c r="G147" s="8"/>
      <c r="H147" s="157"/>
      <c r="I147" s="8"/>
      <c r="J147" s="8"/>
      <c r="K147" s="8"/>
      <c r="L147" s="8"/>
      <c r="M147" s="8"/>
      <c r="N147" s="8"/>
      <c r="O147" s="8"/>
      <c r="P147" s="8"/>
      <c r="Q147" s="8"/>
      <c r="R147" s="8"/>
      <c r="S147" s="8"/>
      <c r="T147" s="8"/>
      <c r="U147" s="8"/>
      <c r="V147" s="8"/>
      <c r="W147" s="8"/>
      <c r="X147" s="8"/>
      <c r="Y147" s="8"/>
      <c r="Z147" s="8"/>
    </row>
    <row r="148" spans="1:26">
      <c r="A148" s="8"/>
      <c r="B148" s="156"/>
      <c r="C148" s="8"/>
      <c r="D148" s="8"/>
      <c r="E148" s="8"/>
      <c r="F148" s="8"/>
      <c r="G148" s="8"/>
      <c r="H148" s="157"/>
      <c r="I148" s="8"/>
      <c r="J148" s="8"/>
      <c r="K148" s="8"/>
      <c r="L148" s="8"/>
      <c r="M148" s="8"/>
      <c r="N148" s="8"/>
      <c r="O148" s="8"/>
      <c r="P148" s="8"/>
      <c r="Q148" s="8"/>
      <c r="R148" s="8"/>
      <c r="S148" s="8"/>
      <c r="T148" s="8"/>
      <c r="U148" s="8"/>
      <c r="V148" s="8"/>
      <c r="W148" s="8"/>
      <c r="X148" s="8"/>
      <c r="Y148" s="8"/>
      <c r="Z148" s="8"/>
    </row>
    <row r="149" spans="1:26">
      <c r="A149" s="8"/>
      <c r="B149" s="156"/>
      <c r="C149" s="8"/>
      <c r="D149" s="8"/>
      <c r="E149" s="8"/>
      <c r="F149" s="8"/>
      <c r="G149" s="8"/>
      <c r="H149" s="157"/>
      <c r="I149" s="8"/>
      <c r="J149" s="8"/>
      <c r="K149" s="8"/>
      <c r="L149" s="8"/>
      <c r="M149" s="8"/>
      <c r="N149" s="8"/>
      <c r="O149" s="8"/>
      <c r="P149" s="8"/>
      <c r="Q149" s="8"/>
      <c r="R149" s="8"/>
      <c r="S149" s="8"/>
      <c r="T149" s="8"/>
      <c r="U149" s="8"/>
      <c r="V149" s="8"/>
      <c r="W149" s="8"/>
      <c r="X149" s="8"/>
      <c r="Y149" s="8"/>
      <c r="Z149" s="8"/>
    </row>
    <row r="150" spans="1:26">
      <c r="A150" s="8"/>
      <c r="B150" s="156"/>
      <c r="C150" s="8"/>
      <c r="D150" s="8"/>
      <c r="E150" s="8"/>
      <c r="F150" s="8"/>
      <c r="G150" s="8"/>
      <c r="H150" s="157"/>
      <c r="I150" s="8"/>
      <c r="J150" s="8"/>
      <c r="K150" s="8"/>
      <c r="L150" s="8"/>
      <c r="M150" s="8"/>
      <c r="N150" s="8"/>
      <c r="O150" s="8"/>
      <c r="P150" s="8"/>
      <c r="Q150" s="8"/>
      <c r="R150" s="8"/>
      <c r="S150" s="8"/>
      <c r="T150" s="8"/>
      <c r="U150" s="8"/>
      <c r="V150" s="8"/>
      <c r="W150" s="8"/>
      <c r="X150" s="8"/>
      <c r="Y150" s="8"/>
      <c r="Z150" s="8"/>
    </row>
    <row r="151" spans="1:26">
      <c r="A151" s="8"/>
      <c r="B151" s="156"/>
      <c r="C151" s="8"/>
      <c r="D151" s="8"/>
      <c r="E151" s="8"/>
      <c r="F151" s="8"/>
      <c r="G151" s="8"/>
      <c r="H151" s="157"/>
      <c r="I151" s="8"/>
      <c r="J151" s="8"/>
      <c r="K151" s="8"/>
      <c r="L151" s="8"/>
      <c r="M151" s="8"/>
      <c r="N151" s="8"/>
      <c r="O151" s="8"/>
      <c r="P151" s="8"/>
      <c r="Q151" s="8"/>
      <c r="R151" s="8"/>
      <c r="S151" s="8"/>
      <c r="T151" s="8"/>
      <c r="U151" s="8"/>
      <c r="V151" s="8"/>
      <c r="W151" s="8"/>
      <c r="X151" s="8"/>
      <c r="Y151" s="8"/>
      <c r="Z151" s="8"/>
    </row>
    <row r="152" spans="1:26">
      <c r="A152" s="8"/>
      <c r="B152" s="156"/>
      <c r="C152" s="8"/>
      <c r="D152" s="8"/>
      <c r="E152" s="8"/>
      <c r="F152" s="8"/>
      <c r="G152" s="8"/>
      <c r="H152" s="157"/>
      <c r="I152" s="8"/>
      <c r="J152" s="8"/>
      <c r="K152" s="8"/>
      <c r="L152" s="8"/>
      <c r="M152" s="8"/>
      <c r="N152" s="8"/>
      <c r="O152" s="8"/>
      <c r="P152" s="8"/>
      <c r="Q152" s="8"/>
      <c r="R152" s="8"/>
      <c r="S152" s="8"/>
      <c r="T152" s="8"/>
      <c r="U152" s="8"/>
      <c r="V152" s="8"/>
      <c r="W152" s="8"/>
      <c r="X152" s="8"/>
      <c r="Y152" s="8"/>
      <c r="Z152" s="8"/>
    </row>
    <row r="153" spans="1:26">
      <c r="A153" s="8"/>
      <c r="B153" s="156"/>
      <c r="C153" s="8"/>
      <c r="D153" s="8"/>
      <c r="E153" s="8"/>
      <c r="F153" s="8"/>
      <c r="G153" s="8"/>
      <c r="H153" s="157"/>
      <c r="I153" s="8"/>
      <c r="J153" s="8"/>
      <c r="K153" s="8"/>
      <c r="L153" s="8"/>
      <c r="M153" s="8"/>
      <c r="N153" s="8"/>
      <c r="O153" s="8"/>
      <c r="P153" s="8"/>
      <c r="Q153" s="8"/>
      <c r="R153" s="8"/>
      <c r="S153" s="8"/>
      <c r="T153" s="8"/>
      <c r="U153" s="8"/>
      <c r="V153" s="8"/>
      <c r="W153" s="8"/>
      <c r="X153" s="8"/>
      <c r="Y153" s="8"/>
      <c r="Z153" s="8"/>
    </row>
    <row r="154" spans="1:26">
      <c r="A154" s="8"/>
      <c r="B154" s="156"/>
      <c r="C154" s="8"/>
      <c r="D154" s="8"/>
      <c r="E154" s="8"/>
      <c r="F154" s="8"/>
      <c r="G154" s="8"/>
      <c r="H154" s="157"/>
      <c r="I154" s="8"/>
      <c r="J154" s="8"/>
      <c r="K154" s="8"/>
      <c r="L154" s="8"/>
      <c r="M154" s="8"/>
      <c r="N154" s="8"/>
      <c r="O154" s="8"/>
      <c r="P154" s="8"/>
      <c r="Q154" s="8"/>
      <c r="R154" s="8"/>
      <c r="S154" s="8"/>
      <c r="T154" s="8"/>
      <c r="U154" s="8"/>
      <c r="V154" s="8"/>
      <c r="W154" s="8"/>
      <c r="X154" s="8"/>
      <c r="Y154" s="8"/>
      <c r="Z154" s="8"/>
    </row>
    <row r="155" spans="1:26">
      <c r="A155" s="8"/>
      <c r="B155" s="156"/>
      <c r="C155" s="8"/>
      <c r="D155" s="8"/>
      <c r="E155" s="8"/>
      <c r="F155" s="8"/>
      <c r="G155" s="8"/>
      <c r="H155" s="157"/>
      <c r="I155" s="8"/>
      <c r="J155" s="8"/>
      <c r="K155" s="8"/>
      <c r="L155" s="8"/>
      <c r="M155" s="8"/>
      <c r="N155" s="8"/>
      <c r="O155" s="8"/>
      <c r="P155" s="8"/>
      <c r="Q155" s="8"/>
      <c r="R155" s="8"/>
      <c r="S155" s="8"/>
      <c r="T155" s="8"/>
      <c r="U155" s="8"/>
      <c r="V155" s="8"/>
      <c r="W155" s="8"/>
      <c r="X155" s="8"/>
      <c r="Y155" s="8"/>
      <c r="Z155" s="8"/>
    </row>
    <row r="156" spans="1:26">
      <c r="A156" s="8"/>
      <c r="B156" s="156"/>
      <c r="C156" s="8"/>
      <c r="D156" s="8"/>
      <c r="E156" s="8"/>
      <c r="F156" s="8"/>
      <c r="G156" s="8"/>
      <c r="H156" s="157"/>
      <c r="I156" s="8"/>
      <c r="J156" s="8"/>
      <c r="K156" s="8"/>
      <c r="L156" s="8"/>
      <c r="M156" s="8"/>
      <c r="N156" s="8"/>
      <c r="O156" s="8"/>
      <c r="P156" s="8"/>
      <c r="Q156" s="8"/>
      <c r="R156" s="8"/>
      <c r="S156" s="8"/>
      <c r="T156" s="8"/>
      <c r="U156" s="8"/>
      <c r="V156" s="8"/>
      <c r="W156" s="8"/>
      <c r="X156" s="8"/>
      <c r="Y156" s="8"/>
      <c r="Z156" s="8"/>
    </row>
    <row r="157" spans="1:26">
      <c r="A157" s="8"/>
      <c r="B157" s="156"/>
      <c r="C157" s="8"/>
      <c r="D157" s="8"/>
      <c r="E157" s="8"/>
      <c r="F157" s="8"/>
      <c r="G157" s="8"/>
      <c r="H157" s="157"/>
      <c r="I157" s="8"/>
      <c r="J157" s="8"/>
      <c r="K157" s="8"/>
      <c r="L157" s="8"/>
      <c r="M157" s="8"/>
      <c r="N157" s="8"/>
      <c r="O157" s="8"/>
      <c r="P157" s="8"/>
      <c r="Q157" s="8"/>
      <c r="R157" s="8"/>
      <c r="S157" s="8"/>
      <c r="T157" s="8"/>
      <c r="U157" s="8"/>
      <c r="V157" s="8"/>
      <c r="W157" s="8"/>
      <c r="X157" s="8"/>
      <c r="Y157" s="8"/>
      <c r="Z157" s="8"/>
    </row>
    <row r="158" spans="1:26">
      <c r="A158" s="8"/>
      <c r="B158" s="156"/>
      <c r="C158" s="8"/>
      <c r="D158" s="8"/>
      <c r="E158" s="8"/>
      <c r="F158" s="8"/>
      <c r="G158" s="8"/>
      <c r="H158" s="157"/>
      <c r="I158" s="8"/>
      <c r="J158" s="8"/>
      <c r="K158" s="8"/>
      <c r="L158" s="8"/>
      <c r="M158" s="8"/>
      <c r="N158" s="8"/>
      <c r="O158" s="8"/>
      <c r="P158" s="8"/>
      <c r="Q158" s="8"/>
      <c r="R158" s="8"/>
      <c r="S158" s="8"/>
      <c r="T158" s="8"/>
      <c r="U158" s="8"/>
      <c r="V158" s="8"/>
      <c r="W158" s="8"/>
      <c r="X158" s="8"/>
      <c r="Y158" s="8"/>
      <c r="Z158" s="8"/>
    </row>
    <row r="159" spans="1:26">
      <c r="A159" s="8"/>
      <c r="B159" s="156"/>
      <c r="C159" s="8"/>
      <c r="D159" s="8"/>
      <c r="E159" s="8"/>
      <c r="F159" s="8"/>
      <c r="G159" s="8"/>
      <c r="H159" s="157"/>
      <c r="I159" s="8"/>
      <c r="J159" s="8"/>
      <c r="K159" s="8"/>
      <c r="L159" s="8"/>
      <c r="M159" s="8"/>
      <c r="N159" s="8"/>
      <c r="O159" s="8"/>
      <c r="P159" s="8"/>
      <c r="Q159" s="8"/>
      <c r="R159" s="8"/>
      <c r="S159" s="8"/>
      <c r="T159" s="8"/>
      <c r="U159" s="8"/>
      <c r="V159" s="8"/>
      <c r="W159" s="8"/>
      <c r="X159" s="8"/>
      <c r="Y159" s="8"/>
      <c r="Z159" s="8"/>
    </row>
    <row r="160" spans="1:26">
      <c r="A160" s="8"/>
      <c r="B160" s="156"/>
      <c r="C160" s="8"/>
      <c r="D160" s="8"/>
      <c r="E160" s="8"/>
      <c r="F160" s="8"/>
      <c r="G160" s="8"/>
      <c r="H160" s="157"/>
      <c r="I160" s="8"/>
      <c r="J160" s="8"/>
      <c r="K160" s="8"/>
      <c r="L160" s="8"/>
      <c r="M160" s="8"/>
      <c r="N160" s="8"/>
      <c r="O160" s="8"/>
      <c r="P160" s="8"/>
      <c r="Q160" s="8"/>
      <c r="R160" s="8"/>
      <c r="S160" s="8"/>
      <c r="T160" s="8"/>
      <c r="U160" s="8"/>
      <c r="V160" s="8"/>
      <c r="W160" s="8"/>
      <c r="X160" s="8"/>
      <c r="Y160" s="8"/>
      <c r="Z160" s="8"/>
    </row>
    <row r="161" spans="1:26">
      <c r="A161" s="8"/>
      <c r="B161" s="156"/>
      <c r="C161" s="8"/>
      <c r="D161" s="8"/>
      <c r="E161" s="8"/>
      <c r="F161" s="8"/>
      <c r="G161" s="8"/>
      <c r="H161" s="157"/>
      <c r="I161" s="8"/>
      <c r="J161" s="8"/>
      <c r="K161" s="8"/>
      <c r="L161" s="8"/>
      <c r="M161" s="8"/>
      <c r="N161" s="8"/>
      <c r="O161" s="8"/>
      <c r="P161" s="8"/>
      <c r="Q161" s="8"/>
      <c r="R161" s="8"/>
      <c r="S161" s="8"/>
      <c r="T161" s="8"/>
      <c r="U161" s="8"/>
      <c r="V161" s="8"/>
      <c r="W161" s="8"/>
      <c r="X161" s="8"/>
      <c r="Y161" s="8"/>
      <c r="Z161" s="8"/>
    </row>
    <row r="162" spans="1:26">
      <c r="A162" s="8"/>
      <c r="B162" s="156"/>
      <c r="C162" s="8"/>
      <c r="D162" s="8"/>
      <c r="E162" s="8"/>
      <c r="F162" s="8"/>
      <c r="G162" s="8"/>
      <c r="H162" s="157"/>
      <c r="I162" s="8"/>
      <c r="J162" s="8"/>
      <c r="K162" s="8"/>
      <c r="L162" s="8"/>
      <c r="M162" s="8"/>
      <c r="N162" s="8"/>
      <c r="O162" s="8"/>
      <c r="P162" s="8"/>
      <c r="Q162" s="8"/>
      <c r="R162" s="8"/>
      <c r="S162" s="8"/>
      <c r="T162" s="8"/>
      <c r="U162" s="8"/>
      <c r="V162" s="8"/>
      <c r="W162" s="8"/>
      <c r="X162" s="8"/>
      <c r="Y162" s="8"/>
      <c r="Z162" s="8"/>
    </row>
    <row r="163" spans="1:26">
      <c r="A163" s="8"/>
      <c r="B163" s="156"/>
      <c r="C163" s="8"/>
      <c r="D163" s="8"/>
      <c r="E163" s="8"/>
      <c r="F163" s="8"/>
      <c r="G163" s="8"/>
      <c r="H163" s="157"/>
      <c r="I163" s="8"/>
      <c r="J163" s="8"/>
      <c r="K163" s="8"/>
      <c r="L163" s="8"/>
      <c r="M163" s="8"/>
      <c r="N163" s="8"/>
      <c r="O163" s="8"/>
      <c r="P163" s="8"/>
      <c r="Q163" s="8"/>
      <c r="R163" s="8"/>
      <c r="S163" s="8"/>
      <c r="T163" s="8"/>
      <c r="U163" s="8"/>
      <c r="V163" s="8"/>
      <c r="W163" s="8"/>
      <c r="X163" s="8"/>
      <c r="Y163" s="8"/>
      <c r="Z163" s="8"/>
    </row>
    <row r="164" spans="1:26">
      <c r="A164" s="8"/>
      <c r="B164" s="156"/>
      <c r="C164" s="8"/>
      <c r="D164" s="8"/>
      <c r="E164" s="8"/>
      <c r="F164" s="8"/>
      <c r="G164" s="8"/>
      <c r="H164" s="157"/>
      <c r="I164" s="8"/>
      <c r="J164" s="8"/>
      <c r="K164" s="8"/>
      <c r="L164" s="8"/>
      <c r="M164" s="8"/>
      <c r="N164" s="8"/>
      <c r="O164" s="8"/>
      <c r="P164" s="8"/>
      <c r="Q164" s="8"/>
      <c r="R164" s="8"/>
      <c r="S164" s="8"/>
      <c r="T164" s="8"/>
      <c r="U164" s="8"/>
      <c r="V164" s="8"/>
      <c r="W164" s="8"/>
      <c r="X164" s="8"/>
      <c r="Y164" s="8"/>
      <c r="Z164" s="8"/>
    </row>
    <row r="165" spans="1:26">
      <c r="A165" s="8"/>
      <c r="B165" s="156"/>
      <c r="C165" s="8"/>
      <c r="D165" s="8"/>
      <c r="E165" s="8"/>
      <c r="F165" s="8"/>
      <c r="G165" s="8"/>
      <c r="H165" s="157"/>
      <c r="I165" s="8"/>
      <c r="J165" s="8"/>
      <c r="K165" s="8"/>
      <c r="L165" s="8"/>
      <c r="M165" s="8"/>
      <c r="N165" s="8"/>
      <c r="O165" s="8"/>
      <c r="P165" s="8"/>
      <c r="Q165" s="8"/>
      <c r="R165" s="8"/>
      <c r="S165" s="8"/>
      <c r="T165" s="8"/>
      <c r="U165" s="8"/>
      <c r="V165" s="8"/>
      <c r="W165" s="8"/>
      <c r="X165" s="8"/>
      <c r="Y165" s="8"/>
      <c r="Z165" s="8"/>
    </row>
    <row r="166" spans="1:26">
      <c r="A166" s="8"/>
      <c r="B166" s="156"/>
      <c r="C166" s="8"/>
      <c r="D166" s="8"/>
      <c r="E166" s="8"/>
      <c r="F166" s="8"/>
      <c r="G166" s="8"/>
      <c r="H166" s="157"/>
      <c r="I166" s="8"/>
      <c r="J166" s="8"/>
      <c r="K166" s="8"/>
      <c r="L166" s="8"/>
      <c r="M166" s="8"/>
      <c r="N166" s="8"/>
      <c r="O166" s="8"/>
      <c r="P166" s="8"/>
      <c r="Q166" s="8"/>
      <c r="R166" s="8"/>
      <c r="S166" s="8"/>
      <c r="T166" s="8"/>
      <c r="U166" s="8"/>
      <c r="V166" s="8"/>
      <c r="W166" s="8"/>
      <c r="X166" s="8"/>
      <c r="Y166" s="8"/>
      <c r="Z166" s="8"/>
    </row>
    <row r="167" spans="1:26">
      <c r="A167" s="8"/>
      <c r="B167" s="156"/>
      <c r="C167" s="8"/>
      <c r="D167" s="8"/>
      <c r="E167" s="8"/>
      <c r="F167" s="8"/>
      <c r="G167" s="8"/>
      <c r="H167" s="157"/>
      <c r="I167" s="8"/>
      <c r="J167" s="8"/>
      <c r="K167" s="8"/>
      <c r="L167" s="8"/>
      <c r="M167" s="8"/>
      <c r="N167" s="8"/>
      <c r="O167" s="8"/>
      <c r="P167" s="8"/>
      <c r="Q167" s="8"/>
      <c r="R167" s="8"/>
      <c r="S167" s="8"/>
      <c r="T167" s="8"/>
      <c r="U167" s="8"/>
      <c r="V167" s="8"/>
      <c r="W167" s="8"/>
      <c r="X167" s="8"/>
      <c r="Y167" s="8"/>
      <c r="Z167" s="8"/>
    </row>
    <row r="168" spans="1:26">
      <c r="A168" s="8"/>
      <c r="B168" s="156"/>
      <c r="C168" s="8"/>
      <c r="D168" s="8"/>
      <c r="E168" s="8"/>
      <c r="F168" s="8"/>
      <c r="G168" s="8"/>
      <c r="H168" s="157"/>
      <c r="I168" s="8"/>
      <c r="J168" s="8"/>
      <c r="K168" s="8"/>
      <c r="L168" s="8"/>
      <c r="M168" s="8"/>
      <c r="N168" s="8"/>
      <c r="O168" s="8"/>
      <c r="P168" s="8"/>
      <c r="Q168" s="8"/>
      <c r="R168" s="8"/>
      <c r="S168" s="8"/>
      <c r="T168" s="8"/>
      <c r="U168" s="8"/>
      <c r="V168" s="8"/>
      <c r="W168" s="8"/>
      <c r="X168" s="8"/>
      <c r="Y168" s="8"/>
      <c r="Z168" s="8"/>
    </row>
    <row r="169" spans="1:26">
      <c r="A169" s="8"/>
      <c r="B169" s="156"/>
      <c r="C169" s="8"/>
      <c r="D169" s="8"/>
      <c r="E169" s="8"/>
      <c r="F169" s="8"/>
      <c r="G169" s="8"/>
      <c r="H169" s="157"/>
      <c r="I169" s="8"/>
      <c r="J169" s="8"/>
      <c r="K169" s="8"/>
      <c r="L169" s="8"/>
      <c r="M169" s="8"/>
      <c r="N169" s="8"/>
      <c r="O169" s="8"/>
      <c r="P169" s="8"/>
      <c r="Q169" s="8"/>
      <c r="R169" s="8"/>
      <c r="S169" s="8"/>
      <c r="T169" s="8"/>
      <c r="U169" s="8"/>
      <c r="V169" s="8"/>
      <c r="W169" s="8"/>
      <c r="X169" s="8"/>
      <c r="Y169" s="8"/>
      <c r="Z169" s="8"/>
    </row>
    <row r="170" spans="1:26">
      <c r="A170" s="8"/>
      <c r="B170" s="156"/>
      <c r="C170" s="8"/>
      <c r="D170" s="8"/>
      <c r="E170" s="8"/>
      <c r="F170" s="8"/>
      <c r="G170" s="8"/>
      <c r="H170" s="157"/>
      <c r="I170" s="8"/>
      <c r="J170" s="8"/>
      <c r="K170" s="8"/>
      <c r="L170" s="8"/>
      <c r="M170" s="8"/>
      <c r="N170" s="8"/>
      <c r="O170" s="8"/>
      <c r="P170" s="8"/>
      <c r="Q170" s="8"/>
      <c r="R170" s="8"/>
      <c r="S170" s="8"/>
      <c r="T170" s="8"/>
      <c r="U170" s="8"/>
      <c r="V170" s="8"/>
      <c r="W170" s="8"/>
      <c r="X170" s="8"/>
      <c r="Y170" s="8"/>
      <c r="Z170" s="8"/>
    </row>
    <row r="171" spans="1:26">
      <c r="A171" s="8"/>
      <c r="B171" s="156"/>
      <c r="C171" s="8"/>
      <c r="D171" s="8"/>
      <c r="E171" s="8"/>
      <c r="F171" s="8"/>
      <c r="G171" s="8"/>
      <c r="H171" s="157"/>
      <c r="I171" s="8"/>
      <c r="J171" s="8"/>
      <c r="K171" s="8"/>
      <c r="L171" s="8"/>
      <c r="M171" s="8"/>
      <c r="N171" s="8"/>
      <c r="O171" s="8"/>
      <c r="P171" s="8"/>
      <c r="Q171" s="8"/>
      <c r="R171" s="8"/>
      <c r="S171" s="8"/>
      <c r="T171" s="8"/>
      <c r="U171" s="8"/>
      <c r="V171" s="8"/>
      <c r="W171" s="8"/>
      <c r="X171" s="8"/>
      <c r="Y171" s="8"/>
      <c r="Z171" s="8"/>
    </row>
    <row r="172" spans="1:26">
      <c r="A172" s="8"/>
      <c r="B172" s="156"/>
      <c r="C172" s="8"/>
      <c r="D172" s="8"/>
      <c r="E172" s="8"/>
      <c r="F172" s="8"/>
      <c r="G172" s="8"/>
      <c r="H172" s="157"/>
      <c r="I172" s="8"/>
      <c r="J172" s="8"/>
      <c r="K172" s="8"/>
      <c r="L172" s="8"/>
      <c r="M172" s="8"/>
      <c r="N172" s="8"/>
      <c r="O172" s="8"/>
      <c r="P172" s="8"/>
      <c r="Q172" s="8"/>
      <c r="R172" s="8"/>
      <c r="S172" s="8"/>
      <c r="T172" s="8"/>
      <c r="U172" s="8"/>
      <c r="V172" s="8"/>
      <c r="W172" s="8"/>
      <c r="X172" s="8"/>
      <c r="Y172" s="8"/>
      <c r="Z172" s="8"/>
    </row>
    <row r="173" spans="1:26">
      <c r="A173" s="8"/>
      <c r="B173" s="156"/>
      <c r="C173" s="8"/>
      <c r="D173" s="8"/>
      <c r="E173" s="8"/>
      <c r="F173" s="8"/>
      <c r="G173" s="8"/>
      <c r="H173" s="157"/>
      <c r="I173" s="8"/>
      <c r="J173" s="8"/>
      <c r="K173" s="8"/>
      <c r="L173" s="8"/>
      <c r="M173" s="8"/>
      <c r="N173" s="8"/>
      <c r="O173" s="8"/>
      <c r="P173" s="8"/>
      <c r="Q173" s="8"/>
      <c r="R173" s="8"/>
      <c r="S173" s="8"/>
      <c r="T173" s="8"/>
      <c r="U173" s="8"/>
      <c r="V173" s="8"/>
      <c r="W173" s="8"/>
      <c r="X173" s="8"/>
      <c r="Y173" s="8"/>
      <c r="Z173" s="8"/>
    </row>
    <row r="174" spans="1:26">
      <c r="A174" s="8"/>
      <c r="B174" s="156"/>
      <c r="C174" s="8"/>
      <c r="D174" s="8"/>
      <c r="E174" s="8"/>
      <c r="F174" s="8"/>
      <c r="G174" s="8"/>
      <c r="H174" s="157"/>
      <c r="I174" s="8"/>
      <c r="J174" s="8"/>
      <c r="K174" s="8"/>
      <c r="L174" s="8"/>
      <c r="M174" s="8"/>
      <c r="N174" s="8"/>
      <c r="O174" s="8"/>
      <c r="P174" s="8"/>
      <c r="Q174" s="8"/>
      <c r="R174" s="8"/>
      <c r="S174" s="8"/>
      <c r="T174" s="8"/>
      <c r="U174" s="8"/>
      <c r="V174" s="8"/>
      <c r="W174" s="8"/>
      <c r="X174" s="8"/>
      <c r="Y174" s="8"/>
      <c r="Z174" s="8"/>
    </row>
    <row r="175" spans="1:26">
      <c r="A175" s="8"/>
      <c r="B175" s="156"/>
      <c r="C175" s="8"/>
      <c r="D175" s="8"/>
      <c r="E175" s="8"/>
      <c r="F175" s="8"/>
      <c r="G175" s="8"/>
      <c r="H175" s="157"/>
      <c r="I175" s="8"/>
      <c r="J175" s="8"/>
      <c r="K175" s="8"/>
      <c r="L175" s="8"/>
      <c r="M175" s="8"/>
      <c r="N175" s="8"/>
      <c r="O175" s="8"/>
      <c r="P175" s="8"/>
      <c r="Q175" s="8"/>
      <c r="R175" s="8"/>
      <c r="S175" s="8"/>
      <c r="T175" s="8"/>
      <c r="U175" s="8"/>
      <c r="V175" s="8"/>
      <c r="W175" s="8"/>
      <c r="X175" s="8"/>
      <c r="Y175" s="8"/>
      <c r="Z175" s="8"/>
    </row>
    <row r="176" spans="1:26">
      <c r="A176" s="8"/>
      <c r="B176" s="156"/>
      <c r="C176" s="8"/>
      <c r="D176" s="8"/>
      <c r="E176" s="8"/>
      <c r="F176" s="8"/>
      <c r="G176" s="8"/>
      <c r="H176" s="157"/>
      <c r="I176" s="8"/>
      <c r="J176" s="8"/>
      <c r="K176" s="8"/>
      <c r="L176" s="8"/>
      <c r="M176" s="8"/>
      <c r="N176" s="8"/>
      <c r="O176" s="8"/>
      <c r="P176" s="8"/>
      <c r="Q176" s="8"/>
      <c r="R176" s="8"/>
      <c r="S176" s="8"/>
      <c r="T176" s="8"/>
      <c r="U176" s="8"/>
      <c r="V176" s="8"/>
      <c r="W176" s="8"/>
      <c r="X176" s="8"/>
      <c r="Y176" s="8"/>
      <c r="Z176" s="8"/>
    </row>
    <row r="177" spans="1:26">
      <c r="A177" s="8"/>
      <c r="B177" s="156"/>
      <c r="C177" s="8"/>
      <c r="D177" s="8"/>
      <c r="E177" s="8"/>
      <c r="F177" s="8"/>
      <c r="G177" s="8"/>
      <c r="H177" s="157"/>
      <c r="I177" s="8"/>
      <c r="J177" s="8"/>
      <c r="K177" s="8"/>
      <c r="L177" s="8"/>
      <c r="M177" s="8"/>
      <c r="N177" s="8"/>
      <c r="O177" s="8"/>
      <c r="P177" s="8"/>
      <c r="Q177" s="8"/>
      <c r="R177" s="8"/>
      <c r="S177" s="8"/>
      <c r="T177" s="8"/>
      <c r="U177" s="8"/>
      <c r="V177" s="8"/>
      <c r="W177" s="8"/>
      <c r="X177" s="8"/>
      <c r="Y177" s="8"/>
      <c r="Z177" s="8"/>
    </row>
    <row r="178" spans="1:26">
      <c r="A178" s="8"/>
      <c r="B178" s="156"/>
      <c r="C178" s="8"/>
      <c r="D178" s="8"/>
      <c r="E178" s="8"/>
      <c r="F178" s="8"/>
      <c r="G178" s="8"/>
      <c r="H178" s="157"/>
      <c r="I178" s="8"/>
      <c r="J178" s="8"/>
      <c r="K178" s="8"/>
      <c r="L178" s="8"/>
      <c r="M178" s="8"/>
      <c r="N178" s="8"/>
      <c r="O178" s="8"/>
      <c r="P178" s="8"/>
      <c r="Q178" s="8"/>
      <c r="R178" s="8"/>
      <c r="S178" s="8"/>
      <c r="T178" s="8"/>
      <c r="U178" s="8"/>
      <c r="V178" s="8"/>
      <c r="W178" s="8"/>
      <c r="X178" s="8"/>
      <c r="Y178" s="8"/>
      <c r="Z178" s="8"/>
    </row>
    <row r="179" spans="1:26">
      <c r="A179" s="8"/>
      <c r="B179" s="156"/>
      <c r="C179" s="8"/>
      <c r="D179" s="8"/>
      <c r="E179" s="8"/>
      <c r="F179" s="8"/>
      <c r="G179" s="8"/>
      <c r="H179" s="157"/>
      <c r="I179" s="8"/>
      <c r="J179" s="8"/>
      <c r="K179" s="8"/>
      <c r="L179" s="8"/>
      <c r="M179" s="8"/>
      <c r="N179" s="8"/>
      <c r="O179" s="8"/>
      <c r="P179" s="8"/>
      <c r="Q179" s="8"/>
      <c r="R179" s="8"/>
      <c r="S179" s="8"/>
      <c r="T179" s="8"/>
      <c r="U179" s="8"/>
      <c r="V179" s="8"/>
      <c r="W179" s="8"/>
      <c r="X179" s="8"/>
      <c r="Y179" s="8"/>
      <c r="Z179" s="8"/>
    </row>
    <row r="180" spans="1:26">
      <c r="A180" s="8"/>
      <c r="B180" s="156"/>
      <c r="C180" s="8"/>
      <c r="D180" s="8"/>
      <c r="E180" s="8"/>
      <c r="F180" s="8"/>
      <c r="G180" s="8"/>
      <c r="H180" s="157"/>
      <c r="I180" s="8"/>
      <c r="J180" s="8"/>
      <c r="K180" s="8"/>
      <c r="L180" s="8"/>
      <c r="M180" s="8"/>
      <c r="N180" s="8"/>
      <c r="O180" s="8"/>
      <c r="P180" s="8"/>
      <c r="Q180" s="8"/>
      <c r="R180" s="8"/>
      <c r="S180" s="8"/>
      <c r="T180" s="8"/>
      <c r="U180" s="8"/>
      <c r="V180" s="8"/>
      <c r="W180" s="8"/>
      <c r="X180" s="8"/>
      <c r="Y180" s="8"/>
      <c r="Z180" s="8"/>
    </row>
    <row r="181" spans="1:26">
      <c r="A181" s="8"/>
      <c r="B181" s="156"/>
      <c r="C181" s="8"/>
      <c r="D181" s="8"/>
      <c r="E181" s="8"/>
      <c r="F181" s="8"/>
      <c r="G181" s="8"/>
      <c r="H181" s="157"/>
      <c r="I181" s="8"/>
      <c r="J181" s="8"/>
      <c r="K181" s="8"/>
      <c r="L181" s="8"/>
      <c r="M181" s="8"/>
      <c r="N181" s="8"/>
      <c r="O181" s="8"/>
      <c r="P181" s="8"/>
      <c r="Q181" s="8"/>
      <c r="R181" s="8"/>
      <c r="S181" s="8"/>
      <c r="T181" s="8"/>
      <c r="U181" s="8"/>
      <c r="V181" s="8"/>
      <c r="W181" s="8"/>
      <c r="X181" s="8"/>
      <c r="Y181" s="8"/>
      <c r="Z181" s="8"/>
    </row>
    <row r="182" spans="1:26">
      <c r="A182" s="8"/>
      <c r="B182" s="156"/>
      <c r="C182" s="8"/>
      <c r="D182" s="8"/>
      <c r="E182" s="8"/>
      <c r="F182" s="8"/>
      <c r="G182" s="8"/>
      <c r="H182" s="157"/>
      <c r="I182" s="8"/>
      <c r="J182" s="8"/>
      <c r="K182" s="8"/>
      <c r="L182" s="8"/>
      <c r="M182" s="8"/>
      <c r="N182" s="8"/>
      <c r="O182" s="8"/>
      <c r="P182" s="8"/>
      <c r="Q182" s="8"/>
      <c r="R182" s="8"/>
      <c r="S182" s="8"/>
      <c r="T182" s="8"/>
      <c r="U182" s="8"/>
      <c r="V182" s="8"/>
      <c r="W182" s="8"/>
      <c r="X182" s="8"/>
      <c r="Y182" s="8"/>
      <c r="Z182" s="8"/>
    </row>
    <row r="183" spans="1:26">
      <c r="A183" s="8"/>
      <c r="B183" s="156"/>
      <c r="C183" s="8"/>
      <c r="D183" s="8"/>
      <c r="E183" s="8"/>
      <c r="F183" s="8"/>
      <c r="G183" s="8"/>
      <c r="H183" s="157"/>
      <c r="I183" s="8"/>
      <c r="J183" s="8"/>
      <c r="K183" s="8"/>
      <c r="L183" s="8"/>
      <c r="M183" s="8"/>
      <c r="N183" s="8"/>
      <c r="O183" s="8"/>
      <c r="P183" s="8"/>
      <c r="Q183" s="8"/>
      <c r="R183" s="8"/>
      <c r="S183" s="8"/>
      <c r="T183" s="8"/>
      <c r="U183" s="8"/>
      <c r="V183" s="8"/>
      <c r="W183" s="8"/>
      <c r="X183" s="8"/>
      <c r="Y183" s="8"/>
      <c r="Z183" s="8"/>
    </row>
    <row r="184" spans="1:26">
      <c r="A184" s="8"/>
      <c r="B184" s="156"/>
      <c r="C184" s="8"/>
      <c r="D184" s="8"/>
      <c r="E184" s="8"/>
      <c r="F184" s="8"/>
      <c r="G184" s="8"/>
      <c r="H184" s="157"/>
      <c r="I184" s="8"/>
      <c r="J184" s="8"/>
      <c r="K184" s="8"/>
      <c r="L184" s="8"/>
      <c r="M184" s="8"/>
      <c r="N184" s="8"/>
      <c r="O184" s="8"/>
      <c r="P184" s="8"/>
      <c r="Q184" s="8"/>
      <c r="R184" s="8"/>
      <c r="S184" s="8"/>
      <c r="T184" s="8"/>
      <c r="U184" s="8"/>
      <c r="V184" s="8"/>
      <c r="W184" s="8"/>
      <c r="X184" s="8"/>
      <c r="Y184" s="8"/>
      <c r="Z184" s="8"/>
    </row>
    <row r="185" spans="1:26">
      <c r="A185" s="8"/>
      <c r="B185" s="156"/>
      <c r="C185" s="8"/>
      <c r="D185" s="8"/>
      <c r="E185" s="8"/>
      <c r="F185" s="8"/>
      <c r="G185" s="8"/>
      <c r="H185" s="157"/>
      <c r="I185" s="8"/>
      <c r="J185" s="8"/>
      <c r="K185" s="8"/>
      <c r="L185" s="8"/>
      <c r="M185" s="8"/>
      <c r="N185" s="8"/>
      <c r="O185" s="8"/>
      <c r="P185" s="8"/>
      <c r="Q185" s="8"/>
      <c r="R185" s="8"/>
      <c r="S185" s="8"/>
      <c r="T185" s="8"/>
      <c r="U185" s="8"/>
      <c r="V185" s="8"/>
      <c r="W185" s="8"/>
      <c r="X185" s="8"/>
      <c r="Y185" s="8"/>
      <c r="Z185" s="8"/>
    </row>
    <row r="186" spans="1:26">
      <c r="A186" s="8"/>
      <c r="B186" s="156"/>
      <c r="C186" s="8"/>
      <c r="D186" s="8"/>
      <c r="E186" s="8"/>
      <c r="F186" s="8"/>
      <c r="G186" s="8"/>
      <c r="H186" s="157"/>
      <c r="I186" s="8"/>
      <c r="J186" s="8"/>
      <c r="K186" s="8"/>
      <c r="L186" s="8"/>
      <c r="M186" s="8"/>
      <c r="N186" s="8"/>
      <c r="O186" s="8"/>
      <c r="P186" s="8"/>
      <c r="Q186" s="8"/>
      <c r="R186" s="8"/>
      <c r="S186" s="8"/>
      <c r="T186" s="8"/>
      <c r="U186" s="8"/>
      <c r="V186" s="8"/>
      <c r="W186" s="8"/>
      <c r="X186" s="8"/>
      <c r="Y186" s="8"/>
      <c r="Z186" s="8"/>
    </row>
    <row r="187" spans="1:26">
      <c r="A187" s="8"/>
      <c r="B187" s="156"/>
      <c r="C187" s="8"/>
      <c r="D187" s="8"/>
      <c r="E187" s="8"/>
      <c r="F187" s="8"/>
      <c r="G187" s="8"/>
      <c r="H187" s="157"/>
      <c r="I187" s="8"/>
      <c r="J187" s="8"/>
      <c r="K187" s="8"/>
      <c r="L187" s="8"/>
      <c r="M187" s="8"/>
      <c r="N187" s="8"/>
      <c r="O187" s="8"/>
      <c r="P187" s="8"/>
      <c r="Q187" s="8"/>
      <c r="R187" s="8"/>
      <c r="S187" s="8"/>
      <c r="T187" s="8"/>
      <c r="U187" s="8"/>
      <c r="V187" s="8"/>
      <c r="W187" s="8"/>
      <c r="X187" s="8"/>
      <c r="Y187" s="8"/>
      <c r="Z187" s="8"/>
    </row>
    <row r="188" spans="1:26">
      <c r="A188" s="8"/>
      <c r="B188" s="156"/>
      <c r="C188" s="8"/>
      <c r="D188" s="8"/>
      <c r="E188" s="8"/>
      <c r="F188" s="8"/>
      <c r="G188" s="8"/>
      <c r="H188" s="157"/>
      <c r="I188" s="8"/>
      <c r="J188" s="8"/>
      <c r="K188" s="8"/>
      <c r="L188" s="8"/>
      <c r="M188" s="8"/>
      <c r="N188" s="8"/>
      <c r="O188" s="8"/>
      <c r="P188" s="8"/>
      <c r="Q188" s="8"/>
      <c r="R188" s="8"/>
      <c r="S188" s="8"/>
      <c r="T188" s="8"/>
      <c r="U188" s="8"/>
      <c r="V188" s="8"/>
      <c r="W188" s="8"/>
      <c r="X188" s="8"/>
      <c r="Y188" s="8"/>
      <c r="Z188" s="8"/>
    </row>
    <row r="189" spans="1:26">
      <c r="A189" s="8"/>
      <c r="B189" s="156"/>
      <c r="C189" s="8"/>
      <c r="D189" s="8"/>
      <c r="E189" s="8"/>
      <c r="F189" s="8"/>
      <c r="G189" s="8"/>
      <c r="H189" s="157"/>
      <c r="I189" s="8"/>
      <c r="J189" s="8"/>
      <c r="K189" s="8"/>
      <c r="L189" s="8"/>
      <c r="M189" s="8"/>
      <c r="N189" s="8"/>
      <c r="O189" s="8"/>
      <c r="P189" s="8"/>
      <c r="Q189" s="8"/>
      <c r="R189" s="8"/>
      <c r="S189" s="8"/>
      <c r="T189" s="8"/>
      <c r="U189" s="8"/>
      <c r="V189" s="8"/>
      <c r="W189" s="8"/>
      <c r="X189" s="8"/>
      <c r="Y189" s="8"/>
      <c r="Z189" s="8"/>
    </row>
    <row r="190" spans="1:26">
      <c r="A190" s="8"/>
      <c r="B190" s="156"/>
      <c r="C190" s="8"/>
      <c r="D190" s="8"/>
      <c r="E190" s="8"/>
      <c r="F190" s="8"/>
      <c r="G190" s="8"/>
      <c r="H190" s="157"/>
      <c r="I190" s="8"/>
      <c r="J190" s="8"/>
      <c r="K190" s="8"/>
      <c r="L190" s="8"/>
      <c r="M190" s="8"/>
      <c r="N190" s="8"/>
      <c r="O190" s="8"/>
      <c r="P190" s="8"/>
      <c r="Q190" s="8"/>
      <c r="R190" s="8"/>
      <c r="S190" s="8"/>
      <c r="T190" s="8"/>
      <c r="U190" s="8"/>
      <c r="V190" s="8"/>
      <c r="W190" s="8"/>
      <c r="X190" s="8"/>
      <c r="Y190" s="8"/>
      <c r="Z190" s="8"/>
    </row>
    <row r="191" spans="1:26">
      <c r="A191" s="8"/>
      <c r="B191" s="156"/>
      <c r="C191" s="8"/>
      <c r="D191" s="8"/>
      <c r="E191" s="8"/>
      <c r="F191" s="8"/>
      <c r="G191" s="8"/>
      <c r="H191" s="157"/>
      <c r="I191" s="8"/>
      <c r="J191" s="8"/>
      <c r="K191" s="8"/>
      <c r="L191" s="8"/>
      <c r="M191" s="8"/>
      <c r="N191" s="8"/>
      <c r="O191" s="8"/>
      <c r="P191" s="8"/>
      <c r="Q191" s="8"/>
      <c r="R191" s="8"/>
      <c r="S191" s="8"/>
      <c r="T191" s="8"/>
      <c r="U191" s="8"/>
      <c r="V191" s="8"/>
      <c r="W191" s="8"/>
      <c r="X191" s="8"/>
      <c r="Y191" s="8"/>
      <c r="Z191" s="8"/>
    </row>
    <row r="192" spans="1:26">
      <c r="A192" s="8"/>
      <c r="B192" s="156"/>
      <c r="C192" s="8"/>
      <c r="D192" s="8"/>
      <c r="E192" s="8"/>
      <c r="F192" s="8"/>
      <c r="G192" s="8"/>
      <c r="H192" s="157"/>
      <c r="I192" s="8"/>
      <c r="J192" s="8"/>
      <c r="K192" s="8"/>
      <c r="L192" s="8"/>
      <c r="M192" s="8"/>
      <c r="N192" s="8"/>
      <c r="O192" s="8"/>
      <c r="P192" s="8"/>
      <c r="Q192" s="8"/>
      <c r="R192" s="8"/>
      <c r="S192" s="8"/>
      <c r="T192" s="8"/>
      <c r="U192" s="8"/>
      <c r="V192" s="8"/>
      <c r="W192" s="8"/>
      <c r="X192" s="8"/>
      <c r="Y192" s="8"/>
      <c r="Z192" s="8"/>
    </row>
    <row r="193" spans="1:26">
      <c r="A193" s="8"/>
      <c r="B193" s="156"/>
      <c r="C193" s="8"/>
      <c r="D193" s="8"/>
      <c r="E193" s="8"/>
      <c r="F193" s="8"/>
      <c r="G193" s="8"/>
      <c r="H193" s="157"/>
      <c r="I193" s="8"/>
      <c r="J193" s="8"/>
      <c r="K193" s="8"/>
      <c r="L193" s="8"/>
      <c r="M193" s="8"/>
      <c r="N193" s="8"/>
      <c r="O193" s="8"/>
      <c r="P193" s="8"/>
      <c r="Q193" s="8"/>
      <c r="R193" s="8"/>
      <c r="S193" s="8"/>
      <c r="T193" s="8"/>
      <c r="U193" s="8"/>
      <c r="V193" s="8"/>
      <c r="W193" s="8"/>
      <c r="X193" s="8"/>
      <c r="Y193" s="8"/>
      <c r="Z193" s="8"/>
    </row>
    <row r="194" spans="1:26">
      <c r="A194" s="8"/>
      <c r="B194" s="156"/>
      <c r="C194" s="8"/>
      <c r="D194" s="8"/>
      <c r="E194" s="8"/>
      <c r="F194" s="8"/>
      <c r="G194" s="8"/>
      <c r="H194" s="157"/>
      <c r="I194" s="8"/>
      <c r="J194" s="8"/>
      <c r="K194" s="8"/>
      <c r="L194" s="8"/>
      <c r="M194" s="8"/>
      <c r="N194" s="8"/>
      <c r="O194" s="8"/>
      <c r="P194" s="8"/>
      <c r="Q194" s="8"/>
      <c r="R194" s="8"/>
      <c r="S194" s="8"/>
      <c r="T194" s="8"/>
      <c r="U194" s="8"/>
      <c r="V194" s="8"/>
      <c r="W194" s="8"/>
      <c r="X194" s="8"/>
      <c r="Y194" s="8"/>
      <c r="Z194" s="8"/>
    </row>
    <row r="195" spans="1:26">
      <c r="A195" s="8"/>
      <c r="B195" s="156"/>
      <c r="C195" s="8"/>
      <c r="D195" s="8"/>
      <c r="E195" s="8"/>
      <c r="F195" s="8"/>
      <c r="G195" s="8"/>
      <c r="H195" s="157"/>
      <c r="I195" s="8"/>
      <c r="J195" s="8"/>
      <c r="K195" s="8"/>
      <c r="L195" s="8"/>
      <c r="M195" s="8"/>
      <c r="N195" s="8"/>
      <c r="O195" s="8"/>
      <c r="P195" s="8"/>
      <c r="Q195" s="8"/>
      <c r="R195" s="8"/>
      <c r="S195" s="8"/>
      <c r="T195" s="8"/>
      <c r="U195" s="8"/>
      <c r="V195" s="8"/>
      <c r="W195" s="8"/>
      <c r="X195" s="8"/>
      <c r="Y195" s="8"/>
      <c r="Z195" s="8"/>
    </row>
    <row r="196" spans="1:26">
      <c r="A196" s="8"/>
      <c r="B196" s="8"/>
      <c r="C196" s="8"/>
      <c r="D196" s="8"/>
      <c r="E196" s="8"/>
      <c r="F196" s="8"/>
      <c r="G196" s="8"/>
      <c r="H196" s="157"/>
      <c r="I196" s="8"/>
      <c r="J196" s="8"/>
      <c r="K196" s="8"/>
      <c r="L196" s="8"/>
      <c r="M196" s="8"/>
      <c r="N196" s="8"/>
      <c r="O196" s="8"/>
      <c r="P196" s="8"/>
      <c r="Q196" s="8"/>
      <c r="R196" s="8"/>
      <c r="S196" s="8"/>
      <c r="T196" s="8"/>
      <c r="U196" s="8"/>
      <c r="V196" s="8"/>
      <c r="W196" s="8"/>
      <c r="X196" s="8"/>
      <c r="Y196" s="8"/>
      <c r="Z196" s="8"/>
    </row>
    <row r="197" spans="1:26">
      <c r="A197" s="8"/>
      <c r="B197" s="8"/>
      <c r="C197" s="8"/>
      <c r="D197" s="8"/>
      <c r="E197" s="8"/>
      <c r="F197" s="8"/>
      <c r="G197" s="8"/>
      <c r="H197" s="157"/>
      <c r="I197" s="8"/>
      <c r="J197" s="8"/>
      <c r="K197" s="8"/>
      <c r="L197" s="8"/>
      <c r="M197" s="8"/>
      <c r="N197" s="8"/>
      <c r="O197" s="8"/>
      <c r="P197" s="8"/>
      <c r="Q197" s="8"/>
      <c r="R197" s="8"/>
      <c r="S197" s="8"/>
      <c r="T197" s="8"/>
      <c r="U197" s="8"/>
      <c r="V197" s="8"/>
      <c r="W197" s="8"/>
      <c r="X197" s="8"/>
      <c r="Y197" s="8"/>
      <c r="Z197" s="8"/>
    </row>
    <row r="198" spans="1:26">
      <c r="A198" s="8"/>
      <c r="B198" s="8"/>
      <c r="C198" s="8"/>
      <c r="D198" s="8"/>
      <c r="E198" s="8"/>
      <c r="F198" s="8"/>
      <c r="G198" s="8"/>
      <c r="H198" s="157"/>
      <c r="I198" s="8"/>
      <c r="J198" s="8"/>
      <c r="K198" s="8"/>
      <c r="L198" s="8"/>
      <c r="M198" s="8"/>
      <c r="N198" s="8"/>
      <c r="O198" s="8"/>
      <c r="P198" s="8"/>
      <c r="Q198" s="8"/>
      <c r="R198" s="8"/>
      <c r="S198" s="8"/>
      <c r="T198" s="8"/>
      <c r="U198" s="8"/>
      <c r="V198" s="8"/>
      <c r="W198" s="8"/>
      <c r="X198" s="8"/>
      <c r="Y198" s="8"/>
      <c r="Z198" s="8"/>
    </row>
    <row r="199" spans="1:26">
      <c r="A199" s="8"/>
      <c r="B199" s="8"/>
      <c r="C199" s="8"/>
      <c r="D199" s="8"/>
      <c r="E199" s="8"/>
      <c r="F199" s="8"/>
      <c r="G199" s="8"/>
      <c r="H199" s="157"/>
      <c r="I199" s="8"/>
      <c r="J199" s="8"/>
      <c r="K199" s="8"/>
      <c r="L199" s="8"/>
      <c r="M199" s="8"/>
      <c r="N199" s="8"/>
      <c r="O199" s="8"/>
      <c r="P199" s="8"/>
      <c r="Q199" s="8"/>
      <c r="R199" s="8"/>
      <c r="S199" s="8"/>
      <c r="T199" s="8"/>
      <c r="U199" s="8"/>
      <c r="V199" s="8"/>
      <c r="W199" s="8"/>
      <c r="X199" s="8"/>
      <c r="Y199" s="8"/>
      <c r="Z199" s="8"/>
    </row>
    <row r="200" spans="1:26">
      <c r="A200" s="8"/>
      <c r="B200" s="8"/>
      <c r="C200" s="8"/>
      <c r="D200" s="8"/>
      <c r="E200" s="8"/>
      <c r="F200" s="8"/>
      <c r="G200" s="8"/>
      <c r="H200" s="157"/>
      <c r="I200" s="8"/>
      <c r="J200" s="8"/>
      <c r="K200" s="8"/>
      <c r="L200" s="8"/>
      <c r="M200" s="8"/>
      <c r="N200" s="8"/>
      <c r="O200" s="8"/>
      <c r="P200" s="8"/>
      <c r="Q200" s="8"/>
      <c r="R200" s="8"/>
      <c r="S200" s="8"/>
      <c r="T200" s="8"/>
      <c r="U200" s="8"/>
      <c r="V200" s="8"/>
      <c r="W200" s="8"/>
      <c r="X200" s="8"/>
      <c r="Y200" s="8"/>
      <c r="Z200" s="8"/>
    </row>
    <row r="201" spans="1:26">
      <c r="A201" s="8"/>
      <c r="B201" s="8"/>
      <c r="C201" s="8"/>
      <c r="D201" s="8"/>
      <c r="E201" s="8"/>
      <c r="F201" s="8"/>
      <c r="G201" s="8"/>
      <c r="H201" s="157"/>
      <c r="I201" s="8"/>
      <c r="J201" s="8"/>
      <c r="K201" s="8"/>
      <c r="L201" s="8"/>
      <c r="M201" s="8"/>
      <c r="N201" s="8"/>
      <c r="O201" s="8"/>
      <c r="P201" s="8"/>
      <c r="Q201" s="8"/>
      <c r="R201" s="8"/>
      <c r="S201" s="8"/>
      <c r="T201" s="8"/>
      <c r="U201" s="8"/>
      <c r="V201" s="8"/>
      <c r="W201" s="8"/>
      <c r="X201" s="8"/>
      <c r="Y201" s="8"/>
      <c r="Z201" s="8"/>
    </row>
    <row r="202" spans="1:26">
      <c r="A202" s="8"/>
      <c r="B202" s="8"/>
      <c r="C202" s="8"/>
      <c r="D202" s="8"/>
      <c r="E202" s="8"/>
      <c r="F202" s="8"/>
      <c r="G202" s="8"/>
      <c r="H202" s="157"/>
      <c r="I202" s="8"/>
      <c r="J202" s="8"/>
      <c r="K202" s="8"/>
      <c r="L202" s="8"/>
      <c r="M202" s="8"/>
      <c r="N202" s="8"/>
      <c r="O202" s="8"/>
      <c r="P202" s="8"/>
      <c r="Q202" s="8"/>
      <c r="R202" s="8"/>
      <c r="S202" s="8"/>
      <c r="T202" s="8"/>
      <c r="U202" s="8"/>
      <c r="V202" s="8"/>
      <c r="W202" s="8"/>
      <c r="X202" s="8"/>
      <c r="Y202" s="8"/>
      <c r="Z202" s="8"/>
    </row>
  </sheetData>
  <mergeCells count="37">
    <mergeCell ref="E6:H6"/>
    <mergeCell ref="E12:H12"/>
    <mergeCell ref="E22:H22"/>
    <mergeCell ref="E30:H30"/>
    <mergeCell ref="E37:H37"/>
    <mergeCell ref="A3:A8"/>
    <mergeCell ref="A9:A13"/>
    <mergeCell ref="A14:A23"/>
    <mergeCell ref="A24:A31"/>
    <mergeCell ref="A32:A38"/>
    <mergeCell ref="B3:B8"/>
    <mergeCell ref="B9:B13"/>
    <mergeCell ref="B14:B23"/>
    <mergeCell ref="B24:B31"/>
    <mergeCell ref="B32:B38"/>
    <mergeCell ref="C3:C8"/>
    <mergeCell ref="C9:C13"/>
    <mergeCell ref="C14:C23"/>
    <mergeCell ref="C24:C31"/>
    <mergeCell ref="C32:C38"/>
    <mergeCell ref="D3:D8"/>
    <mergeCell ref="D9:D13"/>
    <mergeCell ref="D14:D23"/>
    <mergeCell ref="D24:D31"/>
    <mergeCell ref="D32:D38"/>
    <mergeCell ref="E3:E5"/>
    <mergeCell ref="E7:E8"/>
    <mergeCell ref="E9:E11"/>
    <mergeCell ref="E14:E21"/>
    <mergeCell ref="E24:E29"/>
    <mergeCell ref="E32:E36"/>
    <mergeCell ref="F3:F5"/>
    <mergeCell ref="F7:F8"/>
    <mergeCell ref="F9:F10"/>
    <mergeCell ref="F14:F20"/>
    <mergeCell ref="F24:F29"/>
    <mergeCell ref="F32:F34"/>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8"/>
  <sheetViews>
    <sheetView workbookViewId="0">
      <pane ySplit="1" topLeftCell="A61" activePane="bottomLeft" state="frozen"/>
      <selection/>
      <selection pane="bottomLeft" activeCell="F77" sqref="F77:F85"/>
    </sheetView>
  </sheetViews>
  <sheetFormatPr defaultColWidth="9.13888888888889" defaultRowHeight="13.8"/>
  <cols>
    <col min="1" max="1" width="22.4259259259259" style="42" customWidth="1"/>
    <col min="2" max="2" width="11.712962962963" style="42" customWidth="1"/>
    <col min="3" max="7" width="9.13888888888889" style="42"/>
    <col min="8" max="8" width="59.712962962963" style="42" customWidth="1"/>
    <col min="9" max="11" width="9.13888888888889" style="42"/>
    <col min="12" max="12" width="19.5740740740741" style="43" customWidth="1"/>
    <col min="13" max="26" width="9.13888888888889" style="42"/>
    <col min="27" max="16384" width="9.13888888888889" style="44"/>
  </cols>
  <sheetData>
    <row r="1" ht="69.6" spans="1:26">
      <c r="A1" s="45" t="s">
        <v>142</v>
      </c>
      <c r="B1" s="46" t="s">
        <v>6</v>
      </c>
      <c r="C1" s="45" t="s">
        <v>143</v>
      </c>
      <c r="D1" s="45" t="s">
        <v>144</v>
      </c>
      <c r="E1" s="46" t="s">
        <v>145</v>
      </c>
      <c r="F1" s="45" t="s">
        <v>146</v>
      </c>
      <c r="G1" s="45" t="s">
        <v>1</v>
      </c>
      <c r="H1" s="47" t="s">
        <v>147</v>
      </c>
      <c r="I1" s="45" t="s">
        <v>148</v>
      </c>
      <c r="J1" s="48" t="s">
        <v>149</v>
      </c>
      <c r="K1" s="45" t="s">
        <v>150</v>
      </c>
      <c r="L1" s="49" t="s">
        <v>151</v>
      </c>
      <c r="M1" s="50"/>
      <c r="N1" s="50"/>
      <c r="O1" s="50"/>
      <c r="P1" s="50"/>
      <c r="Q1" s="50"/>
      <c r="R1" s="50"/>
      <c r="S1" s="50"/>
      <c r="T1" s="50"/>
      <c r="U1" s="50"/>
      <c r="V1" s="50"/>
      <c r="W1" s="50"/>
      <c r="X1" s="50"/>
      <c r="Y1" s="50"/>
      <c r="Z1" s="50"/>
    </row>
    <row r="2" ht="195" spans="1:26">
      <c r="A2" s="45" t="s">
        <v>319</v>
      </c>
      <c r="B2" s="51" t="s">
        <v>118</v>
      </c>
      <c r="C2" s="52">
        <v>0.92</v>
      </c>
      <c r="D2" s="53"/>
      <c r="E2" s="54" t="s">
        <v>154</v>
      </c>
      <c r="F2" s="55" t="s">
        <v>76</v>
      </c>
      <c r="G2" s="53">
        <v>1</v>
      </c>
      <c r="H2" s="56" t="s">
        <v>320</v>
      </c>
      <c r="I2" s="15" t="s">
        <v>321</v>
      </c>
      <c r="J2" s="52">
        <v>1</v>
      </c>
      <c r="K2" s="54"/>
      <c r="L2" s="57">
        <v>2.25</v>
      </c>
    </row>
    <row r="3" ht="30" spans="1:26">
      <c r="A3" s="45"/>
      <c r="B3" s="51"/>
      <c r="C3" s="53"/>
      <c r="D3" s="53"/>
      <c r="E3" s="54"/>
      <c r="F3" s="58"/>
      <c r="G3" s="59">
        <v>2</v>
      </c>
      <c r="H3" s="60" t="s">
        <v>322</v>
      </c>
      <c r="I3" s="59" t="s">
        <v>323</v>
      </c>
      <c r="J3" s="61">
        <v>1</v>
      </c>
      <c r="K3" s="62"/>
      <c r="L3" s="57">
        <v>2.5</v>
      </c>
    </row>
    <row r="4" ht="60" spans="1:26">
      <c r="A4" s="45"/>
      <c r="B4" s="51"/>
      <c r="C4" s="53"/>
      <c r="D4" s="53"/>
      <c r="E4" s="54"/>
      <c r="F4" s="58"/>
      <c r="G4" s="59">
        <v>3</v>
      </c>
      <c r="H4" s="63" t="s">
        <v>324</v>
      </c>
      <c r="I4" s="59" t="s">
        <v>325</v>
      </c>
      <c r="J4" s="61">
        <v>1</v>
      </c>
      <c r="K4" s="62"/>
      <c r="L4" s="57">
        <v>4</v>
      </c>
    </row>
    <row r="5" ht="15" spans="1:26">
      <c r="A5" s="45"/>
      <c r="B5" s="51"/>
      <c r="C5" s="53"/>
      <c r="D5" s="53"/>
      <c r="E5" s="54"/>
      <c r="F5" s="58"/>
      <c r="G5" s="64">
        <v>4</v>
      </c>
      <c r="H5" s="65" t="s">
        <v>326</v>
      </c>
      <c r="I5" s="66" t="s">
        <v>327</v>
      </c>
      <c r="J5" s="67">
        <v>1</v>
      </c>
      <c r="K5" s="68"/>
      <c r="L5" s="69">
        <v>4</v>
      </c>
    </row>
    <row r="6" ht="20.25" customHeight="1" spans="1:26">
      <c r="A6" s="45"/>
      <c r="B6" s="51"/>
      <c r="C6" s="53"/>
      <c r="D6" s="53"/>
      <c r="E6" s="54"/>
      <c r="F6" s="70"/>
      <c r="G6" s="71">
        <v>5</v>
      </c>
      <c r="H6" s="72"/>
      <c r="I6" s="71"/>
      <c r="J6" s="73"/>
      <c r="K6" s="74"/>
      <c r="L6" s="75"/>
    </row>
    <row r="7" ht="15" spans="1:26">
      <c r="A7" s="45"/>
      <c r="B7" s="51"/>
      <c r="C7" s="53"/>
      <c r="D7" s="53"/>
      <c r="E7" s="54"/>
      <c r="F7" s="70"/>
      <c r="G7" s="71">
        <v>6</v>
      </c>
      <c r="H7" s="76"/>
      <c r="I7" s="71"/>
      <c r="J7" s="73"/>
      <c r="K7" s="74"/>
      <c r="L7" s="75"/>
    </row>
    <row r="8" ht="15" spans="1:26">
      <c r="A8" s="45"/>
      <c r="B8" s="51"/>
      <c r="C8" s="53"/>
      <c r="D8" s="53"/>
      <c r="E8" s="54"/>
      <c r="F8" s="70"/>
      <c r="G8" s="71">
        <v>7</v>
      </c>
      <c r="H8" s="72"/>
      <c r="I8" s="77"/>
      <c r="J8" s="73"/>
      <c r="K8" s="74"/>
      <c r="L8" s="75"/>
    </row>
    <row r="9" ht="15" spans="1:26">
      <c r="A9" s="45"/>
      <c r="B9" s="51"/>
      <c r="C9" s="53"/>
      <c r="D9" s="53"/>
      <c r="E9" s="54"/>
      <c r="F9" s="70"/>
      <c r="G9" s="71">
        <v>8</v>
      </c>
      <c r="H9" s="78"/>
      <c r="I9" s="78"/>
      <c r="J9" s="78"/>
      <c r="K9" s="78"/>
      <c r="L9" s="79"/>
    </row>
    <row r="10" ht="15" spans="1:26">
      <c r="A10" s="45"/>
      <c r="B10" s="51"/>
      <c r="C10" s="53"/>
      <c r="D10" s="53"/>
      <c r="E10" s="54"/>
      <c r="F10" s="70"/>
      <c r="G10" s="71">
        <v>9</v>
      </c>
      <c r="H10" s="78"/>
      <c r="I10" s="78"/>
      <c r="J10" s="78"/>
      <c r="K10" s="78"/>
      <c r="L10" s="79"/>
    </row>
    <row r="11" ht="15" spans="1:26">
      <c r="A11" s="45"/>
      <c r="B11" s="51"/>
      <c r="C11" s="53"/>
      <c r="D11" s="53"/>
      <c r="E11" s="54"/>
      <c r="F11" s="70"/>
      <c r="G11" s="71">
        <v>10</v>
      </c>
      <c r="H11" s="78"/>
      <c r="I11" s="78"/>
      <c r="J11" s="78"/>
      <c r="K11" s="78"/>
      <c r="L11" s="79"/>
    </row>
    <row r="12" ht="148.5" customHeight="1" spans="1:26">
      <c r="A12" s="45"/>
      <c r="B12" s="51"/>
      <c r="C12" s="53"/>
      <c r="D12" s="53"/>
      <c r="E12" s="54"/>
      <c r="F12" s="58"/>
      <c r="G12" s="80">
        <v>11</v>
      </c>
      <c r="H12" s="81" t="s">
        <v>328</v>
      </c>
      <c r="I12" s="82" t="s">
        <v>118</v>
      </c>
      <c r="J12" s="83">
        <v>1</v>
      </c>
      <c r="K12" s="84"/>
      <c r="L12" s="85">
        <v>4</v>
      </c>
    </row>
    <row r="13" ht="15" spans="1:26">
      <c r="A13" s="45"/>
      <c r="B13" s="51"/>
      <c r="C13" s="53"/>
      <c r="D13" s="53"/>
      <c r="E13" s="54"/>
      <c r="F13" s="86"/>
      <c r="G13" s="87">
        <v>12</v>
      </c>
      <c r="H13" s="76"/>
      <c r="I13" s="88"/>
      <c r="J13" s="73"/>
      <c r="K13" s="89"/>
      <c r="L13" s="57"/>
    </row>
    <row r="14" ht="15" spans="1:26">
      <c r="A14" s="45"/>
      <c r="B14" s="51"/>
      <c r="C14" s="53"/>
      <c r="D14" s="53"/>
      <c r="E14" s="34" t="s">
        <v>174</v>
      </c>
      <c r="F14" s="34"/>
      <c r="G14" s="34"/>
      <c r="H14" s="33"/>
      <c r="I14" s="34"/>
      <c r="J14" s="90"/>
      <c r="K14" s="36"/>
      <c r="L14" s="37">
        <f>SUM(L2:L13)</f>
        <v>16.75</v>
      </c>
    </row>
    <row r="15" ht="15.6" spans="1:26">
      <c r="A15" s="45"/>
      <c r="B15" s="51"/>
      <c r="C15" s="53"/>
      <c r="D15" s="53"/>
      <c r="E15" s="54" t="s">
        <v>175</v>
      </c>
      <c r="F15" s="54" t="s">
        <v>76</v>
      </c>
      <c r="G15" s="54">
        <v>1</v>
      </c>
      <c r="H15" s="91"/>
      <c r="I15" s="53"/>
      <c r="J15" s="92"/>
      <c r="K15" s="54"/>
      <c r="L15" s="57"/>
    </row>
    <row r="16" ht="15" spans="1:26">
      <c r="A16" s="45"/>
      <c r="B16" s="51"/>
      <c r="C16" s="53"/>
      <c r="D16" s="53"/>
      <c r="E16" s="54"/>
      <c r="F16" s="54"/>
      <c r="G16" s="54">
        <v>2</v>
      </c>
      <c r="H16" s="56"/>
      <c r="I16" s="54"/>
      <c r="J16" s="92"/>
      <c r="K16" s="54"/>
      <c r="L16" s="57"/>
    </row>
    <row r="17" ht="15" spans="1:12">
      <c r="A17" s="45" t="s">
        <v>329</v>
      </c>
      <c r="B17" s="51" t="s">
        <v>120</v>
      </c>
      <c r="C17" s="52">
        <v>0.95</v>
      </c>
      <c r="D17" s="53"/>
      <c r="E17" s="54" t="s">
        <v>154</v>
      </c>
      <c r="F17" s="53" t="s">
        <v>76</v>
      </c>
      <c r="G17" s="53">
        <v>1</v>
      </c>
      <c r="H17" s="56"/>
      <c r="I17" s="15"/>
      <c r="J17" s="52"/>
      <c r="K17" s="53"/>
      <c r="L17" s="57"/>
    </row>
    <row r="18" ht="15" spans="1:12">
      <c r="A18" s="45"/>
      <c r="B18" s="51"/>
      <c r="C18" s="53"/>
      <c r="D18" s="53"/>
      <c r="E18" s="54"/>
      <c r="F18" s="53"/>
      <c r="G18" s="53">
        <v>2</v>
      </c>
      <c r="H18" s="56"/>
      <c r="I18" s="15"/>
      <c r="J18" s="52"/>
      <c r="K18" s="53"/>
      <c r="L18" s="57"/>
    </row>
    <row r="19" ht="15" spans="1:12">
      <c r="A19" s="45"/>
      <c r="B19" s="51"/>
      <c r="C19" s="53"/>
      <c r="D19" s="53"/>
      <c r="E19" s="54"/>
      <c r="F19" s="53"/>
      <c r="G19" s="53">
        <v>3</v>
      </c>
      <c r="H19" s="56"/>
      <c r="I19" s="15"/>
      <c r="J19" s="52"/>
      <c r="K19" s="53"/>
      <c r="L19" s="57"/>
    </row>
    <row r="20" ht="15" spans="1:12">
      <c r="A20" s="45"/>
      <c r="B20" s="51"/>
      <c r="C20" s="53"/>
      <c r="D20" s="53"/>
      <c r="E20" s="54"/>
      <c r="F20" s="53"/>
      <c r="G20" s="53"/>
      <c r="H20" s="56"/>
      <c r="I20" s="15"/>
      <c r="J20" s="52"/>
      <c r="K20" s="53"/>
      <c r="L20" s="57"/>
    </row>
    <row r="21" ht="15" spans="1:12">
      <c r="A21" s="45"/>
      <c r="B21" s="51"/>
      <c r="C21" s="53"/>
      <c r="D21" s="53"/>
      <c r="E21" s="54"/>
      <c r="F21" s="53"/>
      <c r="G21" s="53"/>
      <c r="H21" s="56"/>
      <c r="I21" s="15"/>
      <c r="J21" s="52"/>
      <c r="K21" s="53"/>
      <c r="L21" s="57"/>
    </row>
    <row r="22" ht="15" spans="1:12">
      <c r="A22" s="45"/>
      <c r="B22" s="51"/>
      <c r="C22" s="53"/>
      <c r="D22" s="53"/>
      <c r="E22" s="54"/>
      <c r="F22" s="53"/>
      <c r="G22" s="53"/>
      <c r="H22" s="93"/>
      <c r="I22" s="53"/>
      <c r="J22" s="52"/>
      <c r="K22" s="53"/>
      <c r="L22" s="57"/>
    </row>
    <row r="23" ht="15" spans="1:12">
      <c r="A23" s="45"/>
      <c r="B23" s="51"/>
      <c r="C23" s="53"/>
      <c r="D23" s="53"/>
      <c r="E23" s="54"/>
      <c r="F23" s="53"/>
      <c r="G23" s="54"/>
      <c r="H23" s="56"/>
      <c r="I23" s="53"/>
      <c r="J23" s="52"/>
      <c r="K23" s="53"/>
      <c r="L23" s="57"/>
    </row>
    <row r="24" ht="15" spans="1:12">
      <c r="A24" s="45"/>
      <c r="B24" s="51"/>
      <c r="C24" s="53"/>
      <c r="D24" s="53"/>
      <c r="E24" s="54"/>
      <c r="F24" s="53"/>
      <c r="G24" s="53"/>
      <c r="H24" s="56"/>
      <c r="I24" s="53"/>
      <c r="J24" s="52"/>
      <c r="K24" s="53"/>
      <c r="L24" s="57"/>
    </row>
    <row r="25" ht="15" spans="1:12">
      <c r="A25" s="45"/>
      <c r="B25" s="51"/>
      <c r="C25" s="53"/>
      <c r="D25" s="53"/>
      <c r="E25" s="54"/>
      <c r="F25" s="53"/>
      <c r="G25" s="53"/>
      <c r="H25" s="56"/>
      <c r="I25" s="53"/>
      <c r="J25" s="52"/>
      <c r="K25" s="53"/>
      <c r="L25" s="57"/>
    </row>
    <row r="26" ht="15" spans="1:12">
      <c r="A26" s="45"/>
      <c r="B26" s="51"/>
      <c r="C26" s="53"/>
      <c r="D26" s="53"/>
      <c r="E26" s="34" t="s">
        <v>174</v>
      </c>
      <c r="F26" s="34"/>
      <c r="G26" s="34"/>
      <c r="H26" s="34"/>
      <c r="I26" s="34"/>
      <c r="J26" s="35"/>
      <c r="K26" s="36"/>
      <c r="L26" s="37">
        <f>SUM(L17:L25)</f>
        <v>0</v>
      </c>
    </row>
    <row r="27" ht="15.6" spans="1:12">
      <c r="A27" s="45"/>
      <c r="B27" s="51"/>
      <c r="C27" s="53"/>
      <c r="D27" s="53"/>
      <c r="E27" s="54" t="s">
        <v>175</v>
      </c>
      <c r="F27" s="54" t="s">
        <v>76</v>
      </c>
      <c r="G27" s="54">
        <v>1</v>
      </c>
      <c r="H27" s="91"/>
      <c r="I27" s="53"/>
      <c r="J27" s="92"/>
      <c r="K27" s="54"/>
      <c r="L27" s="94"/>
    </row>
    <row r="28" ht="15.6" spans="1:12">
      <c r="A28" s="45"/>
      <c r="B28" s="51"/>
      <c r="C28" s="53"/>
      <c r="D28" s="53"/>
      <c r="E28" s="54"/>
      <c r="F28" s="54"/>
      <c r="G28" s="54">
        <v>2</v>
      </c>
      <c r="H28" s="91"/>
      <c r="I28" s="54"/>
      <c r="J28" s="92"/>
      <c r="K28" s="54"/>
      <c r="L28" s="94"/>
    </row>
    <row r="29" ht="55.5" customHeight="1" spans="1:12">
      <c r="A29" s="45" t="s">
        <v>330</v>
      </c>
      <c r="B29" s="51" t="s">
        <v>120</v>
      </c>
      <c r="C29" s="53" t="s">
        <v>153</v>
      </c>
      <c r="D29" s="53" t="s">
        <v>331</v>
      </c>
      <c r="E29" s="54" t="s">
        <v>154</v>
      </c>
      <c r="F29" s="55" t="s">
        <v>76</v>
      </c>
      <c r="G29" s="53">
        <v>1</v>
      </c>
      <c r="H29" s="65" t="s">
        <v>332</v>
      </c>
      <c r="I29" s="14" t="s">
        <v>333</v>
      </c>
      <c r="J29" s="95">
        <v>1</v>
      </c>
      <c r="K29" s="53"/>
      <c r="L29" s="57">
        <v>4</v>
      </c>
    </row>
    <row r="30" ht="15" spans="1:12">
      <c r="A30" s="45"/>
      <c r="B30" s="51"/>
      <c r="C30" s="53"/>
      <c r="D30" s="53"/>
      <c r="E30" s="54"/>
      <c r="F30" s="96"/>
      <c r="G30" s="53">
        <v>2</v>
      </c>
      <c r="H30" s="97"/>
      <c r="I30" s="14" t="s">
        <v>334</v>
      </c>
      <c r="J30" s="97"/>
      <c r="K30" s="53"/>
      <c r="L30" s="57">
        <v>4</v>
      </c>
    </row>
    <row r="31" ht="75" spans="1:12">
      <c r="A31" s="45"/>
      <c r="B31" s="51"/>
      <c r="C31" s="53"/>
      <c r="D31" s="53"/>
      <c r="E31" s="54"/>
      <c r="F31" s="96"/>
      <c r="G31" s="53">
        <v>3</v>
      </c>
      <c r="H31" s="72" t="s">
        <v>335</v>
      </c>
      <c r="I31" s="14" t="s">
        <v>321</v>
      </c>
      <c r="J31" s="52">
        <v>1</v>
      </c>
      <c r="K31" s="53"/>
      <c r="L31" s="57">
        <v>1.75</v>
      </c>
    </row>
    <row r="32" ht="15.6" spans="1:12">
      <c r="A32" s="45"/>
      <c r="B32" s="51"/>
      <c r="C32" s="53"/>
      <c r="D32" s="53"/>
      <c r="E32" s="54"/>
      <c r="F32" s="96"/>
      <c r="G32" s="53"/>
      <c r="H32" s="56"/>
      <c r="I32" s="15"/>
      <c r="J32" s="52"/>
      <c r="K32" s="53"/>
      <c r="L32" s="51"/>
    </row>
    <row r="33" ht="15.6" spans="1:12">
      <c r="A33" s="45"/>
      <c r="B33" s="51"/>
      <c r="C33" s="53"/>
      <c r="D33" s="53"/>
      <c r="E33" s="54"/>
      <c r="F33" s="96"/>
      <c r="G33" s="53"/>
      <c r="H33" s="56"/>
      <c r="I33" s="15"/>
      <c r="J33" s="52"/>
      <c r="K33" s="53"/>
      <c r="L33" s="51"/>
    </row>
    <row r="34" ht="15.6" spans="1:12">
      <c r="A34" s="45"/>
      <c r="B34" s="51"/>
      <c r="C34" s="53"/>
      <c r="D34" s="53"/>
      <c r="E34" s="54"/>
      <c r="F34" s="97"/>
      <c r="G34" s="53"/>
      <c r="H34" s="93"/>
      <c r="I34" s="53"/>
      <c r="J34" s="52"/>
      <c r="K34" s="53"/>
      <c r="L34" s="51"/>
    </row>
    <row r="35" ht="15.6" spans="1:12">
      <c r="A35" s="45"/>
      <c r="B35" s="51"/>
      <c r="C35" s="53"/>
      <c r="D35" s="53"/>
      <c r="E35" s="54"/>
      <c r="F35" s="55" t="s">
        <v>336</v>
      </c>
      <c r="G35" s="54">
        <v>1</v>
      </c>
      <c r="H35" s="56"/>
      <c r="I35" s="53"/>
      <c r="J35" s="52"/>
      <c r="K35" s="53"/>
      <c r="L35" s="51"/>
    </row>
    <row r="36" ht="15.6" spans="1:12">
      <c r="A36" s="45"/>
      <c r="B36" s="51"/>
      <c r="C36" s="53"/>
      <c r="D36" s="53"/>
      <c r="E36" s="54"/>
      <c r="F36" s="96"/>
      <c r="G36" s="53">
        <v>2</v>
      </c>
      <c r="H36" s="56"/>
      <c r="I36" s="53"/>
      <c r="J36" s="52"/>
      <c r="K36" s="53"/>
      <c r="L36" s="51"/>
    </row>
    <row r="37" ht="15.6" spans="1:12">
      <c r="A37" s="45"/>
      <c r="B37" s="51"/>
      <c r="C37" s="53"/>
      <c r="D37" s="53"/>
      <c r="E37" s="54"/>
      <c r="F37" s="97"/>
      <c r="G37" s="53">
        <v>3</v>
      </c>
      <c r="H37" s="56"/>
      <c r="I37" s="53"/>
      <c r="J37" s="52"/>
      <c r="K37" s="53"/>
      <c r="L37" s="51"/>
    </row>
    <row r="38" ht="15" spans="1:12">
      <c r="A38" s="45"/>
      <c r="B38" s="51"/>
      <c r="C38" s="53"/>
      <c r="D38" s="53"/>
      <c r="E38" s="34" t="s">
        <v>174</v>
      </c>
      <c r="F38" s="34"/>
      <c r="G38" s="34"/>
      <c r="H38" s="34"/>
      <c r="I38" s="34"/>
      <c r="J38" s="35"/>
      <c r="K38" s="36"/>
      <c r="L38" s="37">
        <f>SUM(L29:L37)</f>
        <v>9.75</v>
      </c>
    </row>
    <row r="39" ht="15.6" spans="1:12">
      <c r="A39" s="45"/>
      <c r="B39" s="51"/>
      <c r="C39" s="53"/>
      <c r="D39" s="53"/>
      <c r="E39" s="54" t="s">
        <v>175</v>
      </c>
      <c r="F39" s="54" t="s">
        <v>76</v>
      </c>
      <c r="G39" s="54">
        <v>1</v>
      </c>
      <c r="H39" s="91"/>
      <c r="I39" s="53"/>
      <c r="J39" s="92"/>
      <c r="K39" s="54"/>
      <c r="L39" s="94"/>
    </row>
    <row r="40" ht="15.6" spans="1:12">
      <c r="A40" s="45"/>
      <c r="B40" s="51"/>
      <c r="C40" s="53"/>
      <c r="D40" s="53"/>
      <c r="E40" s="54"/>
      <c r="F40" s="54"/>
      <c r="G40" s="54">
        <v>2</v>
      </c>
      <c r="H40" s="91"/>
      <c r="I40" s="54"/>
      <c r="J40" s="92"/>
      <c r="K40" s="54"/>
      <c r="L40" s="57"/>
    </row>
    <row r="41" ht="15.6" spans="1:12">
      <c r="A41" s="45" t="s">
        <v>337</v>
      </c>
      <c r="B41" s="51" t="s">
        <v>120</v>
      </c>
      <c r="C41" s="53" t="s">
        <v>153</v>
      </c>
      <c r="D41" s="53"/>
      <c r="E41" s="54" t="s">
        <v>154</v>
      </c>
      <c r="F41" s="55" t="s">
        <v>76</v>
      </c>
      <c r="G41" s="53">
        <v>1</v>
      </c>
      <c r="H41" s="56"/>
      <c r="I41" s="15"/>
      <c r="J41" s="52"/>
      <c r="K41" s="53"/>
      <c r="L41" s="51"/>
    </row>
    <row r="42" ht="15.6" spans="1:12">
      <c r="A42" s="45"/>
      <c r="B42" s="51"/>
      <c r="C42" s="53"/>
      <c r="D42" s="53"/>
      <c r="E42" s="54"/>
      <c r="F42" s="96"/>
      <c r="G42" s="53">
        <v>2</v>
      </c>
      <c r="H42" s="93"/>
      <c r="I42" s="15"/>
      <c r="J42" s="52"/>
      <c r="K42" s="53"/>
      <c r="L42" s="51"/>
    </row>
    <row r="43" ht="15.6" spans="1:12">
      <c r="A43" s="45"/>
      <c r="B43" s="51"/>
      <c r="C43" s="53"/>
      <c r="D43" s="53"/>
      <c r="E43" s="54"/>
      <c r="F43" s="96"/>
      <c r="G43" s="53">
        <v>3</v>
      </c>
      <c r="H43" s="56"/>
      <c r="I43" s="15"/>
      <c r="J43" s="52"/>
      <c r="K43" s="53"/>
      <c r="L43" s="51"/>
    </row>
    <row r="44" ht="15.6" spans="1:12">
      <c r="A44" s="45"/>
      <c r="B44" s="51"/>
      <c r="C44" s="53"/>
      <c r="D44" s="53"/>
      <c r="E44" s="54"/>
      <c r="F44" s="96"/>
      <c r="G44" s="53">
        <v>4</v>
      </c>
      <c r="H44" s="56"/>
      <c r="I44" s="15"/>
      <c r="J44" s="52"/>
      <c r="K44" s="53"/>
      <c r="L44" s="51"/>
    </row>
    <row r="45" ht="15.6" spans="1:12">
      <c r="A45" s="45"/>
      <c r="B45" s="51"/>
      <c r="C45" s="53"/>
      <c r="D45" s="53"/>
      <c r="E45" s="54"/>
      <c r="F45" s="96"/>
      <c r="G45" s="53">
        <v>5</v>
      </c>
      <c r="H45" s="56"/>
      <c r="I45" s="15"/>
      <c r="J45" s="52"/>
      <c r="K45" s="53"/>
      <c r="L45" s="51"/>
    </row>
    <row r="46" ht="15.6" spans="1:12">
      <c r="A46" s="45"/>
      <c r="B46" s="51"/>
      <c r="C46" s="53"/>
      <c r="D46" s="53"/>
      <c r="E46" s="54"/>
      <c r="F46" s="97"/>
      <c r="G46" s="53">
        <v>6</v>
      </c>
      <c r="H46" s="93"/>
      <c r="I46" s="53"/>
      <c r="J46" s="52"/>
      <c r="K46" s="53"/>
      <c r="L46" s="51"/>
    </row>
    <row r="47" ht="15.6" spans="1:12">
      <c r="A47" s="45"/>
      <c r="B47" s="51"/>
      <c r="C47" s="53"/>
      <c r="D47" s="53"/>
      <c r="E47" s="54"/>
      <c r="F47" s="55" t="s">
        <v>336</v>
      </c>
      <c r="G47" s="54">
        <v>1</v>
      </c>
      <c r="H47" s="56"/>
      <c r="I47" s="53"/>
      <c r="J47" s="52"/>
      <c r="K47" s="53"/>
      <c r="L47" s="51"/>
    </row>
    <row r="48" ht="15.6" spans="1:12">
      <c r="A48" s="45"/>
      <c r="B48" s="51"/>
      <c r="C48" s="53"/>
      <c r="D48" s="53"/>
      <c r="E48" s="54"/>
      <c r="F48" s="96"/>
      <c r="G48" s="53">
        <v>2</v>
      </c>
      <c r="H48" s="56"/>
      <c r="I48" s="53"/>
      <c r="J48" s="52"/>
      <c r="K48" s="53"/>
      <c r="L48" s="51"/>
    </row>
    <row r="49" ht="15.6" spans="1:12">
      <c r="A49" s="45"/>
      <c r="B49" s="51"/>
      <c r="C49" s="53"/>
      <c r="D49" s="53"/>
      <c r="E49" s="54"/>
      <c r="F49" s="97"/>
      <c r="G49" s="53">
        <v>3</v>
      </c>
      <c r="H49" s="56"/>
      <c r="I49" s="53"/>
      <c r="J49" s="52"/>
      <c r="K49" s="53"/>
      <c r="L49" s="51"/>
    </row>
    <row r="50" ht="15" spans="1:12">
      <c r="A50" s="45"/>
      <c r="B50" s="51"/>
      <c r="C50" s="53"/>
      <c r="D50" s="53"/>
      <c r="E50" s="34" t="s">
        <v>174</v>
      </c>
      <c r="F50" s="34"/>
      <c r="G50" s="34"/>
      <c r="H50" s="34"/>
      <c r="I50" s="34"/>
      <c r="J50" s="35"/>
      <c r="K50" s="36"/>
      <c r="L50" s="37">
        <f>SUM(L41:L49)</f>
        <v>0</v>
      </c>
    </row>
    <row r="51" ht="15.6" spans="1:12">
      <c r="A51" s="45"/>
      <c r="B51" s="51"/>
      <c r="C51" s="53"/>
      <c r="D51" s="53"/>
      <c r="E51" s="54" t="s">
        <v>175</v>
      </c>
      <c r="F51" s="54" t="s">
        <v>76</v>
      </c>
      <c r="G51" s="54">
        <v>1</v>
      </c>
      <c r="H51" s="91"/>
      <c r="I51" s="53"/>
      <c r="J51" s="92"/>
      <c r="K51" s="54"/>
      <c r="L51" s="94"/>
    </row>
    <row r="52" ht="15.6" spans="1:12">
      <c r="A52" s="45"/>
      <c r="B52" s="51"/>
      <c r="C52" s="53"/>
      <c r="D52" s="53"/>
      <c r="E52" s="54"/>
      <c r="F52" s="54"/>
      <c r="G52" s="54">
        <v>2</v>
      </c>
      <c r="H52" s="91"/>
      <c r="I52" s="54"/>
      <c r="J52" s="92"/>
      <c r="K52" s="54"/>
      <c r="L52" s="57"/>
    </row>
    <row r="53" ht="195" spans="1:12">
      <c r="A53" s="45" t="s">
        <v>338</v>
      </c>
      <c r="B53" s="51" t="s">
        <v>120</v>
      </c>
      <c r="C53" s="52">
        <v>0.96</v>
      </c>
      <c r="D53" s="53"/>
      <c r="E53" s="54" t="s">
        <v>154</v>
      </c>
      <c r="F53" s="55" t="s">
        <v>76</v>
      </c>
      <c r="G53" s="53">
        <v>1</v>
      </c>
      <c r="H53" s="56" t="s">
        <v>339</v>
      </c>
      <c r="I53" s="56" t="s">
        <v>340</v>
      </c>
      <c r="J53" s="52">
        <v>1</v>
      </c>
      <c r="K53" s="53"/>
      <c r="L53" s="57">
        <v>4</v>
      </c>
    </row>
    <row r="54" ht="15" spans="1:12">
      <c r="A54" s="45"/>
      <c r="B54" s="51"/>
      <c r="C54" s="53"/>
      <c r="D54" s="53"/>
      <c r="E54" s="54"/>
      <c r="F54" s="58"/>
      <c r="G54" s="53">
        <v>2</v>
      </c>
      <c r="H54" s="56" t="s">
        <v>341</v>
      </c>
      <c r="I54" s="93" t="s">
        <v>342</v>
      </c>
      <c r="J54" s="52">
        <v>1</v>
      </c>
      <c r="K54" s="53"/>
      <c r="L54" s="57">
        <v>4</v>
      </c>
    </row>
    <row r="55" ht="30" spans="1:12">
      <c r="A55" s="45"/>
      <c r="B55" s="51"/>
      <c r="C55" s="53"/>
      <c r="D55" s="53"/>
      <c r="E55" s="54"/>
      <c r="F55" s="58"/>
      <c r="G55" s="53">
        <v>3</v>
      </c>
      <c r="H55" s="98" t="s">
        <v>343</v>
      </c>
      <c r="I55" s="56" t="s">
        <v>120</v>
      </c>
      <c r="J55" s="52">
        <v>1</v>
      </c>
      <c r="K55" s="53"/>
      <c r="L55" s="57">
        <v>4</v>
      </c>
    </row>
    <row r="56" ht="15" spans="1:12">
      <c r="A56" s="45"/>
      <c r="B56" s="51"/>
      <c r="C56" s="53"/>
      <c r="D56" s="53"/>
      <c r="E56" s="54"/>
      <c r="F56" s="58"/>
      <c r="G56" s="53">
        <v>4</v>
      </c>
      <c r="H56" s="56" t="s">
        <v>344</v>
      </c>
      <c r="I56" s="56" t="s">
        <v>108</v>
      </c>
      <c r="J56" s="52">
        <v>1</v>
      </c>
      <c r="K56" s="53"/>
      <c r="L56" s="57">
        <v>2</v>
      </c>
    </row>
    <row r="57" ht="15" spans="1:12">
      <c r="A57" s="45"/>
      <c r="B57" s="51"/>
      <c r="C57" s="53"/>
      <c r="D57" s="53"/>
      <c r="E57" s="54"/>
      <c r="F57" s="58"/>
      <c r="G57" s="53">
        <v>5</v>
      </c>
      <c r="H57" s="56"/>
      <c r="I57" s="56"/>
      <c r="J57" s="52"/>
      <c r="K57" s="53"/>
      <c r="L57" s="57"/>
    </row>
    <row r="58" ht="15" spans="1:12">
      <c r="A58" s="45"/>
      <c r="B58" s="51"/>
      <c r="C58" s="53"/>
      <c r="D58" s="53"/>
      <c r="E58" s="54"/>
      <c r="F58" s="86"/>
      <c r="G58" s="53">
        <v>6</v>
      </c>
      <c r="H58" s="93"/>
      <c r="I58" s="93"/>
      <c r="J58" s="95"/>
      <c r="K58" s="53"/>
      <c r="L58" s="57"/>
    </row>
    <row r="59" ht="15" spans="1:12">
      <c r="A59" s="45"/>
      <c r="B59" s="51"/>
      <c r="C59" s="53"/>
      <c r="D59" s="53"/>
      <c r="E59" s="54"/>
      <c r="F59" s="55" t="s">
        <v>345</v>
      </c>
      <c r="G59" s="54">
        <v>1</v>
      </c>
      <c r="H59" s="99"/>
      <c r="I59" s="100"/>
      <c r="J59" s="101"/>
      <c r="K59" s="102"/>
      <c r="L59" s="57"/>
    </row>
    <row r="60" ht="15" spans="1:12">
      <c r="A60" s="45"/>
      <c r="B60" s="51"/>
      <c r="C60" s="53"/>
      <c r="D60" s="53"/>
      <c r="E60" s="54"/>
      <c r="F60" s="58"/>
      <c r="G60" s="53">
        <v>2</v>
      </c>
      <c r="H60" s="103"/>
      <c r="I60" s="100"/>
      <c r="J60" s="101"/>
      <c r="K60" s="102"/>
      <c r="L60" s="57"/>
    </row>
    <row r="61" ht="15" spans="1:12">
      <c r="A61" s="45"/>
      <c r="B61" s="51"/>
      <c r="C61" s="53"/>
      <c r="D61" s="53"/>
      <c r="E61" s="54"/>
      <c r="F61" s="86"/>
      <c r="G61" s="53">
        <v>3</v>
      </c>
      <c r="H61" s="56"/>
      <c r="I61" s="53"/>
      <c r="J61" s="104"/>
      <c r="K61" s="53"/>
      <c r="L61" s="57"/>
    </row>
    <row r="62" ht="15" spans="1:12">
      <c r="A62" s="45"/>
      <c r="B62" s="51"/>
      <c r="C62" s="53"/>
      <c r="D62" s="53"/>
      <c r="E62" s="34" t="s">
        <v>174</v>
      </c>
      <c r="F62" s="34"/>
      <c r="G62" s="34"/>
      <c r="H62" s="34"/>
      <c r="I62" s="34"/>
      <c r="J62" s="35"/>
      <c r="K62" s="36"/>
      <c r="L62" s="37">
        <f>SUM(L53:L61)</f>
        <v>14</v>
      </c>
    </row>
    <row r="63" ht="15.6" spans="1:12">
      <c r="A63" s="45"/>
      <c r="B63" s="51"/>
      <c r="C63" s="53"/>
      <c r="D63" s="53"/>
      <c r="E63" s="54" t="s">
        <v>175</v>
      </c>
      <c r="F63" s="54" t="s">
        <v>76</v>
      </c>
      <c r="G63" s="54">
        <v>1</v>
      </c>
      <c r="H63" s="91"/>
      <c r="I63" s="53"/>
      <c r="J63" s="92"/>
      <c r="K63" s="54"/>
      <c r="L63" s="94"/>
    </row>
    <row r="64" ht="15.6" spans="1:12">
      <c r="A64" s="45"/>
      <c r="B64" s="51"/>
      <c r="C64" s="53"/>
      <c r="D64" s="53"/>
      <c r="E64" s="54"/>
      <c r="F64" s="54"/>
      <c r="G64" s="54">
        <v>2</v>
      </c>
      <c r="H64" s="91"/>
      <c r="I64" s="54"/>
      <c r="J64" s="92"/>
      <c r="K64" s="54"/>
      <c r="L64" s="94"/>
    </row>
    <row r="65" ht="15" spans="1:12">
      <c r="A65" s="45" t="s">
        <v>346</v>
      </c>
      <c r="B65" s="51" t="s">
        <v>120</v>
      </c>
      <c r="C65" s="53" t="s">
        <v>153</v>
      </c>
      <c r="D65" s="53"/>
      <c r="E65" s="54" t="s">
        <v>154</v>
      </c>
      <c r="F65" s="53" t="s">
        <v>76</v>
      </c>
      <c r="G65" s="53">
        <v>1</v>
      </c>
      <c r="H65" s="56"/>
      <c r="I65" s="15"/>
      <c r="J65" s="52"/>
      <c r="K65" s="53"/>
      <c r="L65" s="57"/>
    </row>
    <row r="66" ht="15" spans="1:12">
      <c r="A66" s="45"/>
      <c r="B66" s="51"/>
      <c r="C66" s="53"/>
      <c r="D66" s="53"/>
      <c r="E66" s="54"/>
      <c r="F66" s="53"/>
      <c r="G66" s="53">
        <v>2</v>
      </c>
      <c r="H66" s="93"/>
      <c r="I66" s="15"/>
      <c r="J66" s="52"/>
      <c r="K66" s="53"/>
      <c r="L66" s="57"/>
    </row>
    <row r="67" ht="15" spans="1:12">
      <c r="A67" s="45"/>
      <c r="B67" s="51"/>
      <c r="C67" s="53"/>
      <c r="D67" s="53"/>
      <c r="E67" s="54"/>
      <c r="F67" s="53"/>
      <c r="G67" s="53">
        <v>3</v>
      </c>
      <c r="H67" s="56"/>
      <c r="I67" s="15"/>
      <c r="J67" s="52"/>
      <c r="K67" s="53"/>
      <c r="L67" s="57"/>
    </row>
    <row r="68" ht="15" spans="1:12">
      <c r="A68" s="45"/>
      <c r="B68" s="51"/>
      <c r="C68" s="53"/>
      <c r="D68" s="53"/>
      <c r="E68" s="54"/>
      <c r="F68" s="53"/>
      <c r="G68" s="53"/>
      <c r="H68" s="56"/>
      <c r="I68" s="15"/>
      <c r="J68" s="52"/>
      <c r="K68" s="53"/>
      <c r="L68" s="57"/>
    </row>
    <row r="69" ht="15" spans="1:12">
      <c r="A69" s="45"/>
      <c r="B69" s="51"/>
      <c r="C69" s="53"/>
      <c r="D69" s="53"/>
      <c r="E69" s="54"/>
      <c r="F69" s="53"/>
      <c r="G69" s="53"/>
      <c r="H69" s="56"/>
      <c r="I69" s="15"/>
      <c r="J69" s="52"/>
      <c r="K69" s="53"/>
      <c r="L69" s="57"/>
    </row>
    <row r="70" ht="15" spans="1:12">
      <c r="A70" s="45"/>
      <c r="B70" s="51"/>
      <c r="C70" s="53"/>
      <c r="D70" s="53"/>
      <c r="E70" s="54"/>
      <c r="F70" s="53"/>
      <c r="G70" s="53"/>
      <c r="H70" s="93"/>
      <c r="I70" s="53"/>
      <c r="J70" s="52"/>
      <c r="K70" s="53"/>
      <c r="L70" s="57"/>
    </row>
    <row r="71" ht="15" spans="1:12">
      <c r="A71" s="45"/>
      <c r="B71" s="51"/>
      <c r="C71" s="53"/>
      <c r="D71" s="53"/>
      <c r="E71" s="54"/>
      <c r="F71" s="53"/>
      <c r="G71" s="54"/>
      <c r="H71" s="56"/>
      <c r="I71" s="53"/>
      <c r="J71" s="52"/>
      <c r="K71" s="53"/>
      <c r="L71" s="57"/>
    </row>
    <row r="72" ht="15" spans="1:12">
      <c r="A72" s="45"/>
      <c r="B72" s="51"/>
      <c r="C72" s="53"/>
      <c r="D72" s="53"/>
      <c r="E72" s="54"/>
      <c r="F72" s="53"/>
      <c r="G72" s="53"/>
      <c r="H72" s="56"/>
      <c r="I72" s="53"/>
      <c r="J72" s="52"/>
      <c r="K72" s="53"/>
      <c r="L72" s="57"/>
    </row>
    <row r="73" ht="15" spans="1:12">
      <c r="A73" s="45"/>
      <c r="B73" s="51"/>
      <c r="C73" s="53"/>
      <c r="D73" s="53"/>
      <c r="E73" s="54"/>
      <c r="F73" s="53"/>
      <c r="G73" s="53"/>
      <c r="H73" s="56"/>
      <c r="I73" s="53"/>
      <c r="J73" s="52"/>
      <c r="K73" s="53"/>
      <c r="L73" s="57"/>
    </row>
    <row r="74" ht="15" spans="1:12">
      <c r="A74" s="45"/>
      <c r="B74" s="51"/>
      <c r="C74" s="53"/>
      <c r="D74" s="53"/>
      <c r="E74" s="34" t="s">
        <v>174</v>
      </c>
      <c r="F74" s="34"/>
      <c r="G74" s="34"/>
      <c r="H74" s="34"/>
      <c r="I74" s="34"/>
      <c r="J74" s="35"/>
      <c r="K74" s="36"/>
      <c r="L74" s="37">
        <f>SUM(L65:L73)</f>
        <v>0</v>
      </c>
    </row>
    <row r="75" ht="15.6" spans="1:12">
      <c r="A75" s="45"/>
      <c r="B75" s="51"/>
      <c r="C75" s="53"/>
      <c r="D75" s="53"/>
      <c r="E75" s="54" t="s">
        <v>175</v>
      </c>
      <c r="F75" s="54" t="s">
        <v>76</v>
      </c>
      <c r="G75" s="54">
        <v>1</v>
      </c>
      <c r="H75" s="91"/>
      <c r="I75" s="53"/>
      <c r="J75" s="92"/>
      <c r="K75" s="54"/>
      <c r="L75" s="57"/>
    </row>
    <row r="76" ht="15.6" spans="1:12">
      <c r="A76" s="45"/>
      <c r="B76" s="51"/>
      <c r="C76" s="53"/>
      <c r="D76" s="53"/>
      <c r="E76" s="54"/>
      <c r="F76" s="54"/>
      <c r="G76" s="54">
        <v>2</v>
      </c>
      <c r="H76" s="91"/>
      <c r="I76" s="54"/>
      <c r="J76" s="92"/>
      <c r="K76" s="54"/>
      <c r="L76" s="57"/>
    </row>
    <row r="77" ht="15" spans="1:12">
      <c r="A77" s="45" t="s">
        <v>347</v>
      </c>
      <c r="B77" s="51" t="s">
        <v>342</v>
      </c>
      <c r="C77" s="53" t="s">
        <v>153</v>
      </c>
      <c r="D77" s="53"/>
      <c r="E77" s="54" t="s">
        <v>154</v>
      </c>
      <c r="F77" s="53" t="s">
        <v>76</v>
      </c>
      <c r="G77" s="53">
        <v>1</v>
      </c>
      <c r="H77" s="56"/>
      <c r="I77" s="15"/>
      <c r="J77" s="52"/>
      <c r="K77" s="53"/>
      <c r="L77" s="57"/>
    </row>
    <row r="78" ht="15" spans="1:12">
      <c r="A78" s="45"/>
      <c r="B78" s="51"/>
      <c r="C78" s="53"/>
      <c r="D78" s="53"/>
      <c r="E78" s="54"/>
      <c r="F78" s="53"/>
      <c r="G78" s="53">
        <v>2</v>
      </c>
      <c r="H78" s="93"/>
      <c r="I78" s="15"/>
      <c r="J78" s="52"/>
      <c r="K78" s="53"/>
      <c r="L78" s="57"/>
    </row>
    <row r="79" ht="15" spans="1:12">
      <c r="A79" s="45"/>
      <c r="B79" s="51"/>
      <c r="C79" s="53"/>
      <c r="D79" s="53"/>
      <c r="E79" s="54"/>
      <c r="F79" s="53"/>
      <c r="G79" s="53">
        <v>3</v>
      </c>
      <c r="H79" s="56"/>
      <c r="I79" s="15"/>
      <c r="J79" s="52"/>
      <c r="K79" s="53"/>
      <c r="L79" s="57"/>
    </row>
    <row r="80" ht="15" spans="1:12">
      <c r="A80" s="45"/>
      <c r="B80" s="51"/>
      <c r="C80" s="53"/>
      <c r="D80" s="53"/>
      <c r="E80" s="54"/>
      <c r="F80" s="53"/>
      <c r="G80" s="53"/>
      <c r="H80" s="56"/>
      <c r="I80" s="15"/>
      <c r="J80" s="52"/>
      <c r="K80" s="53"/>
      <c r="L80" s="57"/>
    </row>
    <row r="81" ht="15" spans="1:12">
      <c r="A81" s="45"/>
      <c r="B81" s="51"/>
      <c r="C81" s="53"/>
      <c r="D81" s="53"/>
      <c r="E81" s="54"/>
      <c r="F81" s="53"/>
      <c r="G81" s="53"/>
      <c r="H81" s="56"/>
      <c r="I81" s="15"/>
      <c r="J81" s="52"/>
      <c r="K81" s="53"/>
      <c r="L81" s="57"/>
    </row>
    <row r="82" ht="15" spans="1:12">
      <c r="A82" s="45"/>
      <c r="B82" s="51"/>
      <c r="C82" s="53"/>
      <c r="D82" s="53"/>
      <c r="E82" s="54"/>
      <c r="F82" s="53"/>
      <c r="G82" s="53"/>
      <c r="H82" s="93"/>
      <c r="I82" s="53"/>
      <c r="J82" s="52"/>
      <c r="K82" s="53"/>
      <c r="L82" s="57"/>
    </row>
    <row r="83" ht="15" spans="1:12">
      <c r="A83" s="45"/>
      <c r="B83" s="51"/>
      <c r="C83" s="53"/>
      <c r="D83" s="53"/>
      <c r="E83" s="54"/>
      <c r="F83" s="53"/>
      <c r="G83" s="54"/>
      <c r="H83" s="56"/>
      <c r="I83" s="53"/>
      <c r="J83" s="52"/>
      <c r="K83" s="53"/>
      <c r="L83" s="57"/>
    </row>
    <row r="84" ht="15" spans="1:12">
      <c r="A84" s="45"/>
      <c r="B84" s="51"/>
      <c r="C84" s="53"/>
      <c r="D84" s="53"/>
      <c r="E84" s="54"/>
      <c r="F84" s="53"/>
      <c r="G84" s="53"/>
      <c r="H84" s="56"/>
      <c r="I84" s="53"/>
      <c r="J84" s="52"/>
      <c r="K84" s="53"/>
      <c r="L84" s="57"/>
    </row>
    <row r="85" ht="15" spans="1:12">
      <c r="A85" s="45"/>
      <c r="B85" s="51"/>
      <c r="C85" s="53"/>
      <c r="D85" s="53"/>
      <c r="E85" s="54"/>
      <c r="F85" s="53"/>
      <c r="G85" s="53"/>
      <c r="H85" s="56"/>
      <c r="I85" s="53"/>
      <c r="J85" s="52"/>
      <c r="K85" s="53"/>
      <c r="L85" s="57"/>
    </row>
    <row r="86" ht="15" spans="1:12">
      <c r="A86" s="45"/>
      <c r="B86" s="51"/>
      <c r="C86" s="53"/>
      <c r="D86" s="53"/>
      <c r="E86" s="34" t="s">
        <v>174</v>
      </c>
      <c r="F86" s="34"/>
      <c r="G86" s="34"/>
      <c r="H86" s="34"/>
      <c r="I86" s="34"/>
      <c r="J86" s="35"/>
      <c r="K86" s="36"/>
      <c r="L86" s="37">
        <f>SUM(L77:L85)</f>
        <v>0</v>
      </c>
    </row>
    <row r="87" ht="15.6" spans="1:12">
      <c r="A87" s="45"/>
      <c r="B87" s="51"/>
      <c r="C87" s="53"/>
      <c r="D87" s="53"/>
      <c r="E87" s="54" t="s">
        <v>175</v>
      </c>
      <c r="F87" s="54" t="s">
        <v>76</v>
      </c>
      <c r="G87" s="54">
        <v>1</v>
      </c>
      <c r="H87" s="91"/>
      <c r="I87" s="53"/>
      <c r="J87" s="92"/>
      <c r="K87" s="54"/>
      <c r="L87" s="94"/>
    </row>
    <row r="88" ht="15.6" spans="1:12">
      <c r="A88" s="45"/>
      <c r="B88" s="51"/>
      <c r="C88" s="53"/>
      <c r="D88" s="53"/>
      <c r="E88" s="54"/>
      <c r="F88" s="54"/>
      <c r="G88" s="54">
        <v>2</v>
      </c>
      <c r="H88" s="91"/>
      <c r="I88" s="54"/>
      <c r="J88" s="92"/>
      <c r="K88" s="54"/>
      <c r="L88" s="94"/>
    </row>
  </sheetData>
  <autoFilter xmlns:etc="http://www.wps.cn/officeDocument/2017/etCustomData" ref="I1:I56" etc:filterBottomFollowUsedRange="0">
    <extLst/>
  </autoFilter>
  <mergeCells count="69">
    <mergeCell ref="E14:H14"/>
    <mergeCell ref="E26:H26"/>
    <mergeCell ref="E38:H38"/>
    <mergeCell ref="E50:H50"/>
    <mergeCell ref="E62:H62"/>
    <mergeCell ref="E74:H74"/>
    <mergeCell ref="E86:H86"/>
    <mergeCell ref="A2:A16"/>
    <mergeCell ref="A17:A28"/>
    <mergeCell ref="A29:A40"/>
    <mergeCell ref="A41:A52"/>
    <mergeCell ref="A53:A64"/>
    <mergeCell ref="A65:A76"/>
    <mergeCell ref="A77:A88"/>
    <mergeCell ref="B2:B16"/>
    <mergeCell ref="B17:B28"/>
    <mergeCell ref="B29:B40"/>
    <mergeCell ref="B41:B52"/>
    <mergeCell ref="B53:B64"/>
    <mergeCell ref="B65:B76"/>
    <mergeCell ref="B77:B88"/>
    <mergeCell ref="C2:C16"/>
    <mergeCell ref="C17:C28"/>
    <mergeCell ref="C29:C40"/>
    <mergeCell ref="C41:C52"/>
    <mergeCell ref="C53:C64"/>
    <mergeCell ref="C65:C76"/>
    <mergeCell ref="C77:C88"/>
    <mergeCell ref="D2:D16"/>
    <mergeCell ref="D17:D28"/>
    <mergeCell ref="D29:D40"/>
    <mergeCell ref="D41:D52"/>
    <mergeCell ref="D53:D64"/>
    <mergeCell ref="D65:D76"/>
    <mergeCell ref="D77:D88"/>
    <mergeCell ref="E2:E13"/>
    <mergeCell ref="E15:E16"/>
    <mergeCell ref="E17:E25"/>
    <mergeCell ref="E27:E28"/>
    <mergeCell ref="E29:E37"/>
    <mergeCell ref="E39:E40"/>
    <mergeCell ref="E41:E49"/>
    <mergeCell ref="E51:E52"/>
    <mergeCell ref="E53:E61"/>
    <mergeCell ref="E63:E64"/>
    <mergeCell ref="E65:E73"/>
    <mergeCell ref="E75:E76"/>
    <mergeCell ref="E77:E85"/>
    <mergeCell ref="E87:E88"/>
    <mergeCell ref="F2:F13"/>
    <mergeCell ref="F15:F16"/>
    <mergeCell ref="F17:F25"/>
    <mergeCell ref="F27:F28"/>
    <mergeCell ref="F29:F34"/>
    <mergeCell ref="F35:F37"/>
    <mergeCell ref="F39:F40"/>
    <mergeCell ref="F41:F46"/>
    <mergeCell ref="F47:F49"/>
    <mergeCell ref="F51:F52"/>
    <mergeCell ref="F53:F58"/>
    <mergeCell ref="F59:F61"/>
    <mergeCell ref="F63:F64"/>
    <mergeCell ref="F65:F73"/>
    <mergeCell ref="F75:F76"/>
    <mergeCell ref="F77:F85"/>
    <mergeCell ref="F87:F88"/>
    <mergeCell ref="H29:H30"/>
    <mergeCell ref="H59:H60"/>
    <mergeCell ref="J29:J30"/>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1"/>
  <sheetViews>
    <sheetView workbookViewId="0">
      <pane ySplit="1" topLeftCell="A15" activePane="bottomLeft" state="frozen"/>
      <selection/>
      <selection pane="bottomLeft" activeCell="F24" sqref="F24:F26"/>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ht="15.6" spans="1:26">
      <c r="A2" s="9" t="s">
        <v>348</v>
      </c>
      <c r="B2" s="10" t="s">
        <v>60</v>
      </c>
      <c r="C2" s="333" t="s">
        <v>153</v>
      </c>
      <c r="D2" s="11"/>
      <c r="E2" s="12" t="s">
        <v>154</v>
      </c>
      <c r="F2" s="11" t="s">
        <v>76</v>
      </c>
      <c r="G2" s="13">
        <v>1</v>
      </c>
      <c r="H2" s="14" t="s">
        <v>349</v>
      </c>
      <c r="I2" s="15" t="s">
        <v>350</v>
      </c>
      <c r="J2" s="16">
        <v>1</v>
      </c>
      <c r="K2" s="13"/>
      <c r="L2" s="17"/>
    </row>
    <row r="3" ht="15.6" spans="1:26">
      <c r="A3" s="18"/>
      <c r="B3" s="19"/>
      <c r="C3" s="20"/>
      <c r="D3" s="20"/>
      <c r="E3" s="21"/>
      <c r="F3" s="20"/>
      <c r="G3" s="13">
        <v>2</v>
      </c>
      <c r="H3" s="22" t="s">
        <v>351</v>
      </c>
      <c r="I3" s="15" t="s">
        <v>352</v>
      </c>
      <c r="J3" s="16">
        <v>1</v>
      </c>
      <c r="K3" s="13" t="s">
        <v>353</v>
      </c>
      <c r="L3" s="17"/>
    </row>
    <row r="4" ht="24" customHeight="1" spans="1:26">
      <c r="A4" s="18"/>
      <c r="B4" s="19"/>
      <c r="C4" s="20"/>
      <c r="D4" s="20"/>
      <c r="E4" s="21"/>
      <c r="F4" s="20"/>
      <c r="G4" s="11">
        <v>3</v>
      </c>
      <c r="H4" s="23" t="s">
        <v>354</v>
      </c>
      <c r="I4" s="15" t="s">
        <v>355</v>
      </c>
      <c r="J4" s="24">
        <v>0.98</v>
      </c>
      <c r="K4" s="11" t="s">
        <v>356</v>
      </c>
      <c r="L4" s="17">
        <v>1</v>
      </c>
    </row>
    <row r="5" ht="22" customHeight="1" spans="1:26">
      <c r="A5" s="18"/>
      <c r="B5" s="19"/>
      <c r="C5" s="20"/>
      <c r="D5" s="20"/>
      <c r="E5" s="21"/>
      <c r="F5" s="20"/>
      <c r="G5" s="20"/>
      <c r="H5" s="25"/>
      <c r="I5" s="15" t="s">
        <v>357</v>
      </c>
      <c r="J5" s="26"/>
      <c r="K5" s="20"/>
      <c r="L5" s="17">
        <v>2</v>
      </c>
    </row>
    <row r="6" ht="22" customHeight="1" spans="1:26">
      <c r="A6" s="18"/>
      <c r="B6" s="19"/>
      <c r="C6" s="20"/>
      <c r="D6" s="20"/>
      <c r="E6" s="21"/>
      <c r="F6" s="20"/>
      <c r="G6" s="27"/>
      <c r="H6" s="28"/>
      <c r="I6" s="15" t="s">
        <v>352</v>
      </c>
      <c r="J6" s="29"/>
      <c r="K6" s="27"/>
      <c r="L6" s="17">
        <v>3</v>
      </c>
    </row>
    <row r="7" ht="22" customHeight="1" spans="1:26">
      <c r="A7" s="18"/>
      <c r="B7" s="19"/>
      <c r="C7" s="20"/>
      <c r="D7" s="20"/>
      <c r="E7" s="21"/>
      <c r="F7" s="20"/>
      <c r="G7" s="13">
        <v>4</v>
      </c>
      <c r="H7" s="14" t="s">
        <v>358</v>
      </c>
      <c r="I7" s="15" t="s">
        <v>357</v>
      </c>
      <c r="J7" s="16">
        <v>1</v>
      </c>
      <c r="K7" s="13" t="s">
        <v>353</v>
      </c>
      <c r="L7" s="17"/>
    </row>
    <row r="8" ht="22" customHeight="1" spans="1:26">
      <c r="A8" s="18"/>
      <c r="B8" s="19"/>
      <c r="C8" s="20"/>
      <c r="D8" s="20"/>
      <c r="E8" s="21"/>
      <c r="F8" s="20"/>
      <c r="G8" s="11">
        <v>5</v>
      </c>
      <c r="H8" s="11" t="s">
        <v>359</v>
      </c>
      <c r="I8" s="15" t="s">
        <v>357</v>
      </c>
      <c r="J8" s="24">
        <v>0.92</v>
      </c>
      <c r="K8" s="11" t="s">
        <v>360</v>
      </c>
      <c r="L8" s="17">
        <v>2</v>
      </c>
    </row>
    <row r="9" ht="15.6" spans="1:26">
      <c r="A9" s="18"/>
      <c r="B9" s="19"/>
      <c r="C9" s="20"/>
      <c r="D9" s="20"/>
      <c r="E9" s="21"/>
      <c r="F9" s="20"/>
      <c r="G9" s="27"/>
      <c r="H9" s="28"/>
      <c r="I9" s="15" t="s">
        <v>355</v>
      </c>
      <c r="J9" s="29"/>
      <c r="K9" s="27"/>
      <c r="L9" s="17">
        <v>1</v>
      </c>
    </row>
    <row r="10" ht="21" customHeight="1" spans="1:26">
      <c r="A10" s="18"/>
      <c r="B10" s="19"/>
      <c r="C10" s="20"/>
      <c r="D10" s="20"/>
      <c r="E10" s="21"/>
      <c r="F10" s="20"/>
      <c r="G10" s="13">
        <v>6</v>
      </c>
      <c r="H10" s="22" t="s">
        <v>361</v>
      </c>
      <c r="I10" s="13" t="s">
        <v>350</v>
      </c>
      <c r="J10" s="16">
        <v>1</v>
      </c>
      <c r="K10" s="13"/>
      <c r="L10" s="17"/>
    </row>
    <row r="11" ht="30" spans="1:26">
      <c r="A11" s="18"/>
      <c r="B11" s="19"/>
      <c r="C11" s="20"/>
      <c r="D11" s="20"/>
      <c r="E11" s="21"/>
      <c r="F11" s="20"/>
      <c r="G11" s="30">
        <v>7</v>
      </c>
      <c r="H11" s="14" t="s">
        <v>362</v>
      </c>
      <c r="I11" s="13" t="s">
        <v>355</v>
      </c>
      <c r="J11" s="16">
        <v>1</v>
      </c>
      <c r="K11" s="13" t="s">
        <v>363</v>
      </c>
      <c r="L11" s="17"/>
    </row>
    <row r="12" ht="33" customHeight="1" spans="1:26">
      <c r="A12" s="18"/>
      <c r="B12" s="19"/>
      <c r="C12" s="20"/>
      <c r="D12" s="20"/>
      <c r="E12" s="21"/>
      <c r="F12" s="20"/>
      <c r="G12" s="13">
        <v>8</v>
      </c>
      <c r="H12" s="14" t="s">
        <v>364</v>
      </c>
      <c r="I12" s="13" t="s">
        <v>352</v>
      </c>
      <c r="J12" s="16">
        <v>1</v>
      </c>
      <c r="K12" s="13" t="s">
        <v>353</v>
      </c>
      <c r="L12" s="17">
        <v>1</v>
      </c>
    </row>
    <row r="13" ht="25" customHeight="1" spans="1:26">
      <c r="A13" s="18"/>
      <c r="B13" s="19"/>
      <c r="C13" s="20"/>
      <c r="D13" s="20"/>
      <c r="E13" s="21"/>
      <c r="F13" s="20"/>
      <c r="G13" s="11">
        <v>9</v>
      </c>
      <c r="H13" s="23" t="s">
        <v>365</v>
      </c>
      <c r="I13" s="13" t="s">
        <v>355</v>
      </c>
      <c r="J13" s="24">
        <v>0.8</v>
      </c>
      <c r="K13" s="11" t="s">
        <v>366</v>
      </c>
      <c r="L13" s="17">
        <v>2</v>
      </c>
    </row>
    <row r="14" ht="23" customHeight="1" spans="1:26">
      <c r="A14" s="18"/>
      <c r="B14" s="19"/>
      <c r="C14" s="20"/>
      <c r="D14" s="20"/>
      <c r="E14" s="21"/>
      <c r="F14" s="20"/>
      <c r="G14" s="27"/>
      <c r="H14" s="28"/>
      <c r="I14" s="13" t="s">
        <v>367</v>
      </c>
      <c r="J14" s="29"/>
      <c r="K14" s="27"/>
      <c r="L14" s="17">
        <v>1</v>
      </c>
    </row>
    <row r="15" ht="23" customHeight="1" spans="1:26">
      <c r="A15" s="18"/>
      <c r="B15" s="19"/>
      <c r="C15" s="20"/>
      <c r="D15" s="20"/>
      <c r="E15" s="21"/>
      <c r="F15" s="20"/>
      <c r="G15" s="20">
        <v>10</v>
      </c>
      <c r="H15" s="25" t="s">
        <v>368</v>
      </c>
      <c r="I15" s="13" t="s">
        <v>350</v>
      </c>
      <c r="J15" s="26">
        <v>0.9</v>
      </c>
      <c r="K15" s="20" t="s">
        <v>369</v>
      </c>
      <c r="L15" s="17">
        <v>1</v>
      </c>
    </row>
    <row r="16" ht="23" customHeight="1" spans="1:26">
      <c r="A16" s="18"/>
      <c r="B16" s="19"/>
      <c r="C16" s="20"/>
      <c r="D16" s="20"/>
      <c r="E16" s="21"/>
      <c r="F16" s="20"/>
      <c r="G16" s="20"/>
      <c r="H16" s="25"/>
      <c r="I16" s="13" t="s">
        <v>298</v>
      </c>
      <c r="J16" s="26"/>
      <c r="K16" s="20"/>
      <c r="L16" s="17"/>
    </row>
    <row r="17" ht="23" customHeight="1" spans="1:12">
      <c r="A17" s="18"/>
      <c r="B17" s="19"/>
      <c r="C17" s="20"/>
      <c r="D17" s="20"/>
      <c r="E17" s="21"/>
      <c r="F17" s="20"/>
      <c r="G17" s="27"/>
      <c r="H17" s="28"/>
      <c r="I17" s="13" t="s">
        <v>370</v>
      </c>
      <c r="J17" s="29"/>
      <c r="K17" s="27"/>
      <c r="L17" s="17">
        <v>4</v>
      </c>
    </row>
    <row r="18" ht="23" customHeight="1" spans="1:12">
      <c r="A18" s="18"/>
      <c r="B18" s="19"/>
      <c r="C18" s="20"/>
      <c r="D18" s="20"/>
      <c r="E18" s="21"/>
      <c r="F18" s="20"/>
      <c r="G18" s="20">
        <v>11</v>
      </c>
      <c r="H18" s="25" t="s">
        <v>371</v>
      </c>
      <c r="I18" s="13" t="s">
        <v>372</v>
      </c>
      <c r="J18" s="26">
        <v>0.8</v>
      </c>
      <c r="K18" s="27" t="s">
        <v>373</v>
      </c>
      <c r="L18" s="17">
        <v>1.5</v>
      </c>
    </row>
    <row r="19" ht="23" customHeight="1" spans="1:12">
      <c r="A19" s="18"/>
      <c r="B19" s="19"/>
      <c r="C19" s="20"/>
      <c r="D19" s="20"/>
      <c r="E19" s="21"/>
      <c r="F19" s="20"/>
      <c r="G19" s="27"/>
      <c r="H19" s="28"/>
      <c r="I19" s="13" t="s">
        <v>350</v>
      </c>
      <c r="J19" s="29"/>
      <c r="K19" s="27" t="s">
        <v>373</v>
      </c>
      <c r="L19" s="17">
        <v>1</v>
      </c>
    </row>
    <row r="20" ht="23" customHeight="1" spans="1:12">
      <c r="A20" s="18"/>
      <c r="B20" s="19"/>
      <c r="C20" s="20"/>
      <c r="D20" s="20"/>
      <c r="E20" s="21"/>
      <c r="F20" s="20"/>
      <c r="G20" s="20">
        <v>12</v>
      </c>
      <c r="H20" s="25" t="s">
        <v>374</v>
      </c>
      <c r="I20" s="13" t="s">
        <v>350</v>
      </c>
      <c r="J20" s="26">
        <v>0.2</v>
      </c>
      <c r="K20" s="27"/>
      <c r="L20" s="17">
        <v>2</v>
      </c>
    </row>
    <row r="21" ht="23" customHeight="1" spans="1:12">
      <c r="A21" s="18"/>
      <c r="B21" s="19"/>
      <c r="C21" s="20"/>
      <c r="D21" s="20"/>
      <c r="E21" s="21"/>
      <c r="F21" s="20"/>
      <c r="G21" s="20"/>
      <c r="H21" s="20"/>
      <c r="I21" s="13" t="s">
        <v>367</v>
      </c>
      <c r="J21" s="26"/>
      <c r="K21" s="27"/>
      <c r="L21" s="17">
        <v>1</v>
      </c>
    </row>
    <row r="22" ht="23" customHeight="1" spans="1:12">
      <c r="A22" s="18"/>
      <c r="B22" s="19"/>
      <c r="C22" s="20"/>
      <c r="D22" s="20"/>
      <c r="E22" s="21"/>
      <c r="F22" s="20"/>
      <c r="G22" s="27"/>
      <c r="H22" s="27"/>
      <c r="I22" s="13"/>
      <c r="J22" s="29"/>
      <c r="K22" s="27"/>
      <c r="L22" s="17"/>
    </row>
    <row r="23" ht="23" customHeight="1" spans="1:12">
      <c r="A23" s="18"/>
      <c r="B23" s="19"/>
      <c r="C23" s="20"/>
      <c r="D23" s="20"/>
      <c r="E23" s="21"/>
      <c r="F23" s="20"/>
      <c r="G23" s="13">
        <v>1</v>
      </c>
      <c r="H23" s="14" t="s">
        <v>375</v>
      </c>
      <c r="I23" s="13" t="s">
        <v>60</v>
      </c>
      <c r="J23" s="16">
        <v>0.05</v>
      </c>
      <c r="K23" s="13" t="s">
        <v>376</v>
      </c>
      <c r="L23" s="17"/>
    </row>
    <row r="24" ht="23" customHeight="1" spans="1:12">
      <c r="A24" s="18"/>
      <c r="B24" s="19"/>
      <c r="C24" s="20"/>
      <c r="D24" s="20"/>
      <c r="E24" s="21"/>
      <c r="F24" s="20" t="s">
        <v>377</v>
      </c>
      <c r="G24" s="13">
        <v>1</v>
      </c>
      <c r="H24" s="14" t="s">
        <v>378</v>
      </c>
      <c r="I24" s="13" t="s">
        <v>379</v>
      </c>
      <c r="J24" s="16">
        <v>1</v>
      </c>
      <c r="K24" s="13"/>
      <c r="L24" s="17">
        <v>4</v>
      </c>
    </row>
    <row r="25" ht="23" customHeight="1" spans="1:12">
      <c r="A25" s="18"/>
      <c r="B25" s="19"/>
      <c r="C25" s="20"/>
      <c r="D25" s="20"/>
      <c r="E25" s="21"/>
      <c r="F25" s="20"/>
      <c r="G25" s="13">
        <v>2</v>
      </c>
      <c r="H25" s="14" t="s">
        <v>380</v>
      </c>
      <c r="I25" s="13" t="s">
        <v>381</v>
      </c>
      <c r="J25" s="16">
        <v>1</v>
      </c>
      <c r="K25" s="13"/>
      <c r="L25" s="17">
        <v>4</v>
      </c>
    </row>
    <row r="26" ht="23" customHeight="1" spans="1:12">
      <c r="A26" s="18"/>
      <c r="B26" s="19"/>
      <c r="C26" s="20"/>
      <c r="D26" s="20"/>
      <c r="E26" s="21"/>
      <c r="F26" s="20"/>
      <c r="G26" s="13">
        <v>3</v>
      </c>
      <c r="H26" s="14" t="s">
        <v>380</v>
      </c>
      <c r="I26" s="13" t="s">
        <v>382</v>
      </c>
      <c r="J26" s="16">
        <v>1</v>
      </c>
      <c r="K26" s="13"/>
      <c r="L26" s="17">
        <v>4</v>
      </c>
    </row>
    <row r="27" ht="23" customHeight="1" spans="1:12">
      <c r="A27" s="18"/>
      <c r="B27" s="19"/>
      <c r="C27" s="20"/>
      <c r="D27" s="20"/>
      <c r="E27" s="21"/>
      <c r="F27" s="20" t="s">
        <v>383</v>
      </c>
      <c r="G27" s="13">
        <v>2</v>
      </c>
      <c r="H27" s="14" t="s">
        <v>384</v>
      </c>
      <c r="I27" s="13" t="s">
        <v>367</v>
      </c>
      <c r="J27" s="16">
        <v>0.1</v>
      </c>
      <c r="K27" s="13" t="s">
        <v>385</v>
      </c>
      <c r="L27" s="17"/>
    </row>
    <row r="28" ht="24" customHeight="1" spans="1:12">
      <c r="A28" s="18"/>
      <c r="B28" s="19"/>
      <c r="C28" s="20"/>
      <c r="D28" s="20"/>
      <c r="E28" s="21"/>
      <c r="F28" s="20"/>
      <c r="G28" s="13">
        <v>3</v>
      </c>
      <c r="H28" s="14" t="s">
        <v>386</v>
      </c>
      <c r="I28" s="13" t="s">
        <v>355</v>
      </c>
      <c r="J28" s="16">
        <v>0.05</v>
      </c>
      <c r="K28" s="13" t="s">
        <v>385</v>
      </c>
      <c r="L28" s="17"/>
    </row>
    <row r="29" ht="15.6" spans="1:12">
      <c r="A29" s="18"/>
      <c r="B29" s="19"/>
      <c r="C29" s="20"/>
      <c r="D29" s="20"/>
      <c r="E29" s="21"/>
      <c r="F29" s="20"/>
      <c r="G29" s="11">
        <v>4</v>
      </c>
      <c r="H29" s="23" t="s">
        <v>387</v>
      </c>
      <c r="I29" s="11" t="s">
        <v>367</v>
      </c>
      <c r="J29" s="24">
        <v>1</v>
      </c>
      <c r="K29" s="11"/>
      <c r="L29" s="17"/>
    </row>
    <row r="30" ht="15.6" spans="1:12">
      <c r="A30" s="18"/>
      <c r="B30" s="19"/>
      <c r="C30" s="20"/>
      <c r="D30" s="20"/>
      <c r="E30" s="21"/>
      <c r="F30" s="20"/>
      <c r="G30" s="11">
        <v>5</v>
      </c>
      <c r="H30" s="23" t="s">
        <v>388</v>
      </c>
      <c r="I30" s="11" t="s">
        <v>350</v>
      </c>
      <c r="J30" s="24">
        <v>1</v>
      </c>
      <c r="K30" s="11"/>
      <c r="L30" s="17"/>
    </row>
    <row r="31" ht="15.6" spans="1:12">
      <c r="A31" s="18"/>
      <c r="B31" s="19"/>
      <c r="C31" s="20"/>
      <c r="D31" s="20"/>
      <c r="E31" s="21"/>
      <c r="F31" s="20"/>
      <c r="G31" s="11">
        <v>6</v>
      </c>
      <c r="H31" s="23" t="s">
        <v>389</v>
      </c>
      <c r="I31" s="13" t="s">
        <v>350</v>
      </c>
      <c r="J31" s="24">
        <v>0.7</v>
      </c>
      <c r="K31" s="11"/>
      <c r="L31" s="17"/>
    </row>
    <row r="32" spans="1:12">
      <c r="A32" s="18"/>
      <c r="B32" s="19"/>
      <c r="C32" s="20"/>
      <c r="D32" s="20"/>
      <c r="E32" s="21"/>
      <c r="F32" s="20"/>
      <c r="G32" s="11">
        <v>7</v>
      </c>
      <c r="H32" s="23" t="s">
        <v>390</v>
      </c>
      <c r="I32" s="11" t="s">
        <v>60</v>
      </c>
      <c r="J32" s="24">
        <v>1</v>
      </c>
      <c r="K32" s="11" t="s">
        <v>376</v>
      </c>
      <c r="L32" s="10"/>
    </row>
    <row r="33" spans="1:12">
      <c r="A33" s="18"/>
      <c r="B33" s="19"/>
      <c r="C33" s="20"/>
      <c r="D33" s="20"/>
      <c r="E33" s="31"/>
      <c r="F33" s="27"/>
      <c r="G33" s="27"/>
      <c r="H33" s="28"/>
      <c r="I33" s="27"/>
      <c r="J33" s="29"/>
      <c r="K33" s="27"/>
      <c r="L33" s="32"/>
    </row>
    <row r="34" ht="15.6" spans="1:12">
      <c r="A34" s="18"/>
      <c r="B34" s="19"/>
      <c r="C34" s="20"/>
      <c r="D34" s="20"/>
      <c r="E34" s="33"/>
      <c r="F34" s="33"/>
      <c r="G34" s="11">
        <v>8</v>
      </c>
      <c r="H34" s="23" t="s">
        <v>391</v>
      </c>
      <c r="I34" s="11" t="s">
        <v>60</v>
      </c>
      <c r="J34" s="24">
        <v>1</v>
      </c>
      <c r="K34" s="11"/>
      <c r="L34" s="10">
        <v>2.5</v>
      </c>
    </row>
    <row r="35" ht="15" spans="1:12">
      <c r="A35" s="18"/>
      <c r="B35" s="19"/>
      <c r="C35" s="20"/>
      <c r="D35" s="20"/>
      <c r="E35" s="34" t="s">
        <v>174</v>
      </c>
      <c r="F35" s="34"/>
      <c r="G35" s="34"/>
      <c r="H35" s="34"/>
      <c r="I35" s="34"/>
      <c r="J35" s="35"/>
      <c r="K35" s="36"/>
      <c r="L35" s="37">
        <f>SUM(L2:L34)</f>
        <v>38</v>
      </c>
    </row>
    <row r="36" ht="31.2" spans="1:12">
      <c r="A36" s="18"/>
      <c r="B36" s="19"/>
      <c r="C36" s="20"/>
      <c r="D36" s="20"/>
      <c r="E36" s="12" t="s">
        <v>175</v>
      </c>
      <c r="F36" s="12" t="s">
        <v>76</v>
      </c>
      <c r="G36" s="30">
        <v>1</v>
      </c>
      <c r="H36" s="38" t="s">
        <v>359</v>
      </c>
      <c r="I36" s="13" t="s">
        <v>355</v>
      </c>
      <c r="J36" s="39">
        <v>1</v>
      </c>
      <c r="K36" s="30"/>
      <c r="L36" s="40"/>
    </row>
    <row r="37" ht="17" customHeight="1" spans="1:12">
      <c r="A37" s="18"/>
      <c r="B37" s="19"/>
      <c r="C37" s="20"/>
      <c r="D37" s="20"/>
      <c r="E37" s="21"/>
      <c r="F37" s="21"/>
      <c r="G37" s="30">
        <v>2</v>
      </c>
      <c r="H37" s="38" t="s">
        <v>354</v>
      </c>
      <c r="I37" s="30" t="s">
        <v>367</v>
      </c>
      <c r="J37" s="39">
        <v>1</v>
      </c>
      <c r="K37" s="30"/>
      <c r="L37" s="40"/>
    </row>
    <row r="38" ht="15.6" spans="1:12">
      <c r="A38" s="18"/>
      <c r="B38" s="19"/>
      <c r="C38" s="20"/>
      <c r="D38" s="20"/>
      <c r="E38" s="21"/>
      <c r="F38" s="31"/>
      <c r="G38" s="30">
        <v>3</v>
      </c>
      <c r="H38" s="38" t="s">
        <v>365</v>
      </c>
      <c r="I38" s="13" t="s">
        <v>355</v>
      </c>
      <c r="J38" s="39">
        <v>0.85</v>
      </c>
      <c r="K38" s="30"/>
      <c r="L38" s="40"/>
    </row>
    <row r="39" ht="15.6" spans="1:12">
      <c r="A39" s="18"/>
      <c r="B39" s="19"/>
      <c r="C39" s="20"/>
      <c r="D39" s="20"/>
      <c r="E39" s="21"/>
      <c r="F39" s="41" t="s">
        <v>383</v>
      </c>
      <c r="G39" s="30">
        <v>1</v>
      </c>
      <c r="H39" s="38" t="s">
        <v>389</v>
      </c>
      <c r="I39" s="13" t="s">
        <v>350</v>
      </c>
      <c r="J39" s="39">
        <v>1</v>
      </c>
      <c r="K39" s="30"/>
      <c r="L39" s="40"/>
    </row>
    <row r="40" ht="31.2" spans="1:12">
      <c r="A40" s="18"/>
      <c r="B40" s="19"/>
      <c r="C40" s="20"/>
      <c r="D40" s="20"/>
      <c r="E40" s="21"/>
      <c r="F40" s="41"/>
      <c r="G40" s="30">
        <v>2</v>
      </c>
      <c r="H40" s="38" t="s">
        <v>359</v>
      </c>
      <c r="I40" s="13" t="s">
        <v>355</v>
      </c>
      <c r="J40" s="39">
        <v>1</v>
      </c>
      <c r="K40" s="30"/>
      <c r="L40" s="40"/>
    </row>
    <row r="41" ht="15.6" spans="1:12">
      <c r="A41" s="18"/>
      <c r="B41" s="19"/>
      <c r="C41" s="20"/>
      <c r="D41" s="20"/>
      <c r="E41" s="21"/>
      <c r="F41" s="41"/>
      <c r="G41" s="30">
        <v>3</v>
      </c>
      <c r="H41" s="38" t="s">
        <v>386</v>
      </c>
      <c r="I41" s="13" t="s">
        <v>350</v>
      </c>
      <c r="J41" s="39">
        <v>1</v>
      </c>
      <c r="K41" s="30"/>
      <c r="L41" s="40"/>
    </row>
  </sheetData>
  <autoFilter xmlns:etc="http://www.wps.cn/officeDocument/2017/etCustomData" ref="A1:Z41" etc:filterBottomFollowUsedRange="0">
    <extLst/>
  </autoFilter>
  <mergeCells count="40">
    <mergeCell ref="E35:H35"/>
    <mergeCell ref="A2:A41"/>
    <mergeCell ref="B2:B41"/>
    <mergeCell ref="C2:C41"/>
    <mergeCell ref="D2:D41"/>
    <mergeCell ref="E2:E33"/>
    <mergeCell ref="E36:E41"/>
    <mergeCell ref="F2:F23"/>
    <mergeCell ref="F24:F26"/>
    <mergeCell ref="F27:F33"/>
    <mergeCell ref="F36:F38"/>
    <mergeCell ref="F39:F41"/>
    <mergeCell ref="G4:G6"/>
    <mergeCell ref="G8:G9"/>
    <mergeCell ref="G13:G14"/>
    <mergeCell ref="G15:G17"/>
    <mergeCell ref="G18:G19"/>
    <mergeCell ref="G20:G22"/>
    <mergeCell ref="G32:G33"/>
    <mergeCell ref="H4:H6"/>
    <mergeCell ref="H8:H9"/>
    <mergeCell ref="H13:H14"/>
    <mergeCell ref="H15:H17"/>
    <mergeCell ref="H18:H19"/>
    <mergeCell ref="H20:H22"/>
    <mergeCell ref="H32:H33"/>
    <mergeCell ref="I32:I33"/>
    <mergeCell ref="J4:J6"/>
    <mergeCell ref="J8:J9"/>
    <mergeCell ref="J13:J14"/>
    <mergeCell ref="J15:J17"/>
    <mergeCell ref="J18:J19"/>
    <mergeCell ref="J20:J22"/>
    <mergeCell ref="J32:J33"/>
    <mergeCell ref="K4:K6"/>
    <mergeCell ref="K8:K9"/>
    <mergeCell ref="K13:K14"/>
    <mergeCell ref="K15:K17"/>
    <mergeCell ref="K32:K33"/>
    <mergeCell ref="L32:L3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2026-04-11T12:37:52Z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2052-12.1.0.25225</vt:lpwstr>
  </property>
  <property fmtid="{D5CDD505-2E9C-101B-9397-08002B2CF9AE}" pid="4" name="CalculationRule">
    <vt:i4>0</vt:i4>
  </property>
</Properties>
</file>