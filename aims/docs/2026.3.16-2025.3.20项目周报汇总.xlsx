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3644" tabRatio="905"/>
  </bookViews>
  <sheets>
    <sheet name="项目汇总" sheetId="1" r:id="rId1"/>
    <sheet name="交付-不动产组" sheetId="217" r:id="rId2"/>
    <sheet name="交付-房产组" sheetId="218" r:id="rId3"/>
    <sheet name="交付-物业组" sheetId="219" r:id="rId4"/>
    <sheet name="交付-AI大数据组" sheetId="220" r:id="rId5"/>
    <sheet name="交付-JD组" sheetId="221" r:id="rId6"/>
    <sheet name="产品研发部" sheetId="222" r:id="rId7"/>
    <sheet name="汇房智选部" sheetId="224" r:id="rId8"/>
    <sheet name="软件项目部" sheetId="223" r:id="rId9"/>
  </sheets>
  <externalReferences>
    <externalReference r:id="rId10"/>
    <externalReference r:id="rId11"/>
    <externalReference r:id="rId12"/>
    <externalReference r:id="rId13"/>
    <externalReference r:id="rId14"/>
    <externalReference r:id="rId15"/>
  </externalReferences>
  <definedNames>
    <definedName name="_xlnm._FilterDatabase" localSheetId="1" hidden="1">'交付-不动产组'!$A$1:$L$39</definedName>
    <definedName name="_xlnm._FilterDatabase" localSheetId="2" hidden="1">#REF!</definedName>
    <definedName name="_xlnm._FilterDatabase" localSheetId="3" hidden="1">#REF!</definedName>
    <definedName name="_xlnm._FilterDatabase" localSheetId="4" hidden="1">#REF!</definedName>
    <definedName name="_xlnm._FilterDatabase" localSheetId="5" hidden="1">#REF!</definedName>
    <definedName name="_xlnm._FilterDatabase" localSheetId="6" hidden="1">产品研发部!#REF!</definedName>
    <definedName name="_xlnm._FilterDatabase" localSheetId="8" hidden="1">#REF!</definedName>
    <definedName name="_xlnm._FilterDatabase" localSheetId="7"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王壮-leo</author>
  </authors>
  <commentList>
    <comment ref="M2" authorId="0">
      <text>
        <r>
          <rPr>
            <b/>
            <sz val="9"/>
            <rFont val="宋体"/>
            <charset val="134"/>
          </rPr>
          <t>王壮-leo:</t>
        </r>
        <r>
          <rPr>
            <sz val="9"/>
            <rFont val="宋体"/>
            <charset val="134"/>
          </rPr>
          <t xml:space="preserve">
按照每周各项目成员填报工时累计之和除以8计算</t>
        </r>
      </text>
    </comment>
  </commentList>
</comments>
</file>

<file path=xl/sharedStrings.xml><?xml version="1.0" encoding="utf-8"?>
<sst xmlns="http://schemas.openxmlformats.org/spreadsheetml/2006/main" count="893" uniqueCount="364">
  <si>
    <t>项目周报汇总（2026.3.16-2025.3.20）</t>
  </si>
  <si>
    <t>序号</t>
  </si>
  <si>
    <t>隶属部门</t>
  </si>
  <si>
    <t>项目类型</t>
  </si>
  <si>
    <t>项目编号</t>
  </si>
  <si>
    <t>项目名称</t>
  </si>
  <si>
    <t>项目经理</t>
  </si>
  <si>
    <t>立项情况</t>
  </si>
  <si>
    <t>当前阶段</t>
  </si>
  <si>
    <t>进度情况</t>
  </si>
  <si>
    <t>总体完成进度</t>
  </si>
  <si>
    <t>合同状态</t>
  </si>
  <si>
    <t>回款情况</t>
  </si>
  <si>
    <t>上周人力投入(人天)</t>
  </si>
  <si>
    <t>本周人力投入(人天)</t>
  </si>
  <si>
    <t>人力较上周</t>
  </si>
  <si>
    <t>重大问题和风险</t>
  </si>
  <si>
    <t>待协调资源</t>
  </si>
  <si>
    <t>备注</t>
  </si>
  <si>
    <t>交付中心
（王壮）</t>
  </si>
  <si>
    <t>不动产组
（宋义振）</t>
  </si>
  <si>
    <t>济南市不动产登记系统功能拓展</t>
  </si>
  <si>
    <t>宋义振</t>
  </si>
  <si>
    <t>长期项目</t>
  </si>
  <si>
    <t>上线运行</t>
  </si>
  <si>
    <t>正常</t>
  </si>
  <si>
    <t>——</t>
  </si>
  <si>
    <t>已申报预算，未签订</t>
  </si>
  <si>
    <t>不动产登记信息平台信创升级改造项目</t>
  </si>
  <si>
    <t>已立项</t>
  </si>
  <si>
    <t>验收</t>
  </si>
  <si>
    <t>已签订</t>
  </si>
  <si>
    <t>完成初验，目前处于各子系统陆续切换过程中，</t>
  </si>
  <si>
    <t>济南市不动产登记云柜台（线上移动)系统</t>
  </si>
  <si>
    <t>陈一明</t>
  </si>
  <si>
    <t>未立项</t>
  </si>
  <si>
    <t>云柜台上线好几年了，之前不断增加新功能，今年基本没有新增需求，目前处于运维过程中，本月云柜台信创上线</t>
  </si>
  <si>
    <t>济南市不动产预受理系统</t>
  </si>
  <si>
    <t>2025年4月上线，一直保持运维过程中，项目运行文档，本周没有工作输出</t>
  </si>
  <si>
    <t>房产组
（刘存山）</t>
  </si>
  <si>
    <t>济南市房产交易管理平台拓展</t>
  </si>
  <si>
    <t>张大伟</t>
  </si>
  <si>
    <t>未签订</t>
  </si>
  <si>
    <t>济南房产交易与租赁服务平台</t>
  </si>
  <si>
    <t>李宪鹏</t>
  </si>
  <si>
    <t>严重延迟</t>
  </si>
  <si>
    <t>已签合同</t>
  </si>
  <si>
    <t>进度延迟严重</t>
  </si>
  <si>
    <t>2025年12月完成初验，目前调整及测试中，计划4月初上线</t>
  </si>
  <si>
    <t>21250606J</t>
  </si>
  <si>
    <t>山东省机关事务局职工房改管理系统适配改造项目</t>
  </si>
  <si>
    <t>付艳芳</t>
  </si>
  <si>
    <t>维护</t>
  </si>
  <si>
    <t>2025年12月完成终验，现在处于3年免费运维中</t>
  </si>
  <si>
    <t>宿松房产一体化平台</t>
  </si>
  <si>
    <t>刘存山</t>
  </si>
  <si>
    <t>开发</t>
  </si>
  <si>
    <t>提前</t>
  </si>
  <si>
    <t>立项工作准备中，计划下周立项</t>
  </si>
  <si>
    <t>物业组
（袁畅）</t>
  </si>
  <si>
    <t>日照市三平台融合、智慧物业、住宅专项维修资金系统信创改造项目</t>
  </si>
  <si>
    <t>王成</t>
  </si>
  <si>
    <t>还没组织验收，现在是上线配合推广阶段</t>
  </si>
  <si>
    <t>滨州智慧物业</t>
  </si>
  <si>
    <t>王壮</t>
  </si>
  <si>
    <t>实施</t>
  </si>
  <si>
    <t>有合同</t>
  </si>
  <si>
    <t>泉农通二期销售售前支持</t>
  </si>
  <si>
    <t>刘传祥</t>
  </si>
  <si>
    <t>销售立项</t>
  </si>
  <si>
    <t>售前</t>
  </si>
  <si>
    <t>AI大数据组
（李朔刚）</t>
  </si>
  <si>
    <t>济南市不动产登记全量数据汇交及比对系统</t>
  </si>
  <si>
    <t>李朔刚</t>
  </si>
  <si>
    <t>一直有新需求，持续开发</t>
  </si>
  <si>
    <t>济南市不动产登记电子监督系统功能拓展</t>
  </si>
  <si>
    <t>一直有新需求，交房即办证也有合同，还在执行中</t>
  </si>
  <si>
    <t>不动产登记人工智能数字人(一期)项目</t>
  </si>
  <si>
    <t>延迟</t>
  </si>
  <si>
    <t>无合同</t>
  </si>
  <si>
    <t>21250313J</t>
  </si>
  <si>
    <t>电子监督系统标准化产品改造</t>
  </si>
  <si>
    <t>佟丽</t>
  </si>
  <si>
    <t>发布</t>
  </si>
  <si>
    <t>开发完成，有订单可上线运行，目前已申请专利过程中</t>
  </si>
  <si>
    <t>JD组
（王庆嵋）</t>
  </si>
  <si>
    <t>210123ZHJJ02</t>
  </si>
  <si>
    <t>基层经费监管系统升级研发（二期）</t>
  </si>
  <si>
    <t>王庆嵋</t>
  </si>
  <si>
    <t>2025年10月完成初验进行上线，客户一直未组织终验</t>
  </si>
  <si>
    <t>JD维护</t>
  </si>
  <si>
    <t>技术支持部
（王壮）</t>
  </si>
  <si>
    <t>运维项目</t>
  </si>
  <si>
    <t>不动产登记应用软件维护</t>
  </si>
  <si>
    <t>付蕾</t>
  </si>
  <si>
    <t>济南市房产交易部门运维</t>
  </si>
  <si>
    <t>房产项目运维</t>
  </si>
  <si>
    <t>智慧物业运维（维修资金）项目运维</t>
  </si>
  <si>
    <t>上周人力小计：</t>
  </si>
  <si>
    <t>本周人力小计：</t>
  </si>
  <si>
    <t>人力饱和度</t>
  </si>
  <si>
    <t>产品研发部
（曹倩）</t>
  </si>
  <si>
    <t>研发项目</t>
  </si>
  <si>
    <t>21250925HF</t>
  </si>
  <si>
    <t>汇房智慧住房租赁综合管理与服务平台</t>
  </si>
  <si>
    <t>魏山明</t>
  </si>
  <si>
    <t>立项</t>
  </si>
  <si>
    <t>21250807J</t>
  </si>
  <si>
    <t>基础平台</t>
  </si>
  <si>
    <t>李昱江</t>
  </si>
  <si>
    <t>/</t>
  </si>
  <si>
    <t>内部管理系统</t>
  </si>
  <si>
    <t>曹倩</t>
  </si>
  <si>
    <t>立项中</t>
  </si>
  <si>
    <t>3月下旬立项，正在编辑立项报告</t>
  </si>
  <si>
    <t>汇房智选部
（任建伟）</t>
  </si>
  <si>
    <t>22250903HF</t>
  </si>
  <si>
    <t>济南市联合资产交易公示平台</t>
  </si>
  <si>
    <t>王帅</t>
  </si>
  <si>
    <t>汇房云经纪人</t>
  </si>
  <si>
    <t>任建伟</t>
  </si>
  <si>
    <t>22250829HF</t>
  </si>
  <si>
    <t>车位使用权公证备案平台</t>
  </si>
  <si>
    <t>22251028HFJ</t>
  </si>
  <si>
    <t>卓识网安业务平台系统</t>
  </si>
  <si>
    <t>3月底左右验收</t>
  </si>
  <si>
    <t>21250516HF</t>
  </si>
  <si>
    <t>汇房云培训考试（汇房考试培训系统）</t>
  </si>
  <si>
    <t>21250801J</t>
  </si>
  <si>
    <t>公司内部系统维护升级项目</t>
  </si>
  <si>
    <t>房源超市SaaS产品化改造(新房超市SaaS)</t>
  </si>
  <si>
    <t>卓识网安业务平台系统-知识库</t>
  </si>
  <si>
    <t>价格未谈拢</t>
  </si>
  <si>
    <t>房屋租赁管理系统(汇房云租)</t>
  </si>
  <si>
    <t>待立项</t>
  </si>
  <si>
    <t>挂起</t>
  </si>
  <si>
    <t>阳信房产超市运维&amp;乐居乳山</t>
  </si>
  <si>
    <t>安震、王帅</t>
  </si>
  <si>
    <t>软件项目部
(王成)</t>
  </si>
  <si>
    <t>日照银行智慧社区维护与升级</t>
  </si>
  <si>
    <t>项目信息</t>
  </si>
  <si>
    <t>当前进度</t>
  </si>
  <si>
    <t>合同回款情况</t>
  </si>
  <si>
    <t>工作/计划</t>
  </si>
  <si>
    <t>模块名称</t>
  </si>
  <si>
    <t>任务简述（多人完成可以合并单元格）</t>
  </si>
  <si>
    <t>责任人（只能填一个人）</t>
  </si>
  <si>
    <t>完成度</t>
  </si>
  <si>
    <t>未完成情况说明</t>
  </si>
  <si>
    <t>工作量（人日）</t>
  </si>
  <si>
    <t xml:space="preserve">济南市不动产登记系统功能拓展
项目编号：22220901
</t>
  </si>
  <si>
    <t>--</t>
  </si>
  <si>
    <t>本周工作</t>
  </si>
  <si>
    <t>不动产登记系统：新增司法处置税费征缴预受理列表。将法院渠道提交的国有建设用地使用权及房屋所有权-转移登记-仲裁判决、查询业务-不动产登记信息查询业务的纳入查询池。</t>
  </si>
  <si>
    <t>不动产登记系统：在受理业务时-数字化信息页面 增加输入证号提取导入房屋清册（不动产登记证明清册）至数字化。</t>
  </si>
  <si>
    <t>不动产登记中心参加会议：权籍部调度网签待确定事项、信息部讨论信创上线与量化登记工作安排。</t>
  </si>
  <si>
    <t>不动产登记系统-信息共享：住建提交网签业务接口，置成待确定状态的新增条件：如网签房屋做过实测挂接业务，则恢复原业务状态。</t>
  </si>
  <si>
    <t>不动产登记系统-信息共享：与青岛农商行对接联调金融总对总接口。</t>
  </si>
  <si>
    <t>不动产数据统计工作：7条</t>
  </si>
  <si>
    <t>不动产登记系统退件池功能模块：
（1）梳理税务退件接口，新增退件表。
（2）税务保存接口和退件接口，退件后加入税务退件池表。
（3）新增菜单</t>
  </si>
  <si>
    <t>李国强</t>
  </si>
  <si>
    <t>不动产登记中心参加自然资源部信息中心数字档案室领导，调研济南市不动产土地业务档案管理工作会议。</t>
  </si>
  <si>
    <t>不动产登记-信息共享系统：法院拍卖业务提交接口增加业务类型参数，根据参数提交不同类型业务。开发并自测</t>
  </si>
  <si>
    <t>张志鹏</t>
  </si>
  <si>
    <t>不动产登记-信息共享系统：提供给浪潮自助机的权属证明接口，联调对接。</t>
  </si>
  <si>
    <t>李中正</t>
  </si>
  <si>
    <t>（1）网上抵押系统及农房系统日常维护工作。
（2）网上抵押系统合同查询需求修改可以查询交易价格签订日期。
（3）网上抵押系统不动产信息查询功能，屏蔽根据土地证号查询土地信息功能。</t>
  </si>
  <si>
    <t>合计</t>
  </si>
  <si>
    <t>下周计划</t>
  </si>
  <si>
    <t xml:space="preserve">济南市不动产登记中心不动产登记信息平台信创升级改造项目
项目编号：22250226
</t>
  </si>
  <si>
    <t>信创-登记系统</t>
  </si>
  <si>
    <t>梳理接口项目调用外部接口情况，信创环境需要提前打通网络</t>
  </si>
  <si>
    <t>信创-电子监督系统、数据汇聚分平台</t>
  </si>
  <si>
    <t>电子监督信创表结构更新、加工sql文件配置更新</t>
  </si>
  <si>
    <t>信创-云柜台</t>
  </si>
  <si>
    <t>（1）原172.20.93.136接口连通性完整测试；沟通解决律师查询、二手房预受理信创接口不通问题；
（2）信创172.16.12.13安装nginx（接口职责分离），合并原172.20.93.164、172.22.39.36代理接口（政务外与互联网代理待配置），接口验证.
（3）计划调整redis到172.16.12.13</t>
  </si>
  <si>
    <t>（1）信创172.16.12.13安装nginx，合并原172.20.93.164、172.22.39.36代理接口，重新编译nginx添加WebDAV 模块；
（2）安云印接口打通测试，群内沟通接口白名单问题；
（3）申请打通电子监督数据库端口；
（4）网上缴费接口梳理，待进一步测试程序可用性；
（5）后端信创环境配置文件更新，打包，待信创环境验证</t>
  </si>
  <si>
    <t>（1）信创环境mpServer、miniApi程序更新，基础测试；
（2）集群环境节点扩展到4个，相关维护脚本更新；
（3）招行不动产预约、证明核验、权证核验应用部署；</t>
  </si>
  <si>
    <t>（1）集群环境完善、维护脚本测试；
（2）发布前端代码临时测试使用；
（3）更新信创云柜台域名证书；
（4）切换到云柜台信创生产库测试，表结构有问题，反馈重迁数据库；</t>
  </si>
  <si>
    <t>（1）与杨真真沟通反馈新迁移的minidb数据库表结构完整性问题，问题处理，并验证
（2）所有应用重发验证，与王恒通沟通安排各应用详细测试
（3）网上缴费接口代理配置，待切换不动产生产库进行验证</t>
  </si>
  <si>
    <t>其他</t>
  </si>
  <si>
    <t>预受理/智能审核信创上线的系统内部调用地址进行梳理，并申请打通网络。二手房预受理调整信创生产配置，修改部分代码并发包。</t>
  </si>
  <si>
    <t>不动产移动端：调用大数据平台接口修改url地址的代码，增加配置</t>
  </si>
  <si>
    <t>济南市不动产登记云柜台（线上移动)系统
项目编号：22220202</t>
  </si>
  <si>
    <t>运维</t>
  </si>
  <si>
    <t>济南市不动产预受理系统
项目编号：22220701</t>
  </si>
  <si>
    <t>济南不动产登记平台运行维护
项目编号：41221101</t>
  </si>
  <si>
    <t>不动产软件运维</t>
  </si>
  <si>
    <t>工单 387  件
增量数据汇交日检</t>
  </si>
  <si>
    <t>李猛</t>
  </si>
  <si>
    <t>杨森</t>
  </si>
  <si>
    <t>不动产系统运维</t>
  </si>
  <si>
    <t>云柜台：用于爱山东房信通应用查询不动产与预警信息，云柜台信创应用机器申请打通电子监督172.20.91.212:8123。
预受理二手房：信创应用机器部署不动产接口reiss_ltsspxt，代理到预受理二手房信创环境里；申请访问安云印生产的签章接口地址，已放通。
智能审核信创应用机器91打通到不动产登记登簿接口(生产)、加密机接口(生产)。
不动产登记生产10多台x86机器申请访问权籍系统信创地址的边界接入文档的编写和发送。
不动产上产x86的13台机器申请访问超图权籍系统信创地址，整理边界接入平台文档。</t>
  </si>
  <si>
    <t>杨真真</t>
  </si>
  <si>
    <t>祝席成</t>
  </si>
  <si>
    <t>济南房产交易运维</t>
  </si>
  <si>
    <t>日常运维</t>
  </si>
  <si>
    <t>日常数据统计</t>
  </si>
  <si>
    <t>1.协助甲方完成信息化建设详细情况文档
2.按甲方要求统计历年维护以来标记删除的商品房备案及备案注销业务明细
3.按甲方要求统计导出给定人员商品房及商品房备案撤销数据明细
4.日常系统运维处理突发情况
5.开会讨论存量房行政区字段初始化赋值逻辑</t>
  </si>
  <si>
    <t>1、更新升级存量房网签数据初始化时行政区的判断逻辑
2、存量房网签及资金监管系统日常运维
3、编写存量房网签、资金监管、交易管理系统、抵押备案系统说明文档</t>
  </si>
  <si>
    <t>张杨</t>
  </si>
  <si>
    <t>房管软件运维</t>
  </si>
  <si>
    <t>工单   46 件</t>
  </si>
  <si>
    <t>房管系统运维</t>
  </si>
  <si>
    <t>启动10.10.1.53和54两台机器。
汇总2025.11月份招商银行访问资金监管业务的申请表，用于信息科汇总。
省直房改信创项目新war包在东方通上重新发布。
机房配合IBM的远程调试AIX服务器10.10.1.53机器无法启动的原因排查。
还原交易生产库在91.59上一份。</t>
  </si>
  <si>
    <t>开发资金监管移动端；
修改备案单预览及签字逻辑，联调接口；
中介网签资金监管完成重新签字功能；
整理移动端所有接口Word文档并提交爱山东中台审核，将接口标识与秘钥写入代码；</t>
  </si>
  <si>
    <t>董文超</t>
  </si>
  <si>
    <t>1、新平台增加资金监管爱山东端的电子监管协议查看接口逻辑，与前端对接测试（完成100%）
2、新平台存量房网签撤销增加协助注销业务的处理逻辑（完成100%）
3、新平台解除更正备案单格式调整 优化（完成100%）
4、新平台增加住建部前置机推送备案数据的接口逻辑（完成60%）</t>
  </si>
  <si>
    <t>修改省直上市交易需求文档，并与省直部门沟通争议问题</t>
  </si>
  <si>
    <t xml:space="preserve">济南市房产交易管理平台拓展项目编号:22221201
</t>
  </si>
  <si>
    <t>99%</t>
  </si>
  <si>
    <t xml:space="preserve">山东省机关事务局职工房改管理系统适配改造项目：21250606J
</t>
  </si>
  <si>
    <t xml:space="preserve">1.省直房改房系统存量房出售业务弹窗渲染问题修改测试，住房出售审批表打印房价款显示不全模板调整 ；         2. 返售房业务遗留问题选中后录入职工信息后页面被重置测试、修复；                                                                 3. 选择职工页面日期选择器报错排查解决                                    </t>
  </si>
  <si>
    <t>1.编写济南市房改信息管理系统升级项目软件需求规格说明书                                                                              2.填报附件1:济南市城市管理局调研情况汇总表</t>
  </si>
  <si>
    <t>宋雯雯</t>
  </si>
  <si>
    <t xml:space="preserve">1.省直房改房信创系统改造优化（汉峪配租非信创系统适配瀚高数据库完成) </t>
  </si>
  <si>
    <t>调研省直上市交易最新需求，根据住房中心要求编制省直上市交易已购公有住房确认表（编制完成待住房中心领导确认）</t>
  </si>
  <si>
    <t>房产一体化项目：惠民、博兴、滨州、沾化、无棣、阳信、滨州、阳信维护</t>
  </si>
  <si>
    <t>王德智</t>
  </si>
  <si>
    <t>房产一体化项目：博兴、沾化、乳山维护；</t>
  </si>
  <si>
    <t>万德跃</t>
  </si>
  <si>
    <t>房产一体化：安徽地区、五莲、诸城维护</t>
  </si>
  <si>
    <t>五莲项目推进</t>
  </si>
  <si>
    <t>滨州房产一体化驻场维护</t>
  </si>
  <si>
    <t>吴胜傲</t>
  </si>
  <si>
    <t>商品房资金监管功能测试</t>
  </si>
  <si>
    <t>景旭</t>
  </si>
  <si>
    <t>参加宿松项目上线准备会议，整理维修资金程序、和软件，准备部署</t>
  </si>
  <si>
    <t>页面优化</t>
  </si>
  <si>
    <t>王光辉</t>
  </si>
  <si>
    <t>出差宿松现场调研</t>
  </si>
  <si>
    <t>许建飞</t>
  </si>
  <si>
    <t>时守杰</t>
  </si>
  <si>
    <t>1 出差宿松现场调研、拷数据
2 立项材料编写</t>
  </si>
  <si>
    <t>物业一体化信息管理平台</t>
  </si>
  <si>
    <t>日照物业维护：日照 现场培训、推进项目落地；</t>
  </si>
  <si>
    <t>1 维修资金系统维护：东营地区区、滨州地区维护；
2 滨州智慧物业测试；</t>
  </si>
  <si>
    <t>牛丽君</t>
  </si>
  <si>
    <t>维修资金系统维护：滨州、东营、兖州、莱芜、潍坊滨海、日照等地区维护</t>
  </si>
  <si>
    <t>赵衍峰</t>
  </si>
  <si>
    <t>日照维系资金驻场维护</t>
  </si>
  <si>
    <t>马睿</t>
  </si>
  <si>
    <t>各地维修资金维护</t>
  </si>
  <si>
    <t>日照市三平台融合、智慧物业、住宅专项维修资金系统信创改造项目
项目编号：22240822</t>
  </si>
  <si>
    <t>日照维修资金问题处理及测试</t>
  </si>
  <si>
    <t>日照维修资金运维</t>
  </si>
  <si>
    <t>潘春蕾</t>
  </si>
  <si>
    <t>滨州智慧物业
项目编号：23251211</t>
  </si>
  <si>
    <t>移动端开发和测试（业主房屋维修资金查询接口开发、物业区域数据同步）</t>
  </si>
  <si>
    <t>公示网站开发</t>
  </si>
  <si>
    <t>郇正基</t>
  </si>
  <si>
    <t>公示网站测试</t>
  </si>
  <si>
    <t>泉农通二期销售售前支持
项目编号：
121018</t>
  </si>
  <si>
    <t>网信办数字乡村平台数据集清单、情况总结报告整理，现场沟通汇报；竞争性磋商文件及评分标准梳理确认。</t>
  </si>
  <si>
    <t>农业局“泉农通”业务协同平台功能扩展项目详细建设方案驳回优化，重新提交</t>
  </si>
  <si>
    <t>袁畅</t>
  </si>
  <si>
    <t>网信办数字乡村平台招标文件准备；智慧农业一张图指标分析，原型设计</t>
  </si>
  <si>
    <t>农业局“泉农通”业务协同平台功能扩展项目做好大数据局专家评审准备</t>
  </si>
  <si>
    <t>济南市不动产登记全量数据汇交及比对系统
项目编号：222201001</t>
  </si>
  <si>
    <t>1）数据汇交：土地承包经营权和土地经营权全量数据汇交。
2）地房联动指标登记与汇交数据核对</t>
  </si>
  <si>
    <t>济南市不动产登记电子监督系统功能拓展
项目编号：22220905</t>
  </si>
  <si>
    <t>90%</t>
  </si>
  <si>
    <t>1）处理超时未登簿预警解除表、备份表重复数据
2）统计导出最新保交房、拆迁安置房及其他项目问题数据
3）“交房即办证”风险预警分类大屏的按照最新预警规则更新。</t>
  </si>
  <si>
    <t>闫元泉</t>
  </si>
  <si>
    <t>不动产登记人工智能数字人(一期)项目
项目编号：21250326</t>
  </si>
  <si>
    <t>80%</t>
  </si>
  <si>
    <t>1）知识库构建、智能检索：按照功能需求点（除AI相关）开发，本周主要开发功能点：知识库操作日志全链条记录。服务器相关运行环境部署、上线试运行。</t>
  </si>
  <si>
    <t>王建</t>
  </si>
  <si>
    <t>1）测试qwen3.5:9b模型的ocr能力。
2）编写方案：2026年人工智能项目工作方案，给杜主任汇报。
3）openclaw+大模型的配置、调试。</t>
  </si>
  <si>
    <t>毕彦信</t>
  </si>
  <si>
    <t>电子监督系统标准化产品改造
项目编号：21250313J</t>
  </si>
  <si>
    <t>维修大队系统建设方案汇报与方案重新编写修改</t>
  </si>
  <si>
    <t>维修大队系统建设方案编写与汇报</t>
  </si>
  <si>
    <t>基层经费监管系统升级研发（二期）
项目编号：
210123ZHJJ02</t>
  </si>
  <si>
    <t>系统运维管理</t>
  </si>
  <si>
    <t>王晓阳</t>
  </si>
  <si>
    <t>基层经费监管系统终验材料编写（财务预算报告）</t>
  </si>
  <si>
    <t>住房租赁管理服务平台（监管端）
项目编号：21250925HF</t>
  </si>
  <si>
    <t xml:space="preserve">1、开发信用等级模块前后端功能，并进行联调测试
2、开发信用规则模块前后端功能，并进行联调测试
3、学习前端部分+AI使用
</t>
  </si>
  <si>
    <t>1、梳理从业主体的业务+开发</t>
  </si>
  <si>
    <t>基础平台
（未立项）</t>
  </si>
  <si>
    <t>不动产产品梳理，共享文档编写</t>
  </si>
  <si>
    <t>房产一体化平台工作会议</t>
  </si>
  <si>
    <t>AI编码规范体系设计方案编写完成。</t>
  </si>
  <si>
    <t>石伟佳</t>
  </si>
  <si>
    <t>AI编码规范体系设计规范，调试规范。</t>
  </si>
  <si>
    <t>平台相关rules和skills调试，增加前后端串联的skills。</t>
  </si>
  <si>
    <t>完成整理汇房基础平台及相关产品线。</t>
  </si>
  <si>
    <t>数据治理平台初步研究。</t>
  </si>
  <si>
    <t>使用codebuddy调试传统项目</t>
  </si>
  <si>
    <t>彭步坤</t>
  </si>
  <si>
    <t>梳理公司产品信息</t>
  </si>
  <si>
    <t>参加会议</t>
  </si>
  <si>
    <t>内部管理系统
（立项阶段）</t>
  </si>
  <si>
    <t>1.指导张志鹏智能审核以及预受理系统一些疑问 
2.思考项目管理实现思路，项目，需求，任务拆分关系页面设计,编写项目管理需求,以及数据库说明文档
3.产品管理文档涉及不动产项目的梳理，
4.学习使用AI编写项目进度的甘特图前端组件</t>
  </si>
  <si>
    <t>窦延群</t>
  </si>
  <si>
    <t>1、梳理公司管理系统里部门协调的业务需求和数据库设计
2、根据部门协同需求基于现有的后端单体产品脚手架项目 让AI 做了一个部门层级管理的小功能 已正常展示和数据库保存。
3、实现了让AI根据之前JD的业务需求整理出纯前端html+CSS+JavaScript  并有示例数据的 可供客户演示的产品原型。
4、整理JD和农业农村局的项目资产文档</t>
  </si>
  <si>
    <t>郭培培</t>
  </si>
  <si>
    <t>根据内部关系系统需求进行原型设计</t>
  </si>
  <si>
    <t>张燕</t>
  </si>
  <si>
    <t>1. 学习分析了产品清单及新版的管理方案，初步明确相关分类逻辑。
2.初步研究学习原型设计ai的落地使用</t>
  </si>
  <si>
    <t xml:space="preserve">济南市联合资产交易公示平台
项目编号：22250903HF
</t>
  </si>
  <si>
    <t>1.完成同一房源录入重复判断逻辑开发，新增房源是否合并操作功能，完成本地接口对接与调试；待后台发布测试环境与开发环境后，及时完成相关接口调试； 根据 UI 设计反馈，优化修改小程序Banner 模块及首页边距展示，提升页面整体视觉效果与布局规范性；优化房源发布模块页面样式调整，严格按照 UI 设计稿统一视觉风格，保障页面展示效果与设计稿一致，在优化页面样式过程中测试小程序房源发布流程，及时将发现的异常与缺陷反馈至负责人并协助修改； 及时修复测试反馈问题并更新问题状态，同步配合后端排查定位问题，完成接口调整后的对接与联调，确保功能正常流转。
2.小程序端 根据 UI 设计稿调整首页菜单栏布局，新增土地模块，完成土地列表页、详情页开发及对应接口联调对接； 根据需求优化我的收藏页面，合并查封抵押模块，新增新房、二手房收藏功能及对应列表开发；同步调整各个类型页面收藏逻辑； 完成历史遗留模块改造，升级为新房模块并保留历史遗留分类，统一替换全局字段并完成适配； Web 端 修复房源批量录入页面相关 BUG，包括生成房源、下载记录功能异常； 调整下载记录名称取值逻辑，优化展示效果； 联调并完善批量生成房源功能，确保流程正常可用。
3.联合资产平台： Web 端 完成企业一件事模块后台全功能页面开发，已完成页面布局、交互逻辑及数据渲染，待后端提供接口后即可开展接口对接与联调工作；同步响应测试反馈，完成相关 bug 定位、修复及验证，确保功能稳定运行。 小程序端 联合后端完成新房及历史遗留房源收藏功能问题修复，覆盖房源列表页、详情页、个人收藏列表全场景，确保收藏状态同步准确、功能正常可用。 完成系统查封房产分类改造，将原有查封房产列表拆分为查封、强制管理两种类型，实现分类展示与数据隔离。 新增页面分享功能，完成分享逻辑开发、参数配置及兼容性调试，支持页面快速转发分享。
4.Web 端 完成企业一件事模块后台全功能接口对接与联调，确保功能流程与数据交互正常稳定。 小程序 针对测试中发现的列表页加载异常问题进行全面排查定位，完成问题修复与多场景验证，保障页面加载流畅、数据展示正常。 委托卖房模块查询列表选项中新增禁用状态判断逻辑，完善交互规则与数据约束，并配合后端完成联调测试与功能校验，确保查询逻辑严谨、流程合规。 平台官网 推进企业一件事模块接口对接与调试工作，完成接口适配、参数校验及功能联调，保障功能正常落地。 参考小程序页面传参规范，修改平台新房、二手房、查封、历史遗留等列表筛选传参逻辑，统一参数格式与交互标准。</t>
  </si>
  <si>
    <t>梁超</t>
  </si>
  <si>
    <t>1.展厅和业务端企业一件事接口编写联调；
2.个人收藏类别调整，展厅和小程序端相关查询接口梳理优化；
3.公示平台区分新房，历史遗留房产，pc，小程序，业务端功能调整联调；
4.地图找房搜索优化按城区、商圈范围搜索；</t>
  </si>
  <si>
    <t>赵敬</t>
  </si>
  <si>
    <t>1.调整小程序端首页slogan样式；和前端沟通调整首页主图标间距的问题，首页/收藏/我的办件三个TAB选项卡统一样式的问题。
2.按照需求完成设计联合资产小程序端页。包括首页简介弹窗、金刚区所有图标、推荐房源等。</t>
  </si>
  <si>
    <t>冯庆召</t>
  </si>
  <si>
    <t>1.批量导入房源以及房源录入新增房源后台逻辑修改同前台对接、功能调试、数据确认；
2.小程序委托生成房源，已经委托的房源不能进行委托逻辑修改，保证平台唯一房源，并测试；</t>
  </si>
  <si>
    <t>许兴欣</t>
  </si>
  <si>
    <t>根据客户要求优化房源展厅PC端内容，调整首页、新房、二手房、查封不动产展示、历史遗留、企业一件事等功能</t>
  </si>
  <si>
    <t>赵旺</t>
  </si>
  <si>
    <t>蔡高情</t>
  </si>
  <si>
    <t>功能测试</t>
  </si>
  <si>
    <t>亓俣辰</t>
  </si>
  <si>
    <t>1. 项目测试进度推进；
2. 联合资产小程序优化进度（房源展厅pc+小程序，业务后台，企业一件事、地图找房、地铁找房、房源管理统一房源等功能设计）推进；
3. 联合资产版本发布；
4. 项目材料整理；</t>
  </si>
  <si>
    <t>项目进度推进，相关需求沟通</t>
  </si>
  <si>
    <t xml:space="preserve">车位使用权公证备案平台
项目编号：22250829HF
</t>
  </si>
  <si>
    <t xml:space="preserve">汇房云经纪人
项目编号：21250418
</t>
  </si>
  <si>
    <t>在线合同签署整体对接,项目数据运维，枣庄，滨州新房</t>
  </si>
  <si>
    <t>在线合同签署前端页面 开发与对接</t>
  </si>
  <si>
    <t>在线合同签署开发推进，演示准备，客户现场沟通，需求调研</t>
  </si>
  <si>
    <t>设计</t>
  </si>
  <si>
    <t>B端签署图标设计</t>
  </si>
  <si>
    <t xml:space="preserve">汇房云培训考试
项目编号：
</t>
  </si>
  <si>
    <t>卓识网安业务平台系统
项目编号：22251028HFJ</t>
  </si>
  <si>
    <t>修复异地备案、项目清单等bug。优化项目状态流程，客户现场支持</t>
  </si>
  <si>
    <t>安震</t>
  </si>
  <si>
    <t>三阶段bug修改，页面支持，需求沟通</t>
  </si>
  <si>
    <t>王恒通</t>
  </si>
  <si>
    <t>卓识验收问题支持</t>
  </si>
  <si>
    <t>测试</t>
  </si>
  <si>
    <t>公司内部系统维护升级项目
项目编号：21250801J</t>
  </si>
  <si>
    <t>阳信房产超市运维</t>
  </si>
  <si>
    <t>基础平台
21250807J</t>
  </si>
  <si>
    <t xml:space="preserve">日照银行智慧社区维护与升级
项目编号：22210906
</t>
  </si>
  <si>
    <t>橙e伴PC端对接智惠e家对客管理端</t>
  </si>
  <si>
    <t>纪立宁</t>
  </si>
  <si>
    <t>菜品优选支持餐补</t>
  </si>
  <si>
    <t>王玉莹</t>
  </si>
  <si>
    <t>优化</t>
  </si>
  <si>
    <t>宜当生活白鹭湾专区对接智惠e家部分功能</t>
  </si>
  <si>
    <t>韩华斌</t>
  </si>
  <si>
    <t>开发对接中</t>
  </si>
  <si>
    <t>孙丁华</t>
  </si>
  <si>
    <t>行内闲置资产共享平台前端配合改造项目</t>
  </si>
  <si>
    <t>智惠e家”智慧餐厅、智慧社区系统功能优化（智惠e家增加寻车功能及对接碳惠日照）</t>
  </si>
  <si>
    <t>王德贤</t>
  </si>
  <si>
    <t>菜品优选二期</t>
  </si>
  <si>
    <t>“智惠e家”智慧餐厅、智慧社区系统功能优化（即墨区机关事务服务中心智慧餐厅项目系统功能优化-第三批次）</t>
  </si>
  <si>
    <t>识别性能优化</t>
  </si>
  <si>
    <t>智慧场景优化项目群（日照市人民医院本部餐厅、莒县人民法院智慧餐厅功能优化）</t>
  </si>
  <si>
    <t>智惠e家社区对接大华ICC社区通行设备</t>
  </si>
  <si>
    <t>正常开发推进</t>
  </si>
  <si>
    <t>需求</t>
  </si>
  <si>
    <t>智慧餐厅移动端全量接入宜当生活</t>
  </si>
  <si>
    <t>需求对接中</t>
  </si>
  <si>
    <t>安全保卫部智慧园区功能优化</t>
  </si>
  <si>
    <t>社区访客通行以及押金缴费退款需求</t>
  </si>
  <si>
    <t>漏洞修复、测试、发版、运维</t>
  </si>
  <si>
    <t>潘春雷</t>
  </si>
  <si>
    <t>三方复测</t>
  </si>
  <si>
    <t>2026年行政管理部“行政后勤管理平台”方案需求</t>
  </si>
  <si>
    <t>韩化斌</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</si>
</sst>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_);[Red]\(0.00\)"/>
  </numFmts>
  <fonts count="46">
    <font>
      <sz val="11"/>
      <color theme="1"/>
      <name val="等线"/>
      <charset val="134"/>
      <scheme val="minor"/>
    </font>
    <font>
      <sz val="10"/>
      <color theme="1"/>
      <name val="等线"/>
      <charset val="134"/>
      <scheme val="minor"/>
    </font>
    <font>
      <sz val="12"/>
      <color rgb="FF000000"/>
      <name val="微软雅黑"/>
      <charset val="134"/>
    </font>
    <font>
      <sz val="10"/>
      <color rgb="FF000000"/>
      <name val="等线"/>
      <charset val="134"/>
      <scheme val="minor"/>
    </font>
    <font>
      <sz val="11"/>
      <color rgb="FF000000"/>
      <name val="微软雅黑"/>
      <charset val="134"/>
    </font>
    <font>
      <sz val="10"/>
      <color rgb="FF000000"/>
      <name val="微软雅黑"/>
      <charset val="134"/>
    </font>
    <font>
      <sz val="10"/>
      <color theme="1"/>
      <name val="等线"/>
      <charset val="134"/>
      <scheme val="minor"/>
    </font>
    <font>
      <sz val="12"/>
      <color rgb="FF000000"/>
      <name val="宋体"/>
      <charset val="134"/>
    </font>
    <font>
      <sz val="10"/>
      <color rgb="FF000000"/>
      <name val="等线"/>
      <charset val="134"/>
      <scheme val="minor"/>
    </font>
    <font>
      <sz val="9"/>
      <color rgb="FF000000"/>
      <name val="宋体"/>
      <charset val="134"/>
    </font>
    <font>
      <sz val="10"/>
      <color rgb="FF000000"/>
      <name val="宋体"/>
      <charset val="134"/>
    </font>
    <font>
      <sz val="11"/>
      <color rgb="FF000000"/>
      <name val="宋体"/>
      <charset val="134"/>
    </font>
    <font>
      <sz val="10"/>
      <color theme="1"/>
      <name val="等线"/>
      <charset val="134"/>
      <scheme val="minor"/>
    </font>
    <font>
      <sz val="12"/>
      <color rgb="FF000000"/>
      <name val="微软雅黑"/>
      <charset val="134"/>
    </font>
    <font>
      <sz val="11"/>
      <color rgb="FF000000"/>
      <name val="微软雅黑"/>
      <charset val="134"/>
    </font>
    <font>
      <sz val="10"/>
      <color rgb="FF000000"/>
      <name val="微软雅黑"/>
      <charset val="134"/>
    </font>
    <font>
      <sz val="10"/>
      <color rgb="FFFF0000"/>
      <name val="等线"/>
      <charset val="134"/>
      <scheme val="minor"/>
    </font>
    <font>
      <sz val="12"/>
      <color rgb="FF000000"/>
      <name val="等线"/>
      <charset val="134"/>
      <scheme val="minor"/>
    </font>
    <font>
      <sz val="9"/>
      <color rgb="FF000000"/>
      <name val="等线"/>
      <charset val="134"/>
      <scheme val="minor"/>
    </font>
    <font>
      <b/>
      <sz val="14"/>
      <color theme="1"/>
      <name val="微软雅黑"/>
      <charset val="134"/>
    </font>
    <font>
      <sz val="12"/>
      <color theme="1"/>
      <name val="微软雅黑"/>
      <charset val="134"/>
    </font>
    <font>
      <sz val="11"/>
      <color theme="1"/>
      <name val="微软雅黑"/>
      <charset val="134"/>
    </font>
    <font>
      <b/>
      <sz val="11"/>
      <color rgb="FFFF000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宋体"/>
      <charset val="134"/>
    </font>
    <font>
      <sz val="11"/>
      <name val="宋体"/>
      <charset val="134"/>
    </font>
    <font>
      <b/>
      <sz val="9"/>
      <name val="宋体"/>
      <charset val="134"/>
    </font>
    <font>
      <sz val="9"/>
      <name val="宋体"/>
      <charset val="134"/>
    </font>
  </fonts>
  <fills count="37">
    <fill>
      <patternFill patternType="none"/>
    </fill>
    <fill>
      <patternFill patternType="gray125"/>
    </fill>
    <fill>
      <patternFill patternType="solid">
        <fgColor indexed="65"/>
        <bgColor indexed="64"/>
      </patternFill>
    </fill>
    <fill>
      <patternFill patternType="solid">
        <fgColor rgb="FFFFFF00"/>
        <bgColor indexed="64"/>
      </patternFill>
    </fill>
    <fill>
      <patternFill patternType="solid">
        <fgColor theme="0" tint="-0.149998474074526"/>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auto="1"/>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auto="1"/>
      </top>
      <bottom style="thin">
        <color auto="1"/>
      </bottom>
      <diagonal/>
    </border>
    <border>
      <left/>
      <right style="thin">
        <color rgb="FF000000"/>
      </right>
      <top style="thin">
        <color auto="1"/>
      </top>
      <bottom style="thin">
        <color auto="1"/>
      </bottom>
      <diagonal/>
    </border>
    <border>
      <left style="thin">
        <color rgb="FF000000"/>
      </left>
      <right/>
      <top/>
      <bottom style="thin">
        <color rgb="FF000000"/>
      </bottom>
      <diagonal/>
    </border>
    <border>
      <left style="thin">
        <color auto="1"/>
      </left>
      <right style="thin">
        <color auto="1"/>
      </right>
      <top style="thin">
        <color rgb="FF000000"/>
      </top>
      <bottom/>
      <diagonal/>
    </border>
    <border>
      <left style="thin">
        <color auto="1"/>
      </left>
      <right style="thin">
        <color auto="1"/>
      </right>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176"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6" borderId="26"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27" applyNumberFormat="0" applyFill="0" applyAlignment="0" applyProtection="0">
      <alignment vertical="center"/>
    </xf>
    <xf numFmtId="0" fontId="29" fillId="0" borderId="27" applyNumberFormat="0" applyFill="0" applyAlignment="0" applyProtection="0">
      <alignment vertical="center"/>
    </xf>
    <xf numFmtId="0" fontId="30" fillId="0" borderId="28" applyNumberFormat="0" applyFill="0" applyAlignment="0" applyProtection="0">
      <alignment vertical="center"/>
    </xf>
    <xf numFmtId="0" fontId="30" fillId="0" borderId="0" applyNumberFormat="0" applyFill="0" applyBorder="0" applyAlignment="0" applyProtection="0">
      <alignment vertical="center"/>
    </xf>
    <xf numFmtId="0" fontId="31" fillId="7" borderId="29" applyNumberFormat="0" applyAlignment="0" applyProtection="0">
      <alignment vertical="center"/>
    </xf>
    <xf numFmtId="0" fontId="32" fillId="8" borderId="30" applyNumberFormat="0" applyAlignment="0" applyProtection="0">
      <alignment vertical="center"/>
    </xf>
    <xf numFmtId="0" fontId="33" fillId="8" borderId="29" applyNumberFormat="0" applyAlignment="0" applyProtection="0">
      <alignment vertical="center"/>
    </xf>
    <xf numFmtId="0" fontId="34" fillId="9" borderId="31" applyNumberFormat="0" applyAlignment="0" applyProtection="0">
      <alignment vertical="center"/>
    </xf>
    <xf numFmtId="0" fontId="35" fillId="0" borderId="32" applyNumberFormat="0" applyFill="0" applyAlignment="0" applyProtection="0">
      <alignment vertical="center"/>
    </xf>
    <xf numFmtId="0" fontId="36" fillId="0" borderId="33" applyNumberFormat="0" applyFill="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9" fillId="12" borderId="0" applyNumberFormat="0" applyBorder="0" applyAlignment="0" applyProtection="0">
      <alignment vertical="center"/>
    </xf>
    <xf numFmtId="0" fontId="40" fillId="13"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41" fillId="34" borderId="0" applyNumberFormat="0" applyBorder="0" applyAlignment="0" applyProtection="0">
      <alignment vertical="center"/>
    </xf>
    <xf numFmtId="0" fontId="41" fillId="35" borderId="0" applyNumberFormat="0" applyBorder="0" applyAlignment="0" applyProtection="0">
      <alignment vertical="center"/>
    </xf>
    <xf numFmtId="0" fontId="40" fillId="36" borderId="0" applyNumberFormat="0" applyBorder="0" applyAlignment="0" applyProtection="0">
      <alignment vertical="center"/>
    </xf>
    <xf numFmtId="9" fontId="42" fillId="0" borderId="0" applyFont="0" applyFill="0" applyBorder="0" applyAlignment="0" applyProtection="0">
      <alignment vertical="center"/>
    </xf>
    <xf numFmtId="9" fontId="0" fillId="0" borderId="0" applyFont="0" applyFill="0" applyBorder="0" applyAlignment="0" applyProtection="0">
      <alignment vertical="center"/>
    </xf>
    <xf numFmtId="176" fontId="42" fillId="0" borderId="0">
      <alignment vertical="center"/>
    </xf>
    <xf numFmtId="176" fontId="42" fillId="0" borderId="0">
      <alignment vertical="center"/>
    </xf>
    <xf numFmtId="176" fontId="1" fillId="0" borderId="0">
      <alignment vertical="center"/>
    </xf>
    <xf numFmtId="0" fontId="1" fillId="0" borderId="0">
      <alignment vertical="center"/>
    </xf>
    <xf numFmtId="0" fontId="42" fillId="0" borderId="0">
      <alignment vertical="center"/>
    </xf>
    <xf numFmtId="176" fontId="42" fillId="0" borderId="0">
      <alignment vertical="center"/>
    </xf>
    <xf numFmtId="176" fontId="42" fillId="0" borderId="0">
      <alignment vertical="center"/>
    </xf>
    <xf numFmtId="176" fontId="42" fillId="0" borderId="0">
      <alignment vertical="center"/>
    </xf>
    <xf numFmtId="176" fontId="43" fillId="0" borderId="0">
      <alignment vertical="center"/>
    </xf>
    <xf numFmtId="176" fontId="42" fillId="0" borderId="0">
      <alignment vertical="center"/>
    </xf>
    <xf numFmtId="176" fontId="42" fillId="0" borderId="0">
      <alignment vertical="center"/>
    </xf>
    <xf numFmtId="176" fontId="42" fillId="0" borderId="0">
      <alignment vertical="center"/>
    </xf>
    <xf numFmtId="176" fontId="42" fillId="0" borderId="0" applyBorder="0">
      <alignment vertical="center"/>
    </xf>
  </cellStyleXfs>
  <cellXfs count="348">
    <xf numFmtId="176" fontId="0" fillId="0" borderId="0" xfId="0"/>
    <xf numFmtId="0" fontId="1" fillId="0" borderId="0" xfId="0" applyNumberFormat="1" applyFont="1" applyFill="1" applyAlignment="1">
      <alignment vertical="center" wrapText="1"/>
    </xf>
    <xf numFmtId="0" fontId="1" fillId="0" borderId="0" xfId="0" applyNumberFormat="1" applyFont="1" applyFill="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left" vertical="center" wrapText="1"/>
    </xf>
    <xf numFmtId="9" fontId="2"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xf>
    <xf numFmtId="0" fontId="3" fillId="0" borderId="0" xfId="0" applyNumberFormat="1" applyFont="1" applyFill="1" applyAlignment="1">
      <alignment vertical="center"/>
    </xf>
    <xf numFmtId="0" fontId="2" fillId="0"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xf>
    <xf numFmtId="0"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xf>
    <xf numFmtId="0"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wrapText="1"/>
    </xf>
    <xf numFmtId="0" fontId="5" fillId="2" borderId="1" xfId="0" applyNumberFormat="1" applyFont="1" applyFill="1" applyBorder="1" applyAlignment="1">
      <alignment horizontal="center" vertical="center" wrapText="1"/>
    </xf>
    <xf numFmtId="9" fontId="5"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xf>
    <xf numFmtId="0" fontId="2" fillId="0" borderId="3"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xf>
    <xf numFmtId="0" fontId="5" fillId="0" borderId="3"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xf>
    <xf numFmtId="0" fontId="5" fillId="0" borderId="1" xfId="0" applyNumberFormat="1" applyFont="1" applyFill="1" applyBorder="1" applyAlignment="1">
      <alignment horizontal="left" vertical="center"/>
    </xf>
    <xf numFmtId="0" fontId="5" fillId="0" borderId="2" xfId="0" applyNumberFormat="1" applyFont="1" applyFill="1" applyBorder="1" applyAlignment="1">
      <alignment horizontal="left" vertical="center" wrapText="1"/>
    </xf>
    <xf numFmtId="9" fontId="5" fillId="0" borderId="2" xfId="0" applyNumberFormat="1" applyFont="1" applyFill="1" applyBorder="1" applyAlignment="1">
      <alignment horizontal="center" vertical="center" wrapText="1"/>
    </xf>
    <xf numFmtId="0" fontId="5" fillId="0" borderId="3" xfId="0" applyNumberFormat="1" applyFont="1" applyFill="1" applyBorder="1" applyAlignment="1">
      <alignment horizontal="left" vertical="center" wrapText="1"/>
    </xf>
    <xf numFmtId="9" fontId="5" fillId="0" borderId="3" xfId="0" applyNumberFormat="1" applyFont="1" applyFill="1" applyBorder="1" applyAlignment="1">
      <alignment horizontal="center" vertical="center" wrapText="1"/>
    </xf>
    <xf numFmtId="0" fontId="5" fillId="0" borderId="4" xfId="0" applyNumberFormat="1" applyFont="1" applyFill="1" applyBorder="1" applyAlignment="1">
      <alignment horizontal="center" vertical="center" wrapText="1"/>
    </xf>
    <xf numFmtId="0" fontId="5" fillId="0" borderId="4" xfId="0" applyNumberFormat="1" applyFont="1" applyFill="1" applyBorder="1" applyAlignment="1">
      <alignment horizontal="left" vertical="center" wrapText="1"/>
    </xf>
    <xf numFmtId="9" fontId="5" fillId="0" borderId="4"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5" fillId="0" borderId="4" xfId="0" applyNumberFormat="1" applyFont="1" applyFill="1" applyBorder="1" applyAlignment="1">
      <alignment horizontal="center" vertical="center"/>
    </xf>
    <xf numFmtId="0" fontId="5" fillId="3" borderId="1" xfId="0" applyNumberFormat="1" applyFont="1" applyFill="1" applyBorder="1" applyAlignment="1">
      <alignment horizontal="center" vertical="center"/>
    </xf>
    <xf numFmtId="9" fontId="5" fillId="3" borderId="1" xfId="0" applyNumberFormat="1" applyFont="1" applyFill="1" applyBorder="1" applyAlignment="1">
      <alignment vertical="center"/>
    </xf>
    <xf numFmtId="0" fontId="5" fillId="3" borderId="1" xfId="0" applyNumberFormat="1" applyFont="1" applyFill="1" applyBorder="1" applyAlignment="1">
      <alignment vertical="center"/>
    </xf>
    <xf numFmtId="177" fontId="5" fillId="3" borderId="1" xfId="0" applyNumberFormat="1" applyFont="1" applyFill="1" applyBorder="1" applyAlignment="1">
      <alignment horizontal="center" vertical="center"/>
    </xf>
    <xf numFmtId="0" fontId="4" fillId="0" borderId="1" xfId="0" applyNumberFormat="1" applyFont="1" applyFill="1" applyBorder="1" applyAlignment="1">
      <alignment horizontal="left" vertical="center" wrapText="1"/>
    </xf>
    <xf numFmtId="9" fontId="5" fillId="0" borderId="1" xfId="0" applyNumberFormat="1" applyFont="1" applyFill="1" applyBorder="1" applyAlignment="1">
      <alignment horizontal="center" vertical="center"/>
    </xf>
    <xf numFmtId="177" fontId="5" fillId="0" borderId="1" xfId="0" applyNumberFormat="1" applyFont="1" applyFill="1" applyBorder="1" applyAlignment="1">
      <alignment horizontal="center" vertical="center"/>
    </xf>
    <xf numFmtId="0" fontId="1" fillId="0" borderId="3"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0" fontId="1" fillId="0" borderId="0" xfId="0" applyNumberFormat="1" applyFont="1" applyFill="1" applyBorder="1" applyAlignment="1">
      <alignment horizontal="center" vertical="center" wrapText="1"/>
    </xf>
    <xf numFmtId="0" fontId="0" fillId="0" borderId="0" xfId="0" applyNumberFormat="1" applyAlignment="1">
      <alignment vertical="center"/>
    </xf>
    <xf numFmtId="0"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xf>
    <xf numFmtId="0" fontId="2" fillId="0" borderId="1" xfId="0" applyNumberFormat="1" applyFont="1" applyBorder="1" applyAlignment="1">
      <alignment horizontal="left" vertical="center" wrapText="1"/>
    </xf>
    <xf numFmtId="9" fontId="2" fillId="0" borderId="1" xfId="0" applyNumberFormat="1" applyFont="1" applyBorder="1" applyAlignment="1">
      <alignment horizontal="center" vertical="center" wrapText="1"/>
    </xf>
    <xf numFmtId="177" fontId="2" fillId="0" borderId="1" xfId="0" applyNumberFormat="1" applyFont="1" applyBorder="1" applyAlignment="1">
      <alignment horizontal="center" vertical="center"/>
    </xf>
    <xf numFmtId="0" fontId="3" fillId="0" borderId="0" xfId="0" applyNumberFormat="1" applyFont="1" applyAlignment="1">
      <alignment vertical="center"/>
    </xf>
    <xf numFmtId="0" fontId="4" fillId="0" borderId="1" xfId="0" applyNumberFormat="1" applyFont="1" applyBorder="1" applyAlignment="1">
      <alignment horizontal="center" vertical="center"/>
    </xf>
    <xf numFmtId="9" fontId="5"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xf>
    <xf numFmtId="0" fontId="5" fillId="0" borderId="2" xfId="0" applyNumberFormat="1" applyFont="1" applyBorder="1" applyAlignment="1">
      <alignment horizontal="center" vertical="center" wrapText="1"/>
    </xf>
    <xf numFmtId="0" fontId="5" fillId="0" borderId="1" xfId="0" applyNumberFormat="1" applyFont="1" applyBorder="1" applyAlignment="1">
      <alignment horizontal="left" vertical="center" wrapText="1"/>
    </xf>
    <xf numFmtId="177" fontId="5" fillId="2" borderId="1" xfId="0" applyNumberFormat="1" applyFont="1" applyFill="1" applyBorder="1" applyAlignment="1">
      <alignment horizontal="center" vertical="center"/>
    </xf>
    <xf numFmtId="0" fontId="5" fillId="0" borderId="3" xfId="0" applyNumberFormat="1" applyFont="1" applyBorder="1" applyAlignment="1">
      <alignment horizontal="center" vertical="center" wrapText="1"/>
    </xf>
    <xf numFmtId="0" fontId="5" fillId="2" borderId="1" xfId="0" applyNumberFormat="1" applyFont="1" applyFill="1" applyBorder="1" applyAlignment="1">
      <alignment horizontal="center" vertical="center"/>
    </xf>
    <xf numFmtId="0" fontId="5" fillId="2" borderId="1" xfId="0" applyNumberFormat="1" applyFont="1" applyFill="1" applyBorder="1" applyAlignment="1">
      <alignment horizontal="left" vertical="center" wrapText="1"/>
    </xf>
    <xf numFmtId="9" fontId="5" fillId="2" borderId="1" xfId="0" applyNumberFormat="1" applyFont="1" applyFill="1" applyBorder="1" applyAlignment="1">
      <alignment horizontal="center" vertical="center"/>
    </xf>
    <xf numFmtId="0" fontId="5" fillId="2" borderId="1" xfId="0" applyNumberFormat="1" applyFont="1" applyFill="1" applyBorder="1" applyAlignment="1">
      <alignment vertical="center"/>
    </xf>
    <xf numFmtId="0" fontId="5" fillId="2" borderId="2" xfId="0" applyNumberFormat="1" applyFont="1" applyFill="1" applyBorder="1" applyAlignment="1">
      <alignment horizontal="left" vertical="center" wrapText="1"/>
    </xf>
    <xf numFmtId="0" fontId="0" fillId="0" borderId="0" xfId="0" applyNumberFormat="1"/>
    <xf numFmtId="0" fontId="5" fillId="2" borderId="5" xfId="0" applyNumberFormat="1" applyFont="1" applyFill="1" applyBorder="1" applyAlignment="1">
      <alignment horizontal="center" vertical="center"/>
    </xf>
    <xf numFmtId="0" fontId="5" fillId="2" borderId="6" xfId="0" applyNumberFormat="1" applyFont="1" applyFill="1" applyBorder="1" applyAlignment="1">
      <alignment horizontal="left" vertical="center" wrapText="1"/>
    </xf>
    <xf numFmtId="0" fontId="5" fillId="2" borderId="7" xfId="0" applyNumberFormat="1" applyFont="1" applyFill="1" applyBorder="1" applyAlignment="1">
      <alignment horizontal="center" vertical="center"/>
    </xf>
    <xf numFmtId="9" fontId="5" fillId="2" borderId="2" xfId="0" applyNumberFormat="1" applyFont="1" applyFill="1" applyBorder="1" applyAlignment="1">
      <alignment horizontal="center" vertical="center"/>
    </xf>
    <xf numFmtId="0" fontId="5" fillId="2" borderId="8" xfId="0" applyNumberFormat="1" applyFont="1" applyFill="1" applyBorder="1" applyAlignment="1">
      <alignment horizontal="center" vertical="center"/>
    </xf>
    <xf numFmtId="9" fontId="5" fillId="2" borderId="6" xfId="0" applyNumberFormat="1" applyFont="1" applyFill="1" applyBorder="1" applyAlignment="1">
      <alignment horizontal="center" vertical="center"/>
    </xf>
    <xf numFmtId="0" fontId="5" fillId="2" borderId="7" xfId="0" applyNumberFormat="1" applyFont="1" applyFill="1" applyBorder="1" applyAlignment="1">
      <alignment vertical="center"/>
    </xf>
    <xf numFmtId="0" fontId="5" fillId="0" borderId="4" xfId="0" applyNumberFormat="1" applyFont="1" applyBorder="1" applyAlignment="1">
      <alignment horizontal="center" vertical="center" wrapText="1"/>
    </xf>
    <xf numFmtId="0" fontId="5" fillId="2" borderId="6" xfId="0" applyNumberFormat="1" applyFont="1" applyFill="1" applyBorder="1"/>
    <xf numFmtId="0" fontId="5" fillId="3" borderId="4" xfId="0" applyNumberFormat="1" applyFont="1" applyFill="1" applyBorder="1" applyAlignment="1">
      <alignment horizontal="center" vertical="center"/>
    </xf>
    <xf numFmtId="9" fontId="5" fillId="3" borderId="4" xfId="0" applyNumberFormat="1" applyFont="1" applyFill="1" applyBorder="1" applyAlignment="1">
      <alignment vertical="center"/>
    </xf>
    <xf numFmtId="0" fontId="4" fillId="0" borderId="1" xfId="0" applyNumberFormat="1" applyFont="1" applyBorder="1" applyAlignment="1">
      <alignment horizontal="left" vertical="center" wrapText="1"/>
    </xf>
    <xf numFmtId="9" fontId="5" fillId="0" borderId="1" xfId="0" applyNumberFormat="1" applyFont="1" applyBorder="1" applyAlignment="1">
      <alignment horizontal="center" vertical="center"/>
    </xf>
    <xf numFmtId="0" fontId="5" fillId="0" borderId="1" xfId="0" applyNumberFormat="1" applyFont="1" applyBorder="1" applyAlignment="1">
      <alignment horizontal="left" vertical="center"/>
    </xf>
    <xf numFmtId="177" fontId="5" fillId="0" borderId="1" xfId="0" applyNumberFormat="1" applyFont="1" applyBorder="1" applyAlignment="1">
      <alignment horizontal="center" vertical="center"/>
    </xf>
    <xf numFmtId="0" fontId="0" fillId="0" borderId="3" xfId="0" applyNumberFormat="1" applyBorder="1"/>
    <xf numFmtId="0" fontId="0" fillId="0" borderId="4" xfId="0" applyNumberFormat="1" applyBorder="1"/>
    <xf numFmtId="0" fontId="5" fillId="0" borderId="4" xfId="0" applyNumberFormat="1" applyFont="1" applyBorder="1" applyAlignment="1">
      <alignment wrapText="1"/>
    </xf>
    <xf numFmtId="9" fontId="5" fillId="0" borderId="2" xfId="0" applyNumberFormat="1" applyFont="1" applyBorder="1" applyAlignment="1">
      <alignment horizontal="center" vertical="center" wrapText="1"/>
    </xf>
    <xf numFmtId="0" fontId="5" fillId="0" borderId="2" xfId="0" applyNumberFormat="1" applyFont="1" applyBorder="1" applyAlignment="1">
      <alignment horizontal="left" vertical="center" wrapText="1"/>
    </xf>
    <xf numFmtId="0" fontId="5" fillId="0" borderId="5" xfId="0" applyNumberFormat="1" applyFont="1" applyBorder="1" applyAlignment="1">
      <alignment horizontal="left" vertical="center" wrapText="1"/>
    </xf>
    <xf numFmtId="9" fontId="5" fillId="0" borderId="6" xfId="0" applyNumberFormat="1" applyFont="1" applyBorder="1" applyAlignment="1">
      <alignment horizontal="center" vertical="center" wrapText="1"/>
    </xf>
    <xf numFmtId="0" fontId="5" fillId="0" borderId="7" xfId="0" applyNumberFormat="1" applyFont="1" applyBorder="1" applyAlignment="1">
      <alignment horizontal="center" vertical="center" wrapText="1"/>
    </xf>
    <xf numFmtId="0" fontId="5" fillId="0" borderId="4" xfId="0" applyNumberFormat="1" applyFont="1" applyBorder="1" applyAlignment="1">
      <alignment horizontal="left" vertical="center" wrapText="1"/>
    </xf>
    <xf numFmtId="9" fontId="5" fillId="0" borderId="4" xfId="0" applyNumberFormat="1" applyFont="1" applyBorder="1" applyAlignment="1">
      <alignment horizontal="center" vertical="center" wrapText="1"/>
    </xf>
    <xf numFmtId="0" fontId="6" fillId="0" borderId="0" xfId="0" applyNumberFormat="1" applyFont="1" applyFill="1" applyAlignment="1">
      <alignment vertical="center" wrapText="1"/>
    </xf>
    <xf numFmtId="0" fontId="6" fillId="0" borderId="0" xfId="0" applyNumberFormat="1" applyFont="1" applyFill="1" applyAlignment="1">
      <alignment horizontal="center" vertical="center" wrapText="1"/>
    </xf>
    <xf numFmtId="0" fontId="7" fillId="0" borderId="1" xfId="0" applyNumberFormat="1" applyFont="1" applyFill="1" applyBorder="1" applyAlignment="1">
      <alignment horizontal="center" vertical="center" wrapText="1"/>
    </xf>
    <xf numFmtId="0" fontId="7" fillId="0" borderId="1" xfId="0" applyNumberFormat="1" applyFont="1" applyFill="1" applyBorder="1" applyAlignment="1">
      <alignment horizontal="center" vertical="center"/>
    </xf>
    <xf numFmtId="0" fontId="7" fillId="0" borderId="1" xfId="0" applyNumberFormat="1" applyFont="1" applyFill="1" applyBorder="1" applyAlignment="1">
      <alignment horizontal="left" vertical="center" wrapText="1"/>
    </xf>
    <xf numFmtId="9" fontId="7" fillId="0" borderId="1" xfId="0" applyNumberFormat="1" applyFont="1" applyFill="1" applyBorder="1" applyAlignment="1">
      <alignment horizontal="center" vertical="center" wrapText="1"/>
    </xf>
    <xf numFmtId="177" fontId="7" fillId="0" borderId="1" xfId="0" applyNumberFormat="1" applyFont="1" applyFill="1" applyBorder="1" applyAlignment="1">
      <alignment horizontal="center" vertical="center"/>
    </xf>
    <xf numFmtId="0" fontId="8" fillId="0" borderId="0" xfId="0" applyNumberFormat="1" applyFont="1" applyFill="1" applyAlignment="1">
      <alignment vertical="center"/>
    </xf>
    <xf numFmtId="0" fontId="7" fillId="0" borderId="9" xfId="0" applyNumberFormat="1" applyFont="1" applyFill="1" applyBorder="1" applyAlignment="1">
      <alignment horizontal="center" vertical="center" wrapText="1"/>
    </xf>
    <xf numFmtId="0" fontId="9" fillId="0" borderId="9" xfId="0" applyNumberFormat="1" applyFont="1" applyFill="1" applyBorder="1" applyAlignment="1">
      <alignment horizontal="center" vertical="center"/>
    </xf>
    <xf numFmtId="9" fontId="10" fillId="0" borderId="9" xfId="0" applyNumberFormat="1" applyFont="1" applyFill="1" applyBorder="1" applyAlignment="1">
      <alignment horizontal="center" vertical="center" wrapText="1"/>
    </xf>
    <xf numFmtId="0" fontId="10" fillId="0" borderId="9" xfId="0" applyNumberFormat="1" applyFont="1" applyFill="1" applyBorder="1" applyAlignment="1">
      <alignment horizontal="center" vertical="center" wrapText="1"/>
    </xf>
    <xf numFmtId="0" fontId="10" fillId="0" borderId="9" xfId="0" applyNumberFormat="1" applyFont="1" applyFill="1" applyBorder="1" applyAlignment="1">
      <alignment horizontal="center" vertical="center"/>
    </xf>
    <xf numFmtId="0" fontId="10" fillId="0" borderId="6" xfId="0" applyNumberFormat="1" applyFont="1" applyFill="1" applyBorder="1" applyAlignment="1">
      <alignment horizontal="center" vertical="center" wrapText="1"/>
    </xf>
    <xf numFmtId="0" fontId="10" fillId="0" borderId="6" xfId="0" applyNumberFormat="1" applyFont="1" applyFill="1" applyBorder="1" applyAlignment="1">
      <alignment horizontal="left" vertical="center" wrapText="1"/>
    </xf>
    <xf numFmtId="9" fontId="10" fillId="0" borderId="6" xfId="0" applyNumberFormat="1" applyFont="1" applyFill="1" applyBorder="1" applyAlignment="1">
      <alignment horizontal="center" vertical="center" wrapText="1"/>
    </xf>
    <xf numFmtId="177" fontId="10" fillId="0" borderId="6" xfId="0" applyNumberFormat="1" applyFont="1" applyFill="1" applyBorder="1" applyAlignment="1">
      <alignment horizontal="center" vertical="center"/>
    </xf>
    <xf numFmtId="0" fontId="7" fillId="0" borderId="10" xfId="0" applyNumberFormat="1" applyFont="1" applyFill="1" applyBorder="1" applyAlignment="1">
      <alignment horizontal="center" vertical="center" wrapText="1"/>
    </xf>
    <xf numFmtId="0" fontId="9" fillId="0" borderId="10" xfId="0" applyNumberFormat="1" applyFont="1" applyFill="1" applyBorder="1" applyAlignment="1">
      <alignment horizontal="center" vertical="center"/>
    </xf>
    <xf numFmtId="0" fontId="10" fillId="0" borderId="10" xfId="0" applyNumberFormat="1" applyFont="1" applyFill="1" applyBorder="1" applyAlignment="1">
      <alignment horizontal="center" vertical="center" wrapText="1"/>
    </xf>
    <xf numFmtId="0" fontId="10" fillId="0" borderId="10" xfId="0" applyNumberFormat="1" applyFont="1" applyFill="1" applyBorder="1" applyAlignment="1">
      <alignment horizontal="center" vertical="center"/>
    </xf>
    <xf numFmtId="0" fontId="10" fillId="0" borderId="6" xfId="0" applyNumberFormat="1" applyFont="1" applyFill="1" applyBorder="1" applyAlignment="1">
      <alignment horizontal="center" vertical="center"/>
    </xf>
    <xf numFmtId="0" fontId="10" fillId="0" borderId="6" xfId="0" applyNumberFormat="1" applyFont="1" applyFill="1" applyBorder="1" applyAlignment="1">
      <alignment vertical="center" wrapText="1"/>
    </xf>
    <xf numFmtId="0" fontId="10" fillId="0" borderId="11" xfId="0" applyNumberFormat="1" applyFont="1" applyFill="1" applyBorder="1" applyAlignment="1">
      <alignment horizontal="center" vertical="center"/>
    </xf>
    <xf numFmtId="0" fontId="10" fillId="0" borderId="11" xfId="0" applyNumberFormat="1" applyFont="1" applyFill="1" applyBorder="1" applyAlignment="1">
      <alignment horizontal="center" vertical="center" wrapText="1"/>
    </xf>
    <xf numFmtId="0" fontId="10" fillId="3" borderId="12" xfId="0" applyNumberFormat="1" applyFont="1" applyFill="1" applyBorder="1" applyAlignment="1">
      <alignment horizontal="center" vertical="center"/>
    </xf>
    <xf numFmtId="0" fontId="10" fillId="3" borderId="13" xfId="0" applyNumberFormat="1" applyFont="1" applyFill="1" applyBorder="1" applyAlignment="1">
      <alignment horizontal="center" vertical="center"/>
    </xf>
    <xf numFmtId="0" fontId="10" fillId="3" borderId="14" xfId="0" applyNumberFormat="1" applyFont="1" applyFill="1" applyBorder="1" applyAlignment="1">
      <alignment horizontal="center" vertical="center"/>
    </xf>
    <xf numFmtId="0" fontId="10" fillId="3" borderId="6" xfId="0" applyNumberFormat="1" applyFont="1" applyFill="1" applyBorder="1" applyAlignment="1">
      <alignment horizontal="center" vertical="center"/>
    </xf>
    <xf numFmtId="9" fontId="10" fillId="3" borderId="6" xfId="0" applyNumberFormat="1" applyFont="1" applyFill="1" applyBorder="1" applyAlignment="1">
      <alignment vertical="center"/>
    </xf>
    <xf numFmtId="0" fontId="10" fillId="3" borderId="6" xfId="0" applyNumberFormat="1" applyFont="1" applyFill="1" applyBorder="1" applyAlignment="1">
      <alignment vertical="center"/>
    </xf>
    <xf numFmtId="177" fontId="10" fillId="3" borderId="6" xfId="0" applyNumberFormat="1" applyFont="1" applyFill="1" applyBorder="1" applyAlignment="1">
      <alignment horizontal="center" vertical="center"/>
    </xf>
    <xf numFmtId="0" fontId="10" fillId="0" borderId="15" xfId="0" applyNumberFormat="1" applyFont="1" applyFill="1" applyBorder="1" applyAlignment="1">
      <alignment horizontal="center" vertical="center"/>
    </xf>
    <xf numFmtId="0" fontId="11" fillId="0" borderId="6" xfId="0" applyNumberFormat="1" applyFont="1" applyFill="1" applyBorder="1" applyAlignment="1">
      <alignment vertical="center" wrapText="1"/>
    </xf>
    <xf numFmtId="9" fontId="10" fillId="0" borderId="6" xfId="0" applyNumberFormat="1" applyFont="1" applyFill="1" applyBorder="1" applyAlignment="1">
      <alignment horizontal="center" vertical="center"/>
    </xf>
    <xf numFmtId="0" fontId="7" fillId="0" borderId="11" xfId="0" applyNumberFormat="1" applyFont="1" applyFill="1" applyBorder="1" applyAlignment="1">
      <alignment horizontal="center" vertical="center" wrapText="1"/>
    </xf>
    <xf numFmtId="0" fontId="9" fillId="0" borderId="11" xfId="0" applyNumberFormat="1" applyFont="1" applyFill="1" applyBorder="1" applyAlignment="1">
      <alignment horizontal="center" vertical="center"/>
    </xf>
    <xf numFmtId="0" fontId="7" fillId="0" borderId="15" xfId="0" applyNumberFormat="1" applyFont="1" applyFill="1" applyBorder="1" applyAlignment="1">
      <alignment horizontal="center" vertical="center" wrapText="1"/>
    </xf>
    <xf numFmtId="0" fontId="9" fillId="0" borderId="15" xfId="0" applyNumberFormat="1" applyFont="1" applyFill="1" applyBorder="1" applyAlignment="1">
      <alignment horizontal="center" vertical="center"/>
    </xf>
    <xf numFmtId="9" fontId="10" fillId="0" borderId="15" xfId="0" applyNumberFormat="1" applyFont="1" applyFill="1" applyBorder="1" applyAlignment="1">
      <alignment horizontal="center" vertical="center" wrapText="1"/>
    </xf>
    <xf numFmtId="0" fontId="10" fillId="0" borderId="15" xfId="0" applyNumberFormat="1" applyFont="1" applyFill="1" applyBorder="1" applyAlignment="1">
      <alignment horizontal="center" vertical="center" wrapText="1"/>
    </xf>
    <xf numFmtId="0" fontId="10" fillId="0" borderId="0" xfId="0" applyNumberFormat="1" applyFont="1" applyFill="1" applyAlignment="1">
      <alignment horizontal="left" vertical="center" wrapText="1"/>
    </xf>
    <xf numFmtId="0" fontId="12" fillId="0" borderId="0" xfId="0" applyNumberFormat="1" applyFont="1" applyAlignment="1">
      <alignment vertical="center" wrapText="1"/>
    </xf>
    <xf numFmtId="0" fontId="12" fillId="0" borderId="0" xfId="0" applyNumberFormat="1" applyFont="1" applyAlignment="1">
      <alignment horizontal="center" vertical="center" wrapText="1"/>
    </xf>
    <xf numFmtId="0" fontId="13" fillId="0" borderId="1" xfId="0" applyNumberFormat="1" applyFont="1" applyBorder="1" applyAlignment="1">
      <alignment horizontal="center" vertical="center" wrapText="1"/>
    </xf>
    <xf numFmtId="0" fontId="13" fillId="0" borderId="1" xfId="0" applyNumberFormat="1" applyFont="1" applyBorder="1" applyAlignment="1">
      <alignment horizontal="center" vertical="center"/>
    </xf>
    <xf numFmtId="0" fontId="13" fillId="0" borderId="1" xfId="0" applyNumberFormat="1" applyFont="1" applyBorder="1" applyAlignment="1">
      <alignment horizontal="left" vertical="center" wrapText="1"/>
    </xf>
    <xf numFmtId="9" fontId="13" fillId="0" borderId="1" xfId="0" applyNumberFormat="1" applyFont="1" applyBorder="1" applyAlignment="1">
      <alignment horizontal="center" vertical="center" wrapText="1"/>
    </xf>
    <xf numFmtId="177" fontId="13" fillId="0" borderId="1" xfId="0" applyNumberFormat="1" applyFont="1" applyBorder="1" applyAlignment="1">
      <alignment horizontal="center" vertical="center"/>
    </xf>
    <xf numFmtId="0" fontId="8" fillId="0" borderId="0" xfId="0" applyNumberFormat="1" applyFont="1" applyAlignment="1">
      <alignment vertical="center"/>
    </xf>
    <xf numFmtId="0" fontId="14" fillId="0" borderId="1" xfId="0" applyNumberFormat="1" applyFont="1" applyBorder="1" applyAlignment="1">
      <alignment horizontal="center" vertical="center"/>
    </xf>
    <xf numFmtId="9" fontId="15" fillId="0" borderId="1" xfId="0" applyNumberFormat="1" applyFont="1" applyBorder="1" applyAlignment="1">
      <alignment horizontal="center" vertical="center" wrapText="1"/>
    </xf>
    <xf numFmtId="0" fontId="15" fillId="0" borderId="1" xfId="0" applyNumberFormat="1" applyFont="1" applyBorder="1" applyAlignment="1">
      <alignment horizontal="center" vertical="center" wrapText="1"/>
    </xf>
    <xf numFmtId="0" fontId="15" fillId="0" borderId="2" xfId="0" applyNumberFormat="1" applyFont="1" applyBorder="1" applyAlignment="1">
      <alignment horizontal="center" vertical="center"/>
    </xf>
    <xf numFmtId="0" fontId="15" fillId="0" borderId="2" xfId="0" applyNumberFormat="1"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2" borderId="1" xfId="0" applyNumberFormat="1" applyFont="1" applyFill="1" applyBorder="1" applyAlignment="1">
      <alignment horizontal="center" vertical="center" wrapText="1"/>
    </xf>
    <xf numFmtId="0" fontId="15" fillId="0" borderId="1" xfId="0" applyNumberFormat="1" applyFont="1" applyBorder="1" applyAlignment="1">
      <alignment horizontal="center" vertical="center"/>
    </xf>
    <xf numFmtId="0" fontId="15" fillId="3" borderId="1" xfId="0" applyNumberFormat="1" applyFont="1" applyFill="1" applyBorder="1" applyAlignment="1">
      <alignment horizontal="center" vertical="center"/>
    </xf>
    <xf numFmtId="9" fontId="15" fillId="3" borderId="1" xfId="0" applyNumberFormat="1" applyFont="1" applyFill="1" applyBorder="1" applyAlignment="1">
      <alignment vertical="center"/>
    </xf>
    <xf numFmtId="0" fontId="15" fillId="3" borderId="1" xfId="0" applyNumberFormat="1" applyFont="1" applyFill="1" applyBorder="1" applyAlignment="1">
      <alignment vertical="center"/>
    </xf>
    <xf numFmtId="177" fontId="15" fillId="3" borderId="1" xfId="0" applyNumberFormat="1" applyFont="1" applyFill="1" applyBorder="1" applyAlignment="1">
      <alignment horizontal="center" vertical="center"/>
    </xf>
    <xf numFmtId="9" fontId="15" fillId="0" borderId="1" xfId="0" applyNumberFormat="1" applyFont="1" applyBorder="1" applyAlignment="1">
      <alignment horizontal="center" vertical="center"/>
    </xf>
    <xf numFmtId="177" fontId="15" fillId="0" borderId="1" xfId="0" applyNumberFormat="1" applyFont="1" applyBorder="1" applyAlignment="1">
      <alignment horizontal="center" vertical="center"/>
    </xf>
    <xf numFmtId="0" fontId="15" fillId="0" borderId="1" xfId="0" applyNumberFormat="1" applyFont="1" applyBorder="1" applyAlignment="1">
      <alignment vertical="center" wrapText="1"/>
    </xf>
    <xf numFmtId="176" fontId="2" fillId="0" borderId="11" xfId="0" applyFont="1" applyBorder="1" applyAlignment="1">
      <alignment horizontal="center" vertical="center" wrapText="1"/>
    </xf>
    <xf numFmtId="176" fontId="4" fillId="0" borderId="11" xfId="0" applyFont="1" applyBorder="1" applyAlignment="1">
      <alignment horizontal="left" vertical="center"/>
    </xf>
    <xf numFmtId="49" fontId="5" fillId="0" borderId="11" xfId="0" applyNumberFormat="1" applyFont="1" applyBorder="1" applyAlignment="1">
      <alignment horizontal="center" vertical="center" wrapText="1"/>
    </xf>
    <xf numFmtId="176" fontId="5" fillId="0" borderId="11" xfId="0" applyFont="1" applyBorder="1" applyAlignment="1">
      <alignment horizontal="center" vertical="center" wrapText="1"/>
    </xf>
    <xf numFmtId="176" fontId="5" fillId="0" borderId="11" xfId="0" applyFont="1" applyBorder="1" applyAlignment="1">
      <alignment horizontal="center" vertical="center"/>
    </xf>
    <xf numFmtId="0" fontId="5" fillId="0" borderId="10" xfId="0" applyNumberFormat="1" applyFont="1" applyBorder="1" applyAlignment="1">
      <alignment horizontal="left" vertical="center" wrapText="1"/>
    </xf>
    <xf numFmtId="0" fontId="5" fillId="0" borderId="16" xfId="0" applyNumberFormat="1" applyFont="1" applyBorder="1" applyAlignment="1">
      <alignment horizontal="center" vertical="center" wrapText="1"/>
    </xf>
    <xf numFmtId="9" fontId="5" fillId="0" borderId="11" xfId="0" applyNumberFormat="1" applyFont="1" applyBorder="1" applyAlignment="1">
      <alignment horizontal="center" vertical="center" wrapText="1"/>
    </xf>
    <xf numFmtId="177" fontId="5" fillId="0" borderId="11" xfId="0" applyNumberFormat="1" applyFont="1" applyBorder="1" applyAlignment="1">
      <alignment horizontal="center" vertical="center"/>
    </xf>
    <xf numFmtId="176" fontId="2" fillId="0" borderId="6" xfId="0" applyFont="1" applyBorder="1" applyAlignment="1">
      <alignment horizontal="center" vertical="center" wrapText="1"/>
    </xf>
    <xf numFmtId="176" fontId="4" fillId="0" borderId="6" xfId="0" applyFont="1" applyBorder="1" applyAlignment="1">
      <alignment horizontal="left" vertical="center"/>
    </xf>
    <xf numFmtId="49" fontId="5" fillId="0" borderId="6" xfId="0" applyNumberFormat="1" applyFont="1" applyBorder="1" applyAlignment="1">
      <alignment horizontal="center" vertical="center" wrapText="1"/>
    </xf>
    <xf numFmtId="176" fontId="5" fillId="0" borderId="6" xfId="0" applyFont="1" applyBorder="1" applyAlignment="1">
      <alignment horizontal="center" vertical="center" wrapText="1"/>
    </xf>
    <xf numFmtId="176" fontId="5" fillId="0" borderId="6" xfId="0" applyFont="1" applyBorder="1" applyAlignment="1">
      <alignment horizontal="center" vertical="center"/>
    </xf>
    <xf numFmtId="0" fontId="5" fillId="0" borderId="17" xfId="0" applyNumberFormat="1" applyFont="1" applyBorder="1" applyAlignment="1">
      <alignment horizontal="center" vertical="center" wrapText="1"/>
    </xf>
    <xf numFmtId="177" fontId="5" fillId="0" borderId="6" xfId="0" applyNumberFormat="1" applyFont="1" applyBorder="1" applyAlignment="1">
      <alignment horizontal="center" vertical="center"/>
    </xf>
    <xf numFmtId="176" fontId="5" fillId="0" borderId="15" xfId="0" applyFont="1" applyBorder="1" applyAlignment="1">
      <alignment horizontal="center" vertical="center"/>
    </xf>
    <xf numFmtId="176" fontId="5" fillId="0" borderId="15" xfId="0" applyFont="1" applyBorder="1" applyAlignment="1">
      <alignment horizontal="center" vertical="center" wrapText="1"/>
    </xf>
    <xf numFmtId="176" fontId="5" fillId="3" borderId="18" xfId="0" applyFont="1" applyFill="1" applyBorder="1" applyAlignment="1">
      <alignment horizontal="center" vertical="center"/>
    </xf>
    <xf numFmtId="176" fontId="5" fillId="3" borderId="8" xfId="0" applyFont="1" applyFill="1" applyBorder="1" applyAlignment="1">
      <alignment horizontal="center" vertical="center"/>
    </xf>
    <xf numFmtId="176" fontId="5" fillId="3" borderId="19" xfId="0" applyFont="1" applyFill="1" applyBorder="1" applyAlignment="1">
      <alignment horizontal="center" vertical="center"/>
    </xf>
    <xf numFmtId="176" fontId="5" fillId="3" borderId="15" xfId="0" applyFont="1" applyFill="1" applyBorder="1" applyAlignment="1">
      <alignment horizontal="center" vertical="center"/>
    </xf>
    <xf numFmtId="9" fontId="5" fillId="3" borderId="6" xfId="0" applyNumberFormat="1" applyFont="1" applyFill="1" applyBorder="1" applyAlignment="1">
      <alignment vertical="center"/>
    </xf>
    <xf numFmtId="176" fontId="5" fillId="3" borderId="6" xfId="0" applyFont="1" applyFill="1" applyBorder="1" applyAlignment="1">
      <alignment vertical="center"/>
    </xf>
    <xf numFmtId="177" fontId="5" fillId="3" borderId="6" xfId="0" applyNumberFormat="1" applyFont="1" applyFill="1" applyBorder="1" applyAlignment="1">
      <alignment horizontal="center" vertical="center"/>
    </xf>
    <xf numFmtId="176" fontId="5" fillId="0" borderId="20" xfId="0" applyFont="1" applyBorder="1" applyAlignment="1">
      <alignment horizontal="center" vertical="center"/>
    </xf>
    <xf numFmtId="176" fontId="4" fillId="0" borderId="11" xfId="0" applyFont="1" applyBorder="1" applyAlignment="1">
      <alignment horizontal="left" vertical="center" wrapText="1"/>
    </xf>
    <xf numFmtId="9" fontId="5" fillId="0" borderId="14" xfId="0" applyNumberFormat="1" applyFont="1" applyBorder="1" applyAlignment="1">
      <alignment horizontal="center" vertical="center"/>
    </xf>
    <xf numFmtId="176" fontId="5" fillId="0" borderId="12" xfId="0" applyFont="1" applyBorder="1" applyAlignment="1">
      <alignment horizontal="center" vertical="center"/>
    </xf>
    <xf numFmtId="176" fontId="4" fillId="0" borderId="6" xfId="0" applyFont="1" applyBorder="1" applyAlignment="1">
      <alignment vertical="center"/>
    </xf>
    <xf numFmtId="176" fontId="5" fillId="0" borderId="21" xfId="0" applyFont="1" applyBorder="1" applyAlignment="1">
      <alignment horizontal="left" vertical="center" wrapText="1"/>
    </xf>
    <xf numFmtId="176" fontId="5" fillId="0" borderId="14" xfId="0" applyFont="1" applyBorder="1" applyAlignment="1">
      <alignment horizontal="center" vertical="center" wrapText="1"/>
    </xf>
    <xf numFmtId="176" fontId="5" fillId="0" borderId="3" xfId="0" applyFont="1" applyBorder="1" applyAlignment="1">
      <alignment horizontal="left" vertical="center" wrapText="1"/>
    </xf>
    <xf numFmtId="176" fontId="5" fillId="0" borderId="22" xfId="0" applyFont="1" applyBorder="1" applyAlignment="1">
      <alignment horizontal="left" vertical="center" wrapText="1"/>
    </xf>
    <xf numFmtId="176" fontId="5" fillId="0" borderId="6" xfId="0" applyFont="1" applyBorder="1" applyAlignment="1">
      <alignment vertical="center" wrapText="1"/>
    </xf>
    <xf numFmtId="176" fontId="5" fillId="0" borderId="11" xfId="0" applyFont="1" applyBorder="1" applyAlignment="1">
      <alignment vertical="center"/>
    </xf>
    <xf numFmtId="176" fontId="5" fillId="3" borderId="6" xfId="0" applyFont="1" applyFill="1" applyBorder="1" applyAlignment="1">
      <alignment horizontal="center" vertical="center"/>
    </xf>
    <xf numFmtId="0" fontId="5" fillId="0" borderId="6" xfId="0" applyNumberFormat="1" applyFont="1" applyBorder="1" applyAlignment="1">
      <alignment vertical="center" wrapText="1"/>
    </xf>
    <xf numFmtId="9" fontId="5" fillId="0" borderId="6" xfId="0" applyNumberFormat="1" applyFont="1" applyBorder="1" applyAlignment="1">
      <alignment horizontal="center" vertical="center"/>
    </xf>
    <xf numFmtId="0" fontId="5" fillId="0" borderId="23" xfId="0" applyNumberFormat="1" applyFont="1" applyBorder="1" applyAlignment="1">
      <alignment horizontal="left" vertical="center" wrapText="1"/>
    </xf>
    <xf numFmtId="0" fontId="5" fillId="0" borderId="3" xfId="0" applyNumberFormat="1" applyFont="1" applyBorder="1" applyAlignment="1">
      <alignment horizontal="left" vertical="center" wrapText="1"/>
    </xf>
    <xf numFmtId="0" fontId="5" fillId="0" borderId="6" xfId="0" applyNumberFormat="1" applyFont="1" applyBorder="1" applyAlignment="1">
      <alignment vertical="center"/>
    </xf>
    <xf numFmtId="176" fontId="2" fillId="0" borderId="1" xfId="0" applyFont="1" applyBorder="1" applyAlignment="1">
      <alignment horizontal="center" vertical="center" wrapText="1"/>
    </xf>
    <xf numFmtId="176" fontId="4" fillId="0" borderId="1" xfId="0" applyFont="1" applyBorder="1" applyAlignment="1">
      <alignment horizontal="left" vertical="center"/>
    </xf>
    <xf numFmtId="49" fontId="5" fillId="0" borderId="1" xfId="0" applyNumberFormat="1" applyFont="1" applyBorder="1" applyAlignment="1">
      <alignment horizontal="center" vertical="center" wrapText="1"/>
    </xf>
    <xf numFmtId="176" fontId="5" fillId="0" borderId="1" xfId="0" applyFont="1" applyBorder="1" applyAlignment="1">
      <alignment horizontal="center" vertical="center" wrapText="1"/>
    </xf>
    <xf numFmtId="176" fontId="5" fillId="0" borderId="1" xfId="0" applyFont="1" applyBorder="1" applyAlignment="1">
      <alignment horizontal="center" vertical="center"/>
    </xf>
    <xf numFmtId="176" fontId="5" fillId="0" borderId="2" xfId="0" applyFont="1" applyBorder="1" applyAlignment="1">
      <alignment horizontal="left" vertical="center" wrapText="1"/>
    </xf>
    <xf numFmtId="176" fontId="5" fillId="0" borderId="1" xfId="0" applyFont="1" applyBorder="1" applyAlignment="1">
      <alignment vertical="center"/>
    </xf>
    <xf numFmtId="176" fontId="5" fillId="0" borderId="4" xfId="0" applyFont="1" applyBorder="1" applyAlignment="1">
      <alignment horizontal="left" vertical="center" wrapText="1"/>
    </xf>
    <xf numFmtId="176" fontId="5" fillId="3" borderId="5" xfId="0" applyFont="1" applyFill="1" applyBorder="1" applyAlignment="1">
      <alignment horizontal="center" vertical="center"/>
    </xf>
    <xf numFmtId="176" fontId="5" fillId="3" borderId="7" xfId="0" applyFont="1" applyFill="1" applyBorder="1" applyAlignment="1">
      <alignment horizontal="center" vertical="center"/>
    </xf>
    <xf numFmtId="176" fontId="5" fillId="3" borderId="1" xfId="0" applyFont="1" applyFill="1" applyBorder="1" applyAlignment="1">
      <alignment vertical="center"/>
    </xf>
    <xf numFmtId="176" fontId="5" fillId="0" borderId="1" xfId="0" applyFont="1" applyBorder="1" applyAlignment="1">
      <alignment horizontal="left" vertical="center" wrapText="1"/>
    </xf>
    <xf numFmtId="0" fontId="5" fillId="0" borderId="1" xfId="0" applyNumberFormat="1" applyFont="1" applyBorder="1" applyAlignment="1">
      <alignment vertical="center"/>
    </xf>
    <xf numFmtId="0" fontId="1" fillId="0" borderId="0" xfId="0" applyNumberFormat="1" applyFont="1" applyFill="1" applyAlignment="1">
      <alignment vertical="center" wrapText="1"/>
    </xf>
    <xf numFmtId="0" fontId="1" fillId="0" borderId="0" xfId="0" applyNumberFormat="1" applyFont="1" applyFill="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left" vertical="center" wrapText="1"/>
    </xf>
    <xf numFmtId="9" fontId="2"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xf>
    <xf numFmtId="0" fontId="3" fillId="0" borderId="0" xfId="0" applyNumberFormat="1" applyFont="1" applyFill="1" applyAlignment="1">
      <alignment vertical="center"/>
    </xf>
    <xf numFmtId="0" fontId="4" fillId="0" borderId="1" xfId="0" applyNumberFormat="1" applyFont="1" applyFill="1" applyBorder="1" applyAlignment="1">
      <alignment horizontal="center" vertical="center"/>
    </xf>
    <xf numFmtId="9"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5" fillId="0" borderId="1" xfId="0" applyNumberFormat="1" applyFont="1" applyFill="1" applyBorder="1" applyAlignment="1">
      <alignment horizontal="left" vertical="center" wrapText="1"/>
    </xf>
    <xf numFmtId="0" fontId="4" fillId="0" borderId="1" xfId="0" applyNumberFormat="1" applyFont="1" applyFill="1" applyBorder="1" applyAlignment="1">
      <alignment horizontal="left" vertical="center" wrapText="1"/>
    </xf>
    <xf numFmtId="9" fontId="5" fillId="0" borderId="1" xfId="0" applyNumberFormat="1" applyFont="1" applyFill="1" applyBorder="1" applyAlignment="1">
      <alignment horizontal="center" vertical="center"/>
    </xf>
    <xf numFmtId="177" fontId="5" fillId="0" borderId="1" xfId="0" applyNumberFormat="1" applyFont="1" applyFill="1" applyBorder="1" applyAlignment="1">
      <alignment horizontal="center" vertical="center"/>
    </xf>
    <xf numFmtId="0" fontId="2" fillId="0"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xf>
    <xf numFmtId="9"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xf>
    <xf numFmtId="0" fontId="5" fillId="0" borderId="1" xfId="0" applyNumberFormat="1" applyFont="1" applyFill="1" applyBorder="1" applyAlignment="1">
      <alignment vertical="center" wrapText="1"/>
    </xf>
    <xf numFmtId="0" fontId="2" fillId="0" borderId="3"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xf>
    <xf numFmtId="9" fontId="5" fillId="0" borderId="3"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xf>
    <xf numFmtId="9" fontId="5" fillId="0" borderId="1" xfId="0" applyNumberFormat="1" applyFont="1" applyFill="1" applyBorder="1" applyAlignment="1" applyProtection="1">
      <alignment horizontal="center" vertical="center" wrapText="1"/>
    </xf>
    <xf numFmtId="0" fontId="5" fillId="0" borderId="2" xfId="0" applyNumberFormat="1" applyFont="1" applyFill="1" applyBorder="1" applyAlignment="1">
      <alignment horizontal="center" vertical="center"/>
    </xf>
    <xf numFmtId="0" fontId="5" fillId="0" borderId="1" xfId="0" applyNumberFormat="1" applyFont="1" applyFill="1" applyBorder="1" applyAlignment="1">
      <alignment vertical="center" wrapText="1"/>
    </xf>
    <xf numFmtId="0" fontId="5" fillId="0" borderId="3" xfId="0" applyNumberFormat="1" applyFont="1" applyFill="1" applyBorder="1" applyAlignment="1">
      <alignment horizontal="center" vertical="center"/>
    </xf>
    <xf numFmtId="0" fontId="8" fillId="0" borderId="1" xfId="0" applyNumberFormat="1" applyFont="1" applyFill="1" applyBorder="1" applyAlignment="1">
      <alignment horizontal="center" vertical="center"/>
    </xf>
    <xf numFmtId="0" fontId="8"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left" vertical="center" wrapText="1"/>
    </xf>
    <xf numFmtId="0" fontId="8" fillId="2" borderId="1" xfId="0" applyNumberFormat="1" applyFont="1" applyFill="1" applyBorder="1" applyAlignment="1">
      <alignment horizontal="center" vertical="center" wrapText="1"/>
    </xf>
    <xf numFmtId="9" fontId="8" fillId="0" borderId="1" xfId="0" applyNumberFormat="1" applyFont="1" applyFill="1" applyBorder="1" applyAlignment="1">
      <alignment horizontal="center" vertical="center" wrapText="1"/>
    </xf>
    <xf numFmtId="177" fontId="16" fillId="0" borderId="1" xfId="0" applyNumberFormat="1" applyFont="1" applyFill="1" applyBorder="1" applyAlignment="1">
      <alignment horizontal="center" vertical="center"/>
    </xf>
    <xf numFmtId="177" fontId="8" fillId="0" borderId="1" xfId="0" applyNumberFormat="1" applyFont="1" applyFill="1" applyBorder="1" applyAlignment="1">
      <alignment horizontal="center" vertical="center"/>
    </xf>
    <xf numFmtId="0" fontId="5" fillId="0" borderId="4" xfId="0" applyNumberFormat="1" applyFont="1" applyFill="1" applyBorder="1" applyAlignment="1">
      <alignment horizontal="center" vertical="center"/>
    </xf>
    <xf numFmtId="0" fontId="5" fillId="0" borderId="1" xfId="0" applyNumberFormat="1" applyFont="1" applyFill="1" applyBorder="1" applyAlignment="1">
      <alignment vertical="top" wrapText="1"/>
    </xf>
    <xf numFmtId="0" fontId="4" fillId="3" borderId="1" xfId="0" applyNumberFormat="1" applyFont="1" applyFill="1" applyBorder="1" applyAlignment="1">
      <alignment horizontal="center" vertical="center"/>
    </xf>
    <xf numFmtId="0" fontId="5" fillId="0" borderId="3" xfId="0" applyNumberFormat="1" applyFont="1" applyFill="1" applyBorder="1" applyAlignment="1">
      <alignment horizontal="center" vertical="center"/>
    </xf>
    <xf numFmtId="0" fontId="5" fillId="0" borderId="3"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5" fillId="2" borderId="4" xfId="0" applyNumberFormat="1" applyFont="1" applyFill="1" applyBorder="1" applyAlignment="1">
      <alignment horizontal="center" vertical="center" wrapText="1"/>
    </xf>
    <xf numFmtId="9" fontId="5" fillId="0" borderId="1" xfId="0" applyNumberFormat="1" applyFont="1" applyFill="1" applyBorder="1" applyAlignment="1" applyProtection="1">
      <alignment horizontal="center" vertical="center" wrapText="1"/>
    </xf>
    <xf numFmtId="0" fontId="2" fillId="0" borderId="2" xfId="0" applyNumberFormat="1" applyFont="1" applyFill="1" applyBorder="1" applyAlignment="1">
      <alignment horizontal="center" vertical="center"/>
    </xf>
    <xf numFmtId="0" fontId="2" fillId="0" borderId="3" xfId="0" applyNumberFormat="1" applyFont="1" applyFill="1" applyBorder="1" applyAlignment="1">
      <alignment horizontal="center" vertical="center"/>
    </xf>
    <xf numFmtId="0" fontId="2" fillId="0" borderId="4" xfId="0" applyNumberFormat="1" applyFont="1" applyFill="1" applyBorder="1" applyAlignment="1">
      <alignment horizontal="center" vertical="center"/>
    </xf>
    <xf numFmtId="0" fontId="15" fillId="0" borderId="1" xfId="0" applyNumberFormat="1" applyFont="1" applyFill="1" applyBorder="1" applyAlignment="1">
      <alignment horizontal="center" vertical="center" wrapText="1"/>
    </xf>
    <xf numFmtId="0" fontId="15" fillId="0" borderId="1" xfId="0" applyNumberFormat="1" applyFont="1" applyFill="1" applyBorder="1" applyAlignment="1">
      <alignment horizontal="left" vertical="center" wrapText="1"/>
    </xf>
    <xf numFmtId="0" fontId="15" fillId="0" borderId="1" xfId="0" applyNumberFormat="1" applyFont="1" applyFill="1" applyBorder="1" applyAlignment="1">
      <alignment vertical="center" wrapText="1"/>
    </xf>
    <xf numFmtId="0" fontId="15" fillId="0" borderId="2" xfId="0" applyNumberFormat="1" applyFont="1" applyFill="1" applyBorder="1" applyAlignment="1">
      <alignment horizontal="center" vertical="center" wrapText="1"/>
    </xf>
    <xf numFmtId="0" fontId="5" fillId="0" borderId="2" xfId="0" applyNumberFormat="1" applyFont="1" applyFill="1" applyBorder="1" applyAlignment="1">
      <alignment vertical="center" wrapText="1"/>
    </xf>
    <xf numFmtId="0" fontId="15" fillId="0" borderId="3" xfId="0"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wrapText="1"/>
    </xf>
    <xf numFmtId="0" fontId="15" fillId="2" borderId="1" xfId="0" applyNumberFormat="1" applyFont="1" applyFill="1" applyBorder="1" applyAlignment="1">
      <alignment horizontal="left" vertical="center" wrapText="1"/>
    </xf>
    <xf numFmtId="0" fontId="13" fillId="0" borderId="1"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18" fillId="0" borderId="2" xfId="0" applyNumberFormat="1" applyFont="1" applyFill="1" applyBorder="1" applyAlignment="1">
      <alignment horizontal="center" vertical="center"/>
    </xf>
    <xf numFmtId="9" fontId="8" fillId="0" borderId="2" xfId="0" applyNumberFormat="1" applyFont="1" applyFill="1" applyBorder="1" applyAlignment="1">
      <alignment horizontal="center" vertical="center" wrapText="1"/>
    </xf>
    <xf numFmtId="0" fontId="8" fillId="0" borderId="2" xfId="0" applyNumberFormat="1" applyFont="1" applyFill="1" applyBorder="1" applyAlignment="1">
      <alignment horizontal="center" vertical="center" wrapText="1"/>
    </xf>
    <xf numFmtId="0" fontId="8" fillId="0" borderId="2" xfId="0" applyNumberFormat="1" applyFont="1" applyFill="1" applyBorder="1" applyAlignment="1">
      <alignment horizontal="center" vertical="center"/>
    </xf>
    <xf numFmtId="0" fontId="17" fillId="0" borderId="3" xfId="0" applyNumberFormat="1" applyFont="1" applyFill="1" applyBorder="1" applyAlignment="1">
      <alignment horizontal="center" vertical="center" wrapText="1"/>
    </xf>
    <xf numFmtId="0" fontId="18" fillId="0" borderId="3" xfId="0" applyNumberFormat="1" applyFont="1" applyFill="1" applyBorder="1" applyAlignment="1">
      <alignment horizontal="center" vertical="center"/>
    </xf>
    <xf numFmtId="0" fontId="8" fillId="0" borderId="3" xfId="0" applyNumberFormat="1" applyFont="1" applyFill="1" applyBorder="1" applyAlignment="1">
      <alignment horizontal="center" vertical="center" wrapText="1"/>
    </xf>
    <xf numFmtId="0" fontId="8" fillId="0" borderId="3" xfId="0" applyNumberFormat="1" applyFont="1" applyFill="1" applyBorder="1" applyAlignment="1">
      <alignment horizontal="center" vertical="center"/>
    </xf>
    <xf numFmtId="0" fontId="17" fillId="0" borderId="4" xfId="0" applyNumberFormat="1" applyFont="1" applyFill="1" applyBorder="1" applyAlignment="1">
      <alignment horizontal="center" vertical="center" wrapText="1"/>
    </xf>
    <xf numFmtId="0" fontId="18" fillId="0" borderId="4" xfId="0" applyNumberFormat="1" applyFont="1" applyFill="1" applyBorder="1" applyAlignment="1">
      <alignment horizontal="center" vertical="center"/>
    </xf>
    <xf numFmtId="0" fontId="8" fillId="0" borderId="4" xfId="0" applyNumberFormat="1" applyFont="1" applyFill="1" applyBorder="1" applyAlignment="1">
      <alignment horizontal="center" vertical="center" wrapText="1"/>
    </xf>
    <xf numFmtId="0" fontId="8" fillId="0" borderId="4" xfId="0" applyNumberFormat="1" applyFont="1" applyFill="1" applyBorder="1" applyAlignment="1">
      <alignment horizontal="center" vertical="center"/>
    </xf>
    <xf numFmtId="9" fontId="0" fillId="0" borderId="0" xfId="0" applyNumberFormat="1"/>
    <xf numFmtId="49" fontId="0" fillId="0" borderId="0" xfId="0" applyNumberFormat="1"/>
    <xf numFmtId="176" fontId="19" fillId="4" borderId="1" xfId="0" applyFont="1" applyFill="1" applyBorder="1" applyAlignment="1">
      <alignment horizontal="center" vertical="center"/>
    </xf>
    <xf numFmtId="0" fontId="20" fillId="4" borderId="1" xfId="0" applyNumberFormat="1" applyFont="1" applyFill="1" applyBorder="1" applyAlignment="1">
      <alignment horizontal="center" vertical="center"/>
    </xf>
    <xf numFmtId="176" fontId="20" fillId="4" borderId="1" xfId="0" applyFont="1" applyFill="1" applyBorder="1" applyAlignment="1">
      <alignment horizontal="center" vertical="center"/>
    </xf>
    <xf numFmtId="9" fontId="20" fillId="4" borderId="1" xfId="0" applyNumberFormat="1" applyFont="1" applyFill="1" applyBorder="1" applyAlignment="1">
      <alignment horizontal="center" vertical="center"/>
    </xf>
    <xf numFmtId="0" fontId="20" fillId="4" borderId="1" xfId="0" applyNumberFormat="1" applyFont="1" applyFill="1" applyBorder="1" applyAlignment="1">
      <alignment horizontal="center" vertical="center" wrapText="1"/>
    </xf>
    <xf numFmtId="49" fontId="20" fillId="4" borderId="1" xfId="0" applyNumberFormat="1" applyFont="1" applyFill="1" applyBorder="1" applyAlignment="1">
      <alignment horizontal="center" vertical="center" wrapText="1"/>
    </xf>
    <xf numFmtId="176" fontId="20" fillId="4" borderId="1" xfId="0" applyFont="1" applyFill="1" applyBorder="1" applyAlignment="1">
      <alignment horizontal="center" vertical="center" wrapText="1"/>
    </xf>
    <xf numFmtId="0" fontId="21" fillId="0" borderId="1" xfId="0" applyNumberFormat="1" applyFont="1" applyBorder="1" applyAlignment="1">
      <alignment horizontal="center" vertical="center"/>
    </xf>
    <xf numFmtId="176" fontId="21" fillId="0" borderId="2" xfId="0" applyFont="1" applyBorder="1" applyAlignment="1">
      <alignment horizontal="center" vertical="center" wrapText="1"/>
    </xf>
    <xf numFmtId="176" fontId="21" fillId="0" borderId="1" xfId="0" applyFont="1" applyBorder="1" applyAlignment="1">
      <alignment horizontal="center" vertical="center" wrapText="1"/>
    </xf>
    <xf numFmtId="176" fontId="21" fillId="0" borderId="1" xfId="0" applyFont="1" applyBorder="1" applyAlignment="1">
      <alignment vertical="center"/>
    </xf>
    <xf numFmtId="176" fontId="21" fillId="0" borderId="1" xfId="0" applyFont="1" applyBorder="1" applyAlignment="1">
      <alignment horizontal="center" vertical="center"/>
    </xf>
    <xf numFmtId="9" fontId="21" fillId="0" borderId="1" xfId="0" applyNumberFormat="1" applyFont="1" applyBorder="1" applyAlignment="1">
      <alignment horizontal="center" vertical="center"/>
    </xf>
    <xf numFmtId="0" fontId="21" fillId="0" borderId="1" xfId="0" applyNumberFormat="1" applyFont="1" applyBorder="1" applyAlignment="1">
      <alignment horizontal="center" vertical="center" wrapText="1"/>
    </xf>
    <xf numFmtId="0" fontId="21" fillId="0" borderId="1" xfId="0" applyNumberFormat="1" applyFont="1" applyFill="1" applyBorder="1" applyAlignment="1">
      <alignment horizontal="center" vertical="center" wrapText="1"/>
    </xf>
    <xf numFmtId="176" fontId="21" fillId="0" borderId="1" xfId="0" applyFont="1" applyBorder="1" applyAlignment="1">
      <alignment vertical="center" wrapText="1"/>
    </xf>
    <xf numFmtId="176" fontId="21" fillId="0" borderId="3" xfId="0" applyFont="1" applyBorder="1" applyAlignment="1">
      <alignment horizontal="center" vertical="center"/>
    </xf>
    <xf numFmtId="9" fontId="21" fillId="0" borderId="1" xfId="0" applyNumberFormat="1" applyFont="1" applyFill="1" applyBorder="1" applyAlignment="1" applyProtection="1">
      <alignment horizontal="center" vertical="center"/>
    </xf>
    <xf numFmtId="176" fontId="21" fillId="0" borderId="1" xfId="0" applyFont="1" applyFill="1" applyBorder="1" applyAlignment="1">
      <alignment horizontal="center" vertical="center"/>
    </xf>
    <xf numFmtId="176" fontId="21" fillId="0" borderId="1" xfId="0" applyFont="1" applyFill="1" applyBorder="1" applyAlignment="1">
      <alignment horizontal="center" vertical="center" wrapText="1"/>
    </xf>
    <xf numFmtId="176" fontId="21" fillId="5" borderId="1" xfId="0" applyFont="1" applyFill="1" applyBorder="1" applyAlignment="1">
      <alignment horizontal="center" vertical="center"/>
    </xf>
    <xf numFmtId="9" fontId="21" fillId="0" borderId="1" xfId="0" applyNumberFormat="1" applyFont="1" applyFill="1" applyBorder="1" applyAlignment="1">
      <alignment horizontal="center" vertical="center"/>
    </xf>
    <xf numFmtId="176" fontId="21" fillId="5" borderId="1" xfId="0" applyFont="1" applyFill="1" applyBorder="1" applyAlignment="1">
      <alignment horizontal="center" vertical="center" wrapText="1"/>
    </xf>
    <xf numFmtId="0" fontId="21" fillId="0" borderId="1" xfId="0" applyNumberFormat="1" applyFont="1" applyFill="1" applyBorder="1" applyAlignment="1">
      <alignment horizontal="center" vertical="center"/>
    </xf>
    <xf numFmtId="176" fontId="21" fillId="0" borderId="1" xfId="0" applyFont="1" applyFill="1" applyBorder="1" applyAlignment="1">
      <alignment vertical="center"/>
    </xf>
    <xf numFmtId="49" fontId="21" fillId="0" borderId="1" xfId="0" applyNumberFormat="1" applyFont="1" applyFill="1" applyBorder="1" applyAlignment="1">
      <alignment horizontal="center" vertical="center" wrapText="1"/>
    </xf>
    <xf numFmtId="0" fontId="21" fillId="0" borderId="24" xfId="0" applyNumberFormat="1" applyFont="1" applyBorder="1" applyAlignment="1">
      <alignment horizontal="center" vertical="center"/>
    </xf>
    <xf numFmtId="176" fontId="21" fillId="0" borderId="25" xfId="0" applyFont="1" applyBorder="1" applyAlignment="1">
      <alignment horizontal="center" vertical="center"/>
    </xf>
    <xf numFmtId="176" fontId="21" fillId="0" borderId="24" xfId="0" applyFont="1" applyBorder="1" applyAlignment="1">
      <alignment horizontal="center" vertical="center"/>
    </xf>
    <xf numFmtId="176" fontId="21" fillId="4" borderId="24" xfId="0" applyFont="1" applyFill="1" applyBorder="1" applyAlignment="1">
      <alignment horizontal="center" vertical="center"/>
    </xf>
    <xf numFmtId="0" fontId="21" fillId="4" borderId="24" xfId="0" applyNumberFormat="1" applyFont="1" applyFill="1" applyBorder="1" applyAlignment="1">
      <alignment horizontal="center" vertical="center"/>
    </xf>
    <xf numFmtId="176" fontId="21" fillId="4" borderId="24" xfId="0" applyFont="1" applyFill="1" applyBorder="1" applyAlignment="1">
      <alignment horizontal="center" vertical="center" wrapText="1"/>
    </xf>
    <xf numFmtId="9" fontId="21" fillId="4" borderId="24" xfId="0" applyNumberFormat="1" applyFont="1" applyFill="1" applyBorder="1" applyAlignment="1">
      <alignment horizontal="center" vertical="center"/>
    </xf>
    <xf numFmtId="176" fontId="21" fillId="0" borderId="24" xfId="0" applyFont="1" applyBorder="1" applyAlignment="1">
      <alignment horizontal="center" vertical="center" wrapText="1"/>
    </xf>
    <xf numFmtId="0" fontId="21" fillId="0" borderId="4" xfId="0" applyNumberFormat="1" applyFont="1" applyBorder="1" applyAlignment="1">
      <alignment horizontal="center" vertical="center"/>
    </xf>
    <xf numFmtId="176" fontId="21" fillId="0" borderId="3" xfId="0" applyFont="1" applyBorder="1" applyAlignment="1">
      <alignment horizontal="center" vertical="center" wrapText="1"/>
    </xf>
    <xf numFmtId="0" fontId="21" fillId="0" borderId="4" xfId="0" applyNumberFormat="1" applyFont="1" applyFill="1" applyBorder="1" applyAlignment="1">
      <alignment horizontal="center" vertical="center"/>
    </xf>
    <xf numFmtId="176" fontId="21" fillId="0" borderId="4" xfId="0" applyFont="1" applyFill="1" applyBorder="1" applyAlignment="1">
      <alignment vertical="center"/>
    </xf>
    <xf numFmtId="176" fontId="21" fillId="0" borderId="4" xfId="0" applyFont="1" applyFill="1" applyBorder="1" applyAlignment="1">
      <alignment horizontal="center" vertical="center"/>
    </xf>
    <xf numFmtId="9" fontId="21" fillId="0" borderId="4" xfId="0" applyNumberFormat="1" applyFont="1" applyFill="1" applyBorder="1" applyAlignment="1">
      <alignment horizontal="center" vertical="center"/>
    </xf>
    <xf numFmtId="0" fontId="21" fillId="0" borderId="4" xfId="0" applyNumberFormat="1" applyFont="1" applyFill="1" applyBorder="1" applyAlignment="1">
      <alignment horizontal="center" vertical="center" wrapText="1"/>
    </xf>
    <xf numFmtId="176" fontId="22" fillId="0" borderId="4" xfId="0" applyFont="1" applyFill="1" applyBorder="1" applyAlignment="1">
      <alignment vertical="center" wrapText="1"/>
    </xf>
    <xf numFmtId="0" fontId="21" fillId="0" borderId="2" xfId="0" applyNumberFormat="1" applyFont="1" applyBorder="1" applyAlignment="1">
      <alignment horizontal="center" vertical="center"/>
    </xf>
    <xf numFmtId="176" fontId="21" fillId="0" borderId="2" xfId="0" applyFont="1" applyBorder="1" applyAlignment="1">
      <alignment vertical="center"/>
    </xf>
    <xf numFmtId="176" fontId="21" fillId="0" borderId="2" xfId="0" applyFont="1" applyBorder="1" applyAlignment="1">
      <alignment horizontal="center" vertical="center"/>
    </xf>
    <xf numFmtId="9" fontId="21" fillId="0" borderId="2" xfId="0" applyNumberFormat="1" applyFont="1" applyBorder="1" applyAlignment="1">
      <alignment horizontal="center" vertical="center"/>
    </xf>
    <xf numFmtId="0" fontId="21" fillId="0" borderId="2" xfId="0" applyNumberFormat="1" applyFont="1" applyBorder="1" applyAlignment="1">
      <alignment horizontal="center" vertical="center" wrapText="1"/>
    </xf>
    <xf numFmtId="176" fontId="21" fillId="0" borderId="2" xfId="0" applyFont="1" applyBorder="1" applyAlignment="1">
      <alignment vertical="center" wrapText="1"/>
    </xf>
    <xf numFmtId="176" fontId="21" fillId="0" borderId="2" xfId="0" applyFont="1" applyFill="1" applyBorder="1" applyAlignment="1">
      <alignment horizontal="center" vertical="center"/>
    </xf>
    <xf numFmtId="176" fontId="21" fillId="0" borderId="25" xfId="0" applyFont="1" applyBorder="1" applyAlignment="1">
      <alignment horizontal="center" vertical="center" wrapText="1"/>
    </xf>
    <xf numFmtId="176" fontId="21" fillId="0" borderId="4" xfId="0" applyFont="1" applyBorder="1" applyAlignment="1">
      <alignment horizontal="center" vertical="center" wrapText="1"/>
    </xf>
    <xf numFmtId="176" fontId="21" fillId="0" borderId="4" xfId="0" applyFont="1" applyBorder="1" applyAlignment="1">
      <alignment vertical="center"/>
    </xf>
    <xf numFmtId="176" fontId="21" fillId="0" borderId="4" xfId="0" applyFont="1" applyFill="1" applyBorder="1" applyAlignment="1">
      <alignment horizontal="center" vertical="center" wrapText="1"/>
    </xf>
    <xf numFmtId="176" fontId="21" fillId="0" borderId="4" xfId="0" applyFont="1" applyFill="1" applyBorder="1" applyAlignment="1">
      <alignment vertical="center" wrapText="1"/>
    </xf>
    <xf numFmtId="176" fontId="22" fillId="0" borderId="1" xfId="0" applyFont="1" applyFill="1" applyBorder="1" applyAlignment="1">
      <alignment vertical="center" wrapText="1"/>
    </xf>
    <xf numFmtId="176" fontId="21" fillId="3" borderId="1" xfId="0" applyFont="1" applyFill="1" applyBorder="1" applyAlignment="1">
      <alignment vertical="center"/>
    </xf>
    <xf numFmtId="0" fontId="21" fillId="0" borderId="5" xfId="0" applyNumberFormat="1" applyFont="1" applyFill="1" applyBorder="1" applyAlignment="1">
      <alignment horizontal="center" vertical="center"/>
    </xf>
    <xf numFmtId="0" fontId="21" fillId="0" borderId="7" xfId="0" applyNumberFormat="1" applyFont="1" applyFill="1" applyBorder="1" applyAlignment="1">
      <alignment horizontal="center" vertical="center"/>
    </xf>
    <xf numFmtId="176" fontId="21" fillId="0" borderId="4" xfId="0" applyFont="1" applyBorder="1" applyAlignment="1">
      <alignment horizontal="center" vertical="center"/>
    </xf>
    <xf numFmtId="9" fontId="21" fillId="0" borderId="4" xfId="0" applyNumberFormat="1" applyFont="1" applyBorder="1" applyAlignment="1">
      <alignment horizontal="center" vertical="center"/>
    </xf>
    <xf numFmtId="49" fontId="21" fillId="0" borderId="4" xfId="0" applyNumberFormat="1" applyFont="1" applyFill="1" applyBorder="1" applyAlignment="1">
      <alignment horizontal="center" vertical="center" wrapText="1"/>
    </xf>
    <xf numFmtId="176" fontId="21" fillId="0" borderId="4" xfId="0" applyFont="1" applyBorder="1" applyAlignment="1">
      <alignment vertical="center" wrapText="1"/>
    </xf>
    <xf numFmtId="0" fontId="21" fillId="0" borderId="0" xfId="0" applyNumberFormat="1" applyFont="1" applyAlignment="1">
      <alignment horizontal="center" vertical="center"/>
    </xf>
    <xf numFmtId="176" fontId="21" fillId="0" borderId="0" xfId="0" applyFont="1" applyAlignment="1">
      <alignment horizontal="center" vertical="center"/>
    </xf>
    <xf numFmtId="176" fontId="21" fillId="0" borderId="0" xfId="0" applyFont="1" applyAlignment="1">
      <alignment vertical="center"/>
    </xf>
    <xf numFmtId="0" fontId="21" fillId="0" borderId="0" xfId="0" applyNumberFormat="1" applyFont="1" applyAlignment="1">
      <alignment vertical="center"/>
    </xf>
    <xf numFmtId="176" fontId="0" fillId="0" borderId="0" xfId="0" applyAlignment="1">
      <alignment vertical="center"/>
    </xf>
    <xf numFmtId="0" fontId="5" fillId="0" borderId="1" xfId="0" applyNumberFormat="1" applyFont="1" applyFill="1" applyBorder="1" applyAlignment="1" quotePrefix="1">
      <alignment horizontal="center" vertical="center" wrapText="1"/>
    </xf>
    <xf numFmtId="0" fontId="5" fillId="0" borderId="2" xfId="0" applyNumberFormat="1" applyFont="1" applyFill="1" applyBorder="1" applyAlignment="1" quotePrefix="1">
      <alignment horizontal="center" vertical="center" wrapText="1"/>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百分比 3" xfId="50"/>
    <cellStyle name="常规 10" xfId="51"/>
    <cellStyle name="常规 11" xfId="52"/>
    <cellStyle name="常规 12" xfId="53"/>
    <cellStyle name="常规 13" xfId="54"/>
    <cellStyle name="常规 14" xfId="55"/>
    <cellStyle name="常规 2" xfId="56"/>
    <cellStyle name="常规 3" xfId="57"/>
    <cellStyle name="常规 4" xfId="58"/>
    <cellStyle name="常规 5" xfId="59"/>
    <cellStyle name="常规 6" xfId="60"/>
    <cellStyle name="常规 7" xfId="61"/>
    <cellStyle name="常规 8" xfId="62"/>
    <cellStyle name="常规 9" xfId="6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externalLink" Target="externalLinks/externalLink6.xml"/><Relationship Id="rId14" Type="http://schemas.openxmlformats.org/officeDocument/2006/relationships/externalLink" Target="externalLinks/externalLink5.xml"/><Relationship Id="rId13" Type="http://schemas.openxmlformats.org/officeDocument/2006/relationships/externalLink" Target="externalLinks/externalLink4.xml"/><Relationship Id="rId12" Type="http://schemas.openxmlformats.org/officeDocument/2006/relationships/externalLink" Target="externalLinks/externalLink3.xml"/><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26.3.14-2026.3.20&#39033;&#30446;&#21608;&#25253;&#27719;&#2463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26.3.16-2026.3.20&#39033;&#30446;&#21608;&#25253;&#27719;&#24635;-&#20132;&#20184;-&#29289;&#19994;&#3245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26.3.16-2026.3.20&#39033;&#30446;&#21608;&#25253;&#27719;&#24635;-&#20132;&#20184;-AI&#22823;&#25968;&#25454;&#3245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026.3.16-2025.3.20&#39033;&#30446;&#21608;&#25253;&#27719;&#24635;-&#20132;&#20184;-JD&#3245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026.3.16-2025.3.20&#39033;&#30446;&#21608;&#25253;_&#36719;&#20214;&#39033;&#30446;&#3709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26.3.16-2026.3.20%20&#39033;&#30446;&#21608;&#25253;&#27719;&#24635;-&#27719;&#25151;&#26234;&#36873;&#3709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项目汇总"/>
      <sheetName val="Sheet1"/>
    </sheetNames>
    <sheetDataSet>
      <sheetData sheetId="0"/>
      <sheetData sheetId="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汇房智选部"/>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R51"/>
  <sheetViews>
    <sheetView tabSelected="1" zoomScale="70" zoomScaleNormal="70" workbookViewId="0">
      <pane xSplit="5" ySplit="2" topLeftCell="H3" activePane="bottomRight" state="frozen"/>
      <selection/>
      <selection pane="topRight"/>
      <selection pane="bottomLeft"/>
      <selection pane="bottomRight" activeCell="L16" sqref="L16"/>
    </sheetView>
  </sheetViews>
  <sheetFormatPr defaultColWidth="9" defaultRowHeight="13.8"/>
  <cols>
    <col min="1" max="1" width="7.11111111111111" style="62" customWidth="1"/>
    <col min="2" max="2" width="15.4444444444444" customWidth="1"/>
    <col min="3" max="3" width="14.4444444444444" customWidth="1"/>
    <col min="4" max="4" width="21.8888888888889" style="62" customWidth="1"/>
    <col min="5" max="5" width="41.8888888888889" customWidth="1"/>
    <col min="6" max="6" width="21.2222222222222" customWidth="1"/>
    <col min="7" max="7" width="9.88888888888889" customWidth="1"/>
    <col min="8" max="8" width="11.4444444444444" customWidth="1"/>
    <col min="9" max="9" width="10.8888888888889" customWidth="1"/>
    <col min="10" max="10" width="15.3333333333333" style="279" customWidth="1"/>
    <col min="11" max="11" width="11.3333333333333" style="62" customWidth="1"/>
    <col min="12" max="12" width="20.6296296296296" customWidth="1"/>
    <col min="13" max="13" width="19.7777777777778" style="62" customWidth="1"/>
    <col min="14" max="14" width="20.1574074074074" style="62" customWidth="1"/>
    <col min="15" max="15" width="21.2685185185185" style="280" customWidth="1"/>
    <col min="16" max="16" width="19.2037037037037" customWidth="1"/>
    <col min="17" max="17" width="16.3518518518519" customWidth="1"/>
    <col min="18" max="18" width="85.2314814814815" customWidth="1"/>
  </cols>
  <sheetData>
    <row r="1" ht="37.5" customHeight="1" spans="1:18">
      <c r="A1" s="281" t="s">
        <v>0</v>
      </c>
      <c r="B1" s="281"/>
      <c r="C1" s="281"/>
      <c r="D1" s="281"/>
      <c r="E1" s="281"/>
      <c r="F1" s="281"/>
      <c r="G1" s="281"/>
      <c r="H1" s="281"/>
      <c r="I1" s="281"/>
      <c r="J1" s="281"/>
      <c r="K1" s="281"/>
      <c r="L1" s="281"/>
      <c r="M1" s="281"/>
      <c r="N1" s="281"/>
      <c r="O1" s="281"/>
      <c r="P1" s="281"/>
      <c r="Q1" s="281"/>
      <c r="R1" s="281"/>
    </row>
    <row r="2" ht="30" customHeight="1" spans="1:18">
      <c r="A2" s="282" t="s">
        <v>1</v>
      </c>
      <c r="B2" s="283" t="s">
        <v>2</v>
      </c>
      <c r="C2" s="283" t="s">
        <v>3</v>
      </c>
      <c r="D2" s="282" t="s">
        <v>4</v>
      </c>
      <c r="E2" s="283" t="s">
        <v>5</v>
      </c>
      <c r="F2" s="283" t="s">
        <v>6</v>
      </c>
      <c r="G2" s="283" t="s">
        <v>7</v>
      </c>
      <c r="H2" s="283" t="s">
        <v>8</v>
      </c>
      <c r="I2" s="283" t="s">
        <v>9</v>
      </c>
      <c r="J2" s="284" t="s">
        <v>10</v>
      </c>
      <c r="K2" s="285" t="s">
        <v>11</v>
      </c>
      <c r="L2" s="283" t="s">
        <v>12</v>
      </c>
      <c r="M2" s="282" t="s">
        <v>13</v>
      </c>
      <c r="N2" s="282" t="s">
        <v>14</v>
      </c>
      <c r="O2" s="286" t="s">
        <v>15</v>
      </c>
      <c r="P2" s="287" t="s">
        <v>16</v>
      </c>
      <c r="Q2" s="283" t="s">
        <v>17</v>
      </c>
      <c r="R2" s="283" t="s">
        <v>18</v>
      </c>
    </row>
    <row r="3" ht="35" customHeight="1" spans="1:18">
      <c r="A3" s="288">
        <v>1</v>
      </c>
      <c r="B3" s="289" t="s">
        <v>19</v>
      </c>
      <c r="C3" s="290" t="s">
        <v>20</v>
      </c>
      <c r="D3" s="288">
        <v>22220901</v>
      </c>
      <c r="E3" s="291" t="s">
        <v>21</v>
      </c>
      <c r="F3" s="292" t="s">
        <v>22</v>
      </c>
      <c r="G3" s="292" t="s">
        <v>23</v>
      </c>
      <c r="H3" s="292" t="s">
        <v>24</v>
      </c>
      <c r="I3" s="292" t="s">
        <v>25</v>
      </c>
      <c r="J3" s="293" t="s">
        <v>26</v>
      </c>
      <c r="K3" s="294" t="s">
        <v>27</v>
      </c>
      <c r="L3" s="292"/>
      <c r="M3" s="288">
        <v>15</v>
      </c>
      <c r="N3" s="288">
        <v>13</v>
      </c>
      <c r="O3" s="295" t="str">
        <f>N3-M3&amp;"("&amp;ROUND(((N3-M3)/M3*100),0)&amp;"%)"</f>
        <v>-2(-13%)</v>
      </c>
      <c r="P3" s="296"/>
      <c r="Q3" s="291"/>
      <c r="R3" s="292"/>
    </row>
    <row r="4" ht="23" customHeight="1" spans="1:18">
      <c r="A4" s="288">
        <v>2</v>
      </c>
      <c r="B4" s="297"/>
      <c r="C4" s="292"/>
      <c r="D4" s="288">
        <v>22250226</v>
      </c>
      <c r="E4" s="291" t="s">
        <v>28</v>
      </c>
      <c r="F4" s="292" t="s">
        <v>22</v>
      </c>
      <c r="G4" s="292" t="s">
        <v>29</v>
      </c>
      <c r="H4" s="292" t="s">
        <v>30</v>
      </c>
      <c r="I4" s="292" t="s">
        <v>25</v>
      </c>
      <c r="J4" s="298">
        <v>0.92</v>
      </c>
      <c r="K4" s="294" t="s">
        <v>31</v>
      </c>
      <c r="L4" s="292"/>
      <c r="M4" s="288">
        <v>8.5</v>
      </c>
      <c r="N4" s="288">
        <v>10.25</v>
      </c>
      <c r="O4" s="295" t="str">
        <f t="shared" ref="O4:O6" si="0">ROUND(N4-M4,2)&amp;"("&amp;ROUND(((N4-M4)/M4*100),0)&amp;"%)"</f>
        <v>1.75(21%)</v>
      </c>
      <c r="P4" s="296"/>
      <c r="Q4" s="291"/>
      <c r="R4" s="299" t="s">
        <v>32</v>
      </c>
    </row>
    <row r="5" ht="23" customHeight="1" spans="1:18">
      <c r="A5" s="288">
        <v>3</v>
      </c>
      <c r="B5" s="297"/>
      <c r="C5" s="292"/>
      <c r="D5" s="288">
        <v>22220202</v>
      </c>
      <c r="E5" s="291" t="s">
        <v>33</v>
      </c>
      <c r="F5" s="292" t="s">
        <v>34</v>
      </c>
      <c r="G5" s="290" t="s">
        <v>35</v>
      </c>
      <c r="H5" s="292" t="s">
        <v>24</v>
      </c>
      <c r="I5" s="292" t="s">
        <v>25</v>
      </c>
      <c r="J5" s="293" t="s">
        <v>26</v>
      </c>
      <c r="K5" s="294" t="s">
        <v>31</v>
      </c>
      <c r="L5" s="296"/>
      <c r="M5" s="288">
        <v>0.5</v>
      </c>
      <c r="N5" s="288">
        <v>0</v>
      </c>
      <c r="O5" s="295" t="str">
        <f>ROUND(N5-M5,2)&amp;"("&amp;ROUND(((N5-M5)/M5*100),0)&amp;"%)"</f>
        <v>-0.5(-100%)</v>
      </c>
      <c r="P5" s="290"/>
      <c r="Q5" s="291"/>
      <c r="R5" s="300" t="s">
        <v>36</v>
      </c>
    </row>
    <row r="6" ht="23" customHeight="1" spans="1:18">
      <c r="A6" s="288">
        <v>4</v>
      </c>
      <c r="B6" s="297"/>
      <c r="C6" s="292"/>
      <c r="D6" s="288">
        <v>22220701</v>
      </c>
      <c r="E6" s="291" t="s">
        <v>37</v>
      </c>
      <c r="F6" s="292" t="s">
        <v>34</v>
      </c>
      <c r="G6" s="290" t="s">
        <v>35</v>
      </c>
      <c r="H6" s="292" t="s">
        <v>24</v>
      </c>
      <c r="I6" s="292" t="s">
        <v>25</v>
      </c>
      <c r="J6" s="293" t="s">
        <v>26</v>
      </c>
      <c r="K6" s="294" t="s">
        <v>31</v>
      </c>
      <c r="L6" s="296"/>
      <c r="M6" s="288">
        <v>0</v>
      </c>
      <c r="N6" s="288">
        <v>0</v>
      </c>
      <c r="O6" s="295">
        <v>0</v>
      </c>
      <c r="P6" s="290"/>
      <c r="Q6" s="291"/>
      <c r="R6" s="300" t="s">
        <v>38</v>
      </c>
    </row>
    <row r="7" ht="23" customHeight="1" spans="1:18">
      <c r="A7" s="288">
        <v>5</v>
      </c>
      <c r="B7" s="297"/>
      <c r="C7" s="290" t="s">
        <v>39</v>
      </c>
      <c r="D7" s="288">
        <v>22221201</v>
      </c>
      <c r="E7" s="291" t="s">
        <v>40</v>
      </c>
      <c r="F7" s="292" t="s">
        <v>41</v>
      </c>
      <c r="G7" s="290" t="s">
        <v>23</v>
      </c>
      <c r="H7" s="292" t="s">
        <v>24</v>
      </c>
      <c r="I7" s="292" t="s">
        <v>25</v>
      </c>
      <c r="J7" s="293">
        <v>0.99</v>
      </c>
      <c r="K7" s="294" t="s">
        <v>42</v>
      </c>
      <c r="L7" s="292"/>
      <c r="M7" s="288">
        <v>2</v>
      </c>
      <c r="N7" s="288">
        <v>2</v>
      </c>
      <c r="O7" s="295" t="str">
        <f t="shared" ref="O7:O15" si="1">N7-M7&amp;"("&amp;ROUND(((N7-M7)/M7*100),0)&amp;"%)"</f>
        <v>0(0%)</v>
      </c>
      <c r="P7" s="296"/>
      <c r="Q7" s="291"/>
      <c r="R7" s="299"/>
    </row>
    <row r="8" ht="23" customHeight="1" spans="1:18">
      <c r="A8" s="288">
        <v>6</v>
      </c>
      <c r="B8" s="297"/>
      <c r="C8" s="292"/>
      <c r="D8" s="288">
        <v>22250314</v>
      </c>
      <c r="E8" s="291" t="s">
        <v>43</v>
      </c>
      <c r="F8" s="292" t="s">
        <v>44</v>
      </c>
      <c r="G8" s="292" t="s">
        <v>29</v>
      </c>
      <c r="H8" s="292" t="s">
        <v>30</v>
      </c>
      <c r="I8" s="301" t="s">
        <v>45</v>
      </c>
      <c r="J8" s="302">
        <v>0.95</v>
      </c>
      <c r="K8" s="294" t="s">
        <v>46</v>
      </c>
      <c r="L8" s="292"/>
      <c r="M8" s="288">
        <v>9.5</v>
      </c>
      <c r="N8" s="288">
        <v>9.5</v>
      </c>
      <c r="O8" s="295" t="str">
        <f t="shared" si="1"/>
        <v>0(0%)</v>
      </c>
      <c r="P8" s="303" t="s">
        <v>47</v>
      </c>
      <c r="Q8" s="291"/>
      <c r="R8" s="299" t="s">
        <v>48</v>
      </c>
    </row>
    <row r="9" ht="23" customHeight="1" spans="1:18">
      <c r="A9" s="288">
        <v>7</v>
      </c>
      <c r="B9" s="297"/>
      <c r="C9" s="292"/>
      <c r="D9" s="304" t="s">
        <v>49</v>
      </c>
      <c r="E9" s="305" t="s">
        <v>50</v>
      </c>
      <c r="F9" s="299" t="s">
        <v>51</v>
      </c>
      <c r="G9" s="299" t="s">
        <v>29</v>
      </c>
      <c r="H9" s="299" t="s">
        <v>52</v>
      </c>
      <c r="I9" s="299" t="s">
        <v>25</v>
      </c>
      <c r="J9" s="293" t="s">
        <v>26</v>
      </c>
      <c r="K9" s="295" t="s">
        <v>46</v>
      </c>
      <c r="L9" s="299"/>
      <c r="M9" s="304">
        <v>5</v>
      </c>
      <c r="N9" s="304">
        <v>8</v>
      </c>
      <c r="O9" s="295" t="str">
        <f t="shared" si="1"/>
        <v>3(60%)</v>
      </c>
      <c r="P9" s="296"/>
      <c r="Q9" s="291"/>
      <c r="R9" s="299" t="s">
        <v>53</v>
      </c>
    </row>
    <row r="10" ht="23" customHeight="1" spans="1:18">
      <c r="A10" s="288">
        <v>8</v>
      </c>
      <c r="B10" s="297"/>
      <c r="C10" s="292"/>
      <c r="D10" s="304"/>
      <c r="E10" s="305" t="s">
        <v>54</v>
      </c>
      <c r="F10" s="299" t="s">
        <v>55</v>
      </c>
      <c r="G10" s="299" t="s">
        <v>35</v>
      </c>
      <c r="H10" s="292" t="s">
        <v>56</v>
      </c>
      <c r="I10" s="299" t="s">
        <v>57</v>
      </c>
      <c r="J10" s="302"/>
      <c r="K10" s="295" t="s">
        <v>42</v>
      </c>
      <c r="L10" s="299"/>
      <c r="M10" s="304">
        <v>12</v>
      </c>
      <c r="N10" s="304">
        <v>13.5</v>
      </c>
      <c r="O10" s="304" t="str">
        <f t="shared" si="1"/>
        <v>1.5(13%)</v>
      </c>
      <c r="P10" s="300"/>
      <c r="Q10" s="305"/>
      <c r="R10" s="300" t="s">
        <v>58</v>
      </c>
    </row>
    <row r="11" ht="23" customHeight="1" spans="1:18">
      <c r="A11" s="288">
        <v>9</v>
      </c>
      <c r="B11" s="297"/>
      <c r="C11" s="290" t="s">
        <v>59</v>
      </c>
      <c r="D11" s="304">
        <v>22240822</v>
      </c>
      <c r="E11" s="305" t="s">
        <v>60</v>
      </c>
      <c r="F11" s="299" t="s">
        <v>61</v>
      </c>
      <c r="G11" s="299" t="s">
        <v>29</v>
      </c>
      <c r="H11" s="292" t="s">
        <v>30</v>
      </c>
      <c r="I11" s="299" t="s">
        <v>25</v>
      </c>
      <c r="J11" s="302">
        <v>1</v>
      </c>
      <c r="K11" s="295" t="s">
        <v>31</v>
      </c>
      <c r="L11" s="299"/>
      <c r="M11" s="304">
        <v>9</v>
      </c>
      <c r="N11" s="304">
        <v>6</v>
      </c>
      <c r="O11" s="295" t="str">
        <f t="shared" si="1"/>
        <v>-3(-33%)</v>
      </c>
      <c r="P11" s="300"/>
      <c r="Q11" s="305"/>
      <c r="R11" s="299" t="s">
        <v>62</v>
      </c>
    </row>
    <row r="12" ht="23" customHeight="1" spans="1:18">
      <c r="A12" s="288">
        <v>10</v>
      </c>
      <c r="B12" s="297"/>
      <c r="C12" s="292"/>
      <c r="D12" s="304">
        <v>23251211</v>
      </c>
      <c r="E12" s="305" t="s">
        <v>63</v>
      </c>
      <c r="F12" s="299" t="s">
        <v>64</v>
      </c>
      <c r="G12" s="299" t="s">
        <v>29</v>
      </c>
      <c r="H12" s="299" t="s">
        <v>65</v>
      </c>
      <c r="I12" s="299" t="s">
        <v>25</v>
      </c>
      <c r="J12" s="302">
        <v>0.85</v>
      </c>
      <c r="K12" s="295" t="s">
        <v>66</v>
      </c>
      <c r="L12" s="299"/>
      <c r="M12" s="304">
        <v>21</v>
      </c>
      <c r="N12" s="304">
        <v>14</v>
      </c>
      <c r="O12" s="306" t="str">
        <f t="shared" si="1"/>
        <v>-7(-33%)</v>
      </c>
      <c r="P12" s="300"/>
      <c r="Q12" s="305"/>
      <c r="R12" s="299"/>
    </row>
    <row r="13" ht="23" customHeight="1" spans="1:18">
      <c r="A13" s="288">
        <v>11</v>
      </c>
      <c r="B13" s="297"/>
      <c r="C13" s="292"/>
      <c r="D13" s="288">
        <v>121018</v>
      </c>
      <c r="E13" s="291" t="s">
        <v>67</v>
      </c>
      <c r="F13" s="292" t="s">
        <v>68</v>
      </c>
      <c r="G13" s="292" t="s">
        <v>69</v>
      </c>
      <c r="H13" s="292" t="s">
        <v>70</v>
      </c>
      <c r="I13" s="292" t="s">
        <v>25</v>
      </c>
      <c r="J13" s="293" t="s">
        <v>26</v>
      </c>
      <c r="K13" s="294"/>
      <c r="L13" s="292"/>
      <c r="M13" s="288">
        <v>11</v>
      </c>
      <c r="N13" s="288">
        <v>13</v>
      </c>
      <c r="O13" s="306" t="str">
        <f t="shared" si="1"/>
        <v>2(18%)</v>
      </c>
      <c r="P13" s="290"/>
      <c r="Q13" s="291"/>
      <c r="R13" s="299"/>
    </row>
    <row r="14" ht="23" customHeight="1" spans="1:18">
      <c r="A14" s="288">
        <v>12</v>
      </c>
      <c r="B14" s="297"/>
      <c r="C14" s="290" t="s">
        <v>71</v>
      </c>
      <c r="D14" s="288">
        <v>222201001</v>
      </c>
      <c r="E14" s="291" t="s">
        <v>72</v>
      </c>
      <c r="F14" s="292" t="s">
        <v>73</v>
      </c>
      <c r="G14" s="290" t="s">
        <v>35</v>
      </c>
      <c r="H14" s="292" t="s">
        <v>24</v>
      </c>
      <c r="I14" s="292" t="s">
        <v>25</v>
      </c>
      <c r="J14" s="293" t="s">
        <v>26</v>
      </c>
      <c r="K14" s="294" t="s">
        <v>31</v>
      </c>
      <c r="L14" s="296"/>
      <c r="M14" s="288">
        <v>2.75</v>
      </c>
      <c r="N14" s="288">
        <v>6</v>
      </c>
      <c r="O14" s="306" t="str">
        <f t="shared" si="1"/>
        <v>3.25(118%)</v>
      </c>
      <c r="P14" s="290"/>
      <c r="Q14" s="291"/>
      <c r="R14" s="299" t="s">
        <v>74</v>
      </c>
    </row>
    <row r="15" ht="23" customHeight="1" spans="1:18">
      <c r="A15" s="288">
        <v>13</v>
      </c>
      <c r="B15" s="297"/>
      <c r="C15" s="292"/>
      <c r="D15" s="288">
        <v>22220905</v>
      </c>
      <c r="E15" s="291" t="s">
        <v>75</v>
      </c>
      <c r="F15" s="292" t="s">
        <v>73</v>
      </c>
      <c r="G15" s="290" t="s">
        <v>35</v>
      </c>
      <c r="H15" s="292" t="s">
        <v>24</v>
      </c>
      <c r="I15" s="292" t="s">
        <v>25</v>
      </c>
      <c r="J15" s="293" t="s">
        <v>26</v>
      </c>
      <c r="K15" s="294" t="s">
        <v>27</v>
      </c>
      <c r="L15" s="296"/>
      <c r="M15" s="288">
        <v>3.87</v>
      </c>
      <c r="N15" s="288">
        <v>1.5</v>
      </c>
      <c r="O15" s="306" t="str">
        <f t="shared" si="1"/>
        <v>-2.37(-61%)</v>
      </c>
      <c r="P15" s="296"/>
      <c r="Q15" s="291"/>
      <c r="R15" s="299" t="s">
        <v>76</v>
      </c>
    </row>
    <row r="16" ht="23" customHeight="1" spans="1:18">
      <c r="A16" s="288">
        <v>14</v>
      </c>
      <c r="B16" s="297"/>
      <c r="C16" s="292"/>
      <c r="D16" s="288">
        <v>21250326</v>
      </c>
      <c r="E16" s="291" t="s">
        <v>77</v>
      </c>
      <c r="F16" s="292" t="s">
        <v>73</v>
      </c>
      <c r="G16" s="290" t="s">
        <v>29</v>
      </c>
      <c r="H16" s="292" t="s">
        <v>56</v>
      </c>
      <c r="I16" s="292" t="s">
        <v>78</v>
      </c>
      <c r="J16" s="302">
        <v>0.8</v>
      </c>
      <c r="K16" s="294" t="s">
        <v>79</v>
      </c>
      <c r="L16" s="290"/>
      <c r="M16" s="288">
        <v>17.5</v>
      </c>
      <c r="N16" s="288">
        <v>17.5</v>
      </c>
      <c r="O16" s="295" t="str">
        <f t="shared" ref="O15:O23" si="2">N16-M16&amp;"("&amp;ROUND(((N16-M16)/M16*100),0)&amp;"%)"</f>
        <v>0(0%)</v>
      </c>
      <c r="P16" s="296"/>
      <c r="Q16" s="291"/>
      <c r="R16" s="299"/>
    </row>
    <row r="17" ht="23" customHeight="1" spans="1:18">
      <c r="A17" s="288">
        <v>15</v>
      </c>
      <c r="B17" s="297"/>
      <c r="C17" s="292"/>
      <c r="D17" s="288" t="s">
        <v>80</v>
      </c>
      <c r="E17" s="291" t="s">
        <v>81</v>
      </c>
      <c r="F17" s="292" t="s">
        <v>82</v>
      </c>
      <c r="G17" s="290" t="s">
        <v>29</v>
      </c>
      <c r="H17" s="292" t="s">
        <v>83</v>
      </c>
      <c r="I17" s="292" t="s">
        <v>25</v>
      </c>
      <c r="J17" s="302">
        <v>1</v>
      </c>
      <c r="K17" s="294" t="s">
        <v>79</v>
      </c>
      <c r="L17" s="290"/>
      <c r="M17" s="288">
        <v>0</v>
      </c>
      <c r="N17" s="288">
        <v>0</v>
      </c>
      <c r="O17" s="295">
        <v>0</v>
      </c>
      <c r="P17" s="296"/>
      <c r="Q17" s="291"/>
      <c r="R17" s="292" t="s">
        <v>84</v>
      </c>
    </row>
    <row r="18" ht="23" customHeight="1" spans="1:18">
      <c r="A18" s="288">
        <v>16</v>
      </c>
      <c r="B18" s="297"/>
      <c r="C18" s="290" t="s">
        <v>85</v>
      </c>
      <c r="D18" s="288" t="s">
        <v>86</v>
      </c>
      <c r="E18" s="291" t="s">
        <v>87</v>
      </c>
      <c r="F18" s="292" t="s">
        <v>88</v>
      </c>
      <c r="G18" s="292" t="s">
        <v>29</v>
      </c>
      <c r="H18" s="292" t="s">
        <v>30</v>
      </c>
      <c r="I18" s="292" t="s">
        <v>25</v>
      </c>
      <c r="J18" s="293" t="s">
        <v>26</v>
      </c>
      <c r="K18" s="294"/>
      <c r="L18" s="292"/>
      <c r="M18" s="288">
        <v>8</v>
      </c>
      <c r="N18" s="288">
        <v>8</v>
      </c>
      <c r="O18" s="306" t="str">
        <f t="shared" si="2"/>
        <v>0(0%)</v>
      </c>
      <c r="P18" s="296"/>
      <c r="Q18" s="291"/>
      <c r="R18" s="290" t="s">
        <v>89</v>
      </c>
    </row>
    <row r="19" ht="23" customHeight="1" spans="1:18">
      <c r="A19" s="288">
        <v>17</v>
      </c>
      <c r="B19" s="297"/>
      <c r="C19" s="292"/>
      <c r="D19" s="304"/>
      <c r="E19" s="291" t="s">
        <v>90</v>
      </c>
      <c r="F19" s="292" t="s">
        <v>88</v>
      </c>
      <c r="G19" s="292" t="s">
        <v>29</v>
      </c>
      <c r="H19" s="299" t="s">
        <v>52</v>
      </c>
      <c r="I19" s="292" t="s">
        <v>25</v>
      </c>
      <c r="J19" s="293" t="s">
        <v>26</v>
      </c>
      <c r="K19" s="294"/>
      <c r="L19" s="292"/>
      <c r="M19" s="288">
        <v>7</v>
      </c>
      <c r="N19" s="288">
        <v>2</v>
      </c>
      <c r="O19" s="306" t="str">
        <f t="shared" si="2"/>
        <v>-5(-71%)</v>
      </c>
      <c r="P19" s="296"/>
      <c r="Q19" s="291"/>
      <c r="R19" s="300"/>
    </row>
    <row r="20" ht="23" customHeight="1" spans="1:18">
      <c r="A20" s="288">
        <v>18</v>
      </c>
      <c r="B20" s="297"/>
      <c r="C20" s="290" t="s">
        <v>91</v>
      </c>
      <c r="D20" s="288" t="s">
        <v>92</v>
      </c>
      <c r="E20" s="291" t="s">
        <v>93</v>
      </c>
      <c r="F20" s="292" t="s">
        <v>94</v>
      </c>
      <c r="G20" s="292" t="s">
        <v>29</v>
      </c>
      <c r="H20" s="299" t="s">
        <v>52</v>
      </c>
      <c r="I20" s="292" t="s">
        <v>25</v>
      </c>
      <c r="J20" s="293" t="s">
        <v>26</v>
      </c>
      <c r="K20" s="294"/>
      <c r="L20" s="292"/>
      <c r="M20" s="288">
        <v>21</v>
      </c>
      <c r="N20" s="288">
        <v>25</v>
      </c>
      <c r="O20" s="306" t="str">
        <f t="shared" si="2"/>
        <v>4(19%)</v>
      </c>
      <c r="P20" s="300"/>
      <c r="Q20" s="305"/>
      <c r="R20" s="299"/>
    </row>
    <row r="21" ht="23" customHeight="1" spans="1:18">
      <c r="A21" s="288">
        <v>19</v>
      </c>
      <c r="B21" s="297"/>
      <c r="C21" s="292"/>
      <c r="D21" s="288"/>
      <c r="E21" s="291" t="s">
        <v>95</v>
      </c>
      <c r="F21" s="292" t="s">
        <v>44</v>
      </c>
      <c r="G21" s="292" t="s">
        <v>29</v>
      </c>
      <c r="H21" s="299" t="s">
        <v>52</v>
      </c>
      <c r="I21" s="292" t="s">
        <v>25</v>
      </c>
      <c r="J21" s="293" t="s">
        <v>26</v>
      </c>
      <c r="K21" s="294"/>
      <c r="L21" s="292"/>
      <c r="M21" s="288">
        <v>15.5</v>
      </c>
      <c r="N21" s="288">
        <v>16.5</v>
      </c>
      <c r="O21" s="295" t="str">
        <f t="shared" si="2"/>
        <v>1(6%)</v>
      </c>
      <c r="P21" s="300"/>
      <c r="Q21" s="305"/>
      <c r="R21" s="299"/>
    </row>
    <row r="22" ht="23" customHeight="1" spans="1:18">
      <c r="A22" s="288">
        <v>20</v>
      </c>
      <c r="B22" s="297"/>
      <c r="C22" s="292"/>
      <c r="D22" s="288"/>
      <c r="E22" s="291" t="s">
        <v>96</v>
      </c>
      <c r="F22" s="292" t="s">
        <v>55</v>
      </c>
      <c r="G22" s="292" t="s">
        <v>29</v>
      </c>
      <c r="H22" s="299" t="s">
        <v>52</v>
      </c>
      <c r="I22" s="292" t="s">
        <v>25</v>
      </c>
      <c r="J22" s="293" t="s">
        <v>26</v>
      </c>
      <c r="K22" s="294"/>
      <c r="L22" s="290"/>
      <c r="M22" s="288">
        <v>13</v>
      </c>
      <c r="N22" s="288">
        <v>14</v>
      </c>
      <c r="O22" s="295" t="str">
        <f t="shared" si="2"/>
        <v>1(8%)</v>
      </c>
      <c r="P22" s="296"/>
      <c r="Q22" s="291"/>
      <c r="R22" s="299"/>
    </row>
    <row r="23" ht="23" customHeight="1" spans="1:18">
      <c r="A23" s="288">
        <v>21</v>
      </c>
      <c r="B23" s="297"/>
      <c r="C23" s="292"/>
      <c r="D23" s="288"/>
      <c r="E23" s="291" t="s">
        <v>97</v>
      </c>
      <c r="F23" s="292" t="s">
        <v>64</v>
      </c>
      <c r="G23" s="292" t="s">
        <v>29</v>
      </c>
      <c r="H23" s="299" t="s">
        <v>52</v>
      </c>
      <c r="I23" s="292" t="s">
        <v>25</v>
      </c>
      <c r="J23" s="293" t="s">
        <v>26</v>
      </c>
      <c r="K23" s="294"/>
      <c r="L23" s="290"/>
      <c r="M23" s="288">
        <v>21</v>
      </c>
      <c r="N23" s="288">
        <v>20.5</v>
      </c>
      <c r="O23" s="295" t="str">
        <f t="shared" si="2"/>
        <v>-0.5(-2%)</v>
      </c>
      <c r="P23" s="296"/>
      <c r="Q23" s="291"/>
      <c r="R23" s="299"/>
    </row>
    <row r="24" ht="38.25" customHeight="1" spans="1:18">
      <c r="A24" s="307"/>
      <c r="B24" s="308"/>
      <c r="C24" s="309"/>
      <c r="D24" s="309"/>
      <c r="E24" s="309"/>
      <c r="F24" s="309"/>
      <c r="G24" s="309"/>
      <c r="H24" s="310" t="s">
        <v>98</v>
      </c>
      <c r="I24" s="310"/>
      <c r="J24" s="311">
        <v>203.12</v>
      </c>
      <c r="K24" s="311"/>
      <c r="L24" s="310" t="s">
        <v>99</v>
      </c>
      <c r="M24" s="311"/>
      <c r="N24" s="311">
        <v>200.25</v>
      </c>
      <c r="O24" s="311"/>
      <c r="P24" s="312" t="s">
        <v>100</v>
      </c>
      <c r="Q24" s="313">
        <f>N24/34/5</f>
        <v>1.17794117647059</v>
      </c>
      <c r="R24" s="314"/>
    </row>
    <row r="25" ht="29" customHeight="1" spans="1:18">
      <c r="A25" s="315">
        <v>22</v>
      </c>
      <c r="B25" s="316" t="s">
        <v>101</v>
      </c>
      <c r="C25" s="316" t="s">
        <v>102</v>
      </c>
      <c r="D25" s="317" t="s">
        <v>103</v>
      </c>
      <c r="E25" s="318" t="s">
        <v>104</v>
      </c>
      <c r="F25" s="319" t="s">
        <v>105</v>
      </c>
      <c r="G25" s="319" t="s">
        <v>29</v>
      </c>
      <c r="H25" s="319" t="s">
        <v>106</v>
      </c>
      <c r="I25" s="319" t="s">
        <v>25</v>
      </c>
      <c r="J25" s="320">
        <v>0.1</v>
      </c>
      <c r="K25" s="321" t="s">
        <v>42</v>
      </c>
      <c r="L25" s="319"/>
      <c r="M25" s="317">
        <v>4.5</v>
      </c>
      <c r="N25" s="317">
        <v>5</v>
      </c>
      <c r="O25" s="295" t="str">
        <f>N25-M25&amp;"("&amp;ROUND(((N25-M25)/M25*100),0)&amp;"%)"</f>
        <v>0.5(11%)</v>
      </c>
      <c r="P25" s="322"/>
      <c r="Q25" s="318"/>
      <c r="R25" s="319"/>
    </row>
    <row r="26" ht="25" customHeight="1" spans="1:18">
      <c r="A26" s="288">
        <v>23</v>
      </c>
      <c r="B26" s="316"/>
      <c r="C26" s="316"/>
      <c r="D26" s="288" t="s">
        <v>107</v>
      </c>
      <c r="E26" s="291" t="s">
        <v>108</v>
      </c>
      <c r="F26" s="292" t="s">
        <v>109</v>
      </c>
      <c r="G26" s="319" t="s">
        <v>29</v>
      </c>
      <c r="H26" s="292" t="s">
        <v>56</v>
      </c>
      <c r="I26" s="292" t="s">
        <v>25</v>
      </c>
      <c r="J26" s="293" t="s">
        <v>110</v>
      </c>
      <c r="K26" s="294" t="s">
        <v>79</v>
      </c>
      <c r="L26" s="290"/>
      <c r="M26" s="288">
        <v>9</v>
      </c>
      <c r="N26" s="288">
        <v>8</v>
      </c>
      <c r="O26" s="295" t="str">
        <f>N26-M26&amp;"("&amp;ROUND(((N26-M26)/M26*100),0)&amp;"%)"</f>
        <v>-1(-11%)</v>
      </c>
      <c r="P26" s="296"/>
      <c r="Q26" s="291"/>
      <c r="R26" s="299"/>
    </row>
    <row r="27" ht="25" customHeight="1" spans="1:18">
      <c r="A27" s="323"/>
      <c r="B27" s="316"/>
      <c r="C27" s="316"/>
      <c r="D27" s="323"/>
      <c r="E27" s="324" t="s">
        <v>111</v>
      </c>
      <c r="F27" s="325" t="s">
        <v>112</v>
      </c>
      <c r="G27" s="292" t="s">
        <v>113</v>
      </c>
      <c r="H27" s="325"/>
      <c r="I27" s="325"/>
      <c r="J27" s="326"/>
      <c r="K27" s="327"/>
      <c r="L27" s="289"/>
      <c r="M27" s="323">
        <v>11.5</v>
      </c>
      <c r="N27" s="323">
        <v>15</v>
      </c>
      <c r="O27" s="295" t="str">
        <f>N27-M27&amp;"("&amp;ROUND(((N27-M27)/M27*100),0)&amp;"%)"</f>
        <v>3.5(30%)</v>
      </c>
      <c r="P27" s="328"/>
      <c r="Q27" s="324"/>
      <c r="R27" s="329" t="s">
        <v>114</v>
      </c>
    </row>
    <row r="28" ht="41" customHeight="1" spans="1:18">
      <c r="A28" s="307"/>
      <c r="B28" s="330"/>
      <c r="C28" s="309"/>
      <c r="D28" s="309"/>
      <c r="E28" s="309"/>
      <c r="F28" s="309"/>
      <c r="G28" s="309"/>
      <c r="H28" s="310" t="s">
        <v>98</v>
      </c>
      <c r="I28" s="310"/>
      <c r="J28" s="311">
        <v>25</v>
      </c>
      <c r="K28" s="311"/>
      <c r="L28" s="310" t="s">
        <v>99</v>
      </c>
      <c r="M28" s="311"/>
      <c r="N28" s="311">
        <v>28</v>
      </c>
      <c r="O28" s="311"/>
      <c r="P28" s="312" t="s">
        <v>100</v>
      </c>
      <c r="Q28" s="313">
        <f>N28/10/5</f>
        <v>0.56</v>
      </c>
      <c r="R28" s="314"/>
    </row>
    <row r="29" ht="23" customHeight="1" spans="1:18">
      <c r="A29" s="315">
        <v>24</v>
      </c>
      <c r="B29" s="316" t="s">
        <v>115</v>
      </c>
      <c r="C29" s="331" t="s">
        <v>102</v>
      </c>
      <c r="D29" s="317" t="s">
        <v>116</v>
      </c>
      <c r="E29" s="332" t="s">
        <v>117</v>
      </c>
      <c r="F29" s="319" t="s">
        <v>118</v>
      </c>
      <c r="G29" s="333" t="s">
        <v>29</v>
      </c>
      <c r="H29" s="319" t="s">
        <v>56</v>
      </c>
      <c r="I29" s="319" t="s">
        <v>25</v>
      </c>
      <c r="J29" s="320">
        <v>0.92</v>
      </c>
      <c r="K29" s="321" t="s">
        <v>31</v>
      </c>
      <c r="L29" s="319"/>
      <c r="M29" s="317">
        <v>37.6</v>
      </c>
      <c r="N29" s="317">
        <v>30.15</v>
      </c>
      <c r="O29" s="321" t="str">
        <f>ROUND(N29-M29,2)&amp;"("&amp;ROUND(((N29-M29)/M29)*100,0)&amp;"%)"</f>
        <v>-7.45(-20%)</v>
      </c>
      <c r="P29" s="334"/>
      <c r="Q29" s="318"/>
      <c r="R29" s="319"/>
    </row>
    <row r="30" ht="23" customHeight="1" spans="1:18">
      <c r="A30" s="315">
        <v>25</v>
      </c>
      <c r="B30" s="316"/>
      <c r="C30" s="290"/>
      <c r="D30" s="288">
        <v>21250418</v>
      </c>
      <c r="E30" s="305" t="s">
        <v>119</v>
      </c>
      <c r="F30" s="292" t="s">
        <v>120</v>
      </c>
      <c r="G30" s="292" t="s">
        <v>29</v>
      </c>
      <c r="H30" s="292" t="s">
        <v>83</v>
      </c>
      <c r="I30" s="292" t="s">
        <v>25</v>
      </c>
      <c r="J30" s="293" t="s">
        <v>26</v>
      </c>
      <c r="K30" s="288" t="s">
        <v>79</v>
      </c>
      <c r="L30" s="299"/>
      <c r="M30" s="304">
        <v>1.7</v>
      </c>
      <c r="N30" s="304">
        <v>11.2</v>
      </c>
      <c r="O30" s="321" t="str">
        <f>ROUND(N30-M30,2)&amp;"("&amp;ROUND(((N30-M30)/M30)*100,0)&amp;"%)"</f>
        <v>9.5(559%)</v>
      </c>
      <c r="P30" s="335"/>
      <c r="Q30" s="305"/>
      <c r="R30" s="300"/>
    </row>
    <row r="31" ht="23" customHeight="1" spans="1:18">
      <c r="A31" s="315">
        <v>26</v>
      </c>
      <c r="B31" s="316"/>
      <c r="C31" s="290"/>
      <c r="D31" s="304" t="s">
        <v>121</v>
      </c>
      <c r="E31" s="291" t="s">
        <v>122</v>
      </c>
      <c r="F31" s="299" t="s">
        <v>120</v>
      </c>
      <c r="G31" s="300" t="s">
        <v>29</v>
      </c>
      <c r="H31" s="299" t="s">
        <v>56</v>
      </c>
      <c r="I31" s="299" t="s">
        <v>25</v>
      </c>
      <c r="J31" s="302">
        <v>0.95</v>
      </c>
      <c r="K31" s="295" t="s">
        <v>31</v>
      </c>
      <c r="L31" s="299"/>
      <c r="M31" s="304">
        <v>0</v>
      </c>
      <c r="N31" s="304"/>
      <c r="O31" s="321" t="e">
        <f>ROUND(N31-M31,2)&amp;"("&amp;ROUND(((N31-M31)/M31)*100,0)&amp;"%)"</f>
        <v>#DIV/0!</v>
      </c>
      <c r="P31" s="335"/>
      <c r="Q31" s="305"/>
      <c r="R31" s="300"/>
    </row>
    <row r="32" ht="23" customHeight="1" spans="1:18">
      <c r="A32" s="315">
        <v>27</v>
      </c>
      <c r="B32" s="316"/>
      <c r="C32" s="290"/>
      <c r="D32" s="304" t="s">
        <v>123</v>
      </c>
      <c r="E32" s="305" t="s">
        <v>124</v>
      </c>
      <c r="F32" s="299" t="s">
        <v>120</v>
      </c>
      <c r="G32" s="300" t="s">
        <v>29</v>
      </c>
      <c r="H32" s="299" t="s">
        <v>30</v>
      </c>
      <c r="I32" s="299" t="s">
        <v>25</v>
      </c>
      <c r="J32" s="302">
        <v>0.95</v>
      </c>
      <c r="K32" s="295"/>
      <c r="L32" s="299"/>
      <c r="M32" s="304">
        <v>11</v>
      </c>
      <c r="N32" s="304">
        <v>10.8</v>
      </c>
      <c r="O32" s="321" t="str">
        <f>ROUND(N32-M32,2)&amp;"("&amp;ROUND(((N32-M32)/M32)*100,0)&amp;"%)"</f>
        <v>-0.2(-2%)</v>
      </c>
      <c r="P32" s="335"/>
      <c r="Q32" s="305"/>
      <c r="R32" s="300" t="s">
        <v>125</v>
      </c>
    </row>
    <row r="33" ht="23" customHeight="1" spans="1:18">
      <c r="A33" s="315">
        <v>28</v>
      </c>
      <c r="B33" s="316"/>
      <c r="C33" s="290"/>
      <c r="D33" s="288" t="s">
        <v>126</v>
      </c>
      <c r="E33" s="291" t="s">
        <v>127</v>
      </c>
      <c r="F33" s="299" t="s">
        <v>120</v>
      </c>
      <c r="G33" s="292" t="s">
        <v>29</v>
      </c>
      <c r="H33" s="292" t="s">
        <v>24</v>
      </c>
      <c r="I33" s="299" t="s">
        <v>25</v>
      </c>
      <c r="J33" s="302">
        <v>0.3</v>
      </c>
      <c r="K33" s="288" t="s">
        <v>79</v>
      </c>
      <c r="L33" s="291"/>
      <c r="M33" s="288">
        <v>4.7</v>
      </c>
      <c r="N33" s="288"/>
      <c r="O33" s="321">
        <v>4.7</v>
      </c>
      <c r="P33" s="291"/>
      <c r="Q33" s="305"/>
      <c r="R33" s="300"/>
    </row>
    <row r="34" ht="23" customHeight="1" spans="1:18">
      <c r="A34" s="315">
        <v>29</v>
      </c>
      <c r="B34" s="316"/>
      <c r="C34" s="290"/>
      <c r="D34" s="288" t="s">
        <v>128</v>
      </c>
      <c r="E34" s="291" t="s">
        <v>129</v>
      </c>
      <c r="F34" s="292" t="s">
        <v>120</v>
      </c>
      <c r="G34" s="292" t="s">
        <v>29</v>
      </c>
      <c r="H34" s="299" t="s">
        <v>52</v>
      </c>
      <c r="I34" s="292" t="s">
        <v>25</v>
      </c>
      <c r="J34" s="293" t="s">
        <v>110</v>
      </c>
      <c r="K34" s="294" t="s">
        <v>79</v>
      </c>
      <c r="L34" s="290"/>
      <c r="M34" s="288"/>
      <c r="N34" s="288"/>
      <c r="O34" s="321"/>
      <c r="P34" s="296"/>
      <c r="Q34" s="291"/>
      <c r="R34" s="300"/>
    </row>
    <row r="35" ht="23" customHeight="1" spans="1:18">
      <c r="A35" s="315">
        <v>30</v>
      </c>
      <c r="B35" s="316"/>
      <c r="C35" s="290"/>
      <c r="D35" s="288">
        <v>21250417</v>
      </c>
      <c r="E35" s="291" t="s">
        <v>130</v>
      </c>
      <c r="F35" s="292" t="s">
        <v>109</v>
      </c>
      <c r="G35" s="292" t="s">
        <v>29</v>
      </c>
      <c r="H35" s="299" t="s">
        <v>24</v>
      </c>
      <c r="I35" s="292" t="s">
        <v>25</v>
      </c>
      <c r="J35" s="293" t="s">
        <v>26</v>
      </c>
      <c r="K35" s="288" t="s">
        <v>79</v>
      </c>
      <c r="L35" s="291"/>
      <c r="M35" s="288"/>
      <c r="N35" s="288"/>
      <c r="O35" s="321"/>
      <c r="P35" s="291"/>
      <c r="Q35" s="291"/>
      <c r="R35" s="300"/>
    </row>
    <row r="36" ht="23" customHeight="1" spans="1:18">
      <c r="A36" s="315">
        <v>31</v>
      </c>
      <c r="B36" s="316"/>
      <c r="C36" s="290"/>
      <c r="D36" s="288"/>
      <c r="E36" s="305" t="s">
        <v>131</v>
      </c>
      <c r="F36" s="299"/>
      <c r="G36" s="300" t="s">
        <v>35</v>
      </c>
      <c r="H36" s="299" t="s">
        <v>70</v>
      </c>
      <c r="I36" s="292"/>
      <c r="J36" s="293"/>
      <c r="K36" s="294"/>
      <c r="L36" s="290"/>
      <c r="M36" s="288"/>
      <c r="N36" s="288"/>
      <c r="O36" s="321"/>
      <c r="P36" s="296"/>
      <c r="Q36" s="291"/>
      <c r="R36" s="300" t="s">
        <v>132</v>
      </c>
    </row>
    <row r="37" ht="23" customHeight="1" spans="1:18">
      <c r="A37" s="315">
        <v>32</v>
      </c>
      <c r="B37" s="316"/>
      <c r="C37" s="290"/>
      <c r="D37" s="288"/>
      <c r="E37" s="336" t="s">
        <v>133</v>
      </c>
      <c r="F37" s="292"/>
      <c r="G37" s="292" t="s">
        <v>134</v>
      </c>
      <c r="H37" s="292" t="s">
        <v>135</v>
      </c>
      <c r="I37" s="292"/>
      <c r="J37" s="293"/>
      <c r="K37" s="294"/>
      <c r="L37" s="290"/>
      <c r="M37" s="288"/>
      <c r="N37" s="288"/>
      <c r="O37" s="321"/>
      <c r="P37" s="296"/>
      <c r="Q37" s="291"/>
      <c r="R37" s="300"/>
    </row>
    <row r="38" ht="23" customHeight="1" spans="1:18">
      <c r="A38" s="315">
        <v>33</v>
      </c>
      <c r="B38" s="316"/>
      <c r="C38" s="337" t="s">
        <v>92</v>
      </c>
      <c r="D38" s="338"/>
      <c r="E38" s="291" t="s">
        <v>136</v>
      </c>
      <c r="F38" s="292" t="s">
        <v>137</v>
      </c>
      <c r="G38" s="292" t="s">
        <v>29</v>
      </c>
      <c r="H38" s="299"/>
      <c r="I38" s="299"/>
      <c r="J38" s="302"/>
      <c r="K38" s="295"/>
      <c r="L38" s="299"/>
      <c r="M38" s="304"/>
      <c r="N38" s="304"/>
      <c r="O38" s="321"/>
      <c r="P38" s="335"/>
      <c r="Q38" s="305"/>
      <c r="R38" s="300"/>
    </row>
    <row r="39" ht="47" customHeight="1" spans="1:18">
      <c r="A39" s="307"/>
      <c r="B39" s="330"/>
      <c r="C39" s="309"/>
      <c r="D39" s="309"/>
      <c r="E39" s="309"/>
      <c r="F39" s="309"/>
      <c r="G39" s="309"/>
      <c r="H39" s="310" t="s">
        <v>98</v>
      </c>
      <c r="I39" s="310"/>
      <c r="J39" s="311">
        <v>55</v>
      </c>
      <c r="K39" s="311"/>
      <c r="L39" s="310" t="s">
        <v>99</v>
      </c>
      <c r="M39" s="311"/>
      <c r="N39" s="311">
        <v>52.15</v>
      </c>
      <c r="O39" s="311"/>
      <c r="P39" s="312" t="s">
        <v>100</v>
      </c>
      <c r="Q39" s="313">
        <f>N39/7/5</f>
        <v>1.49</v>
      </c>
      <c r="R39" s="314"/>
    </row>
    <row r="40" ht="28" customHeight="1" spans="1:18">
      <c r="A40" s="315">
        <v>34</v>
      </c>
      <c r="B40" s="316" t="s">
        <v>138</v>
      </c>
      <c r="C40" s="339" t="s">
        <v>102</v>
      </c>
      <c r="D40" s="315">
        <v>22210906</v>
      </c>
      <c r="E40" s="332" t="s">
        <v>139</v>
      </c>
      <c r="F40" s="339" t="s">
        <v>61</v>
      </c>
      <c r="G40" s="339" t="s">
        <v>23</v>
      </c>
      <c r="H40" s="339" t="s">
        <v>56</v>
      </c>
      <c r="I40" s="339" t="s">
        <v>25</v>
      </c>
      <c r="J40" s="340" t="s">
        <v>23</v>
      </c>
      <c r="K40" s="315"/>
      <c r="L40" s="339"/>
      <c r="M40" s="315">
        <v>27</v>
      </c>
      <c r="N40" s="315">
        <v>27</v>
      </c>
      <c r="O40" s="341" t="str">
        <f>N40-M40&amp;"("&amp;ROUND(((N40-M40)/M40*100),0)&amp;"%)"</f>
        <v>0(0%)</v>
      </c>
      <c r="P40" s="342"/>
      <c r="Q40" s="332"/>
      <c r="R40" s="331"/>
    </row>
    <row r="41" ht="40" customHeight="1" spans="1:18">
      <c r="A41" s="307"/>
      <c r="B41" s="308"/>
      <c r="C41" s="309"/>
      <c r="D41" s="309"/>
      <c r="E41" s="309"/>
      <c r="F41" s="309"/>
      <c r="G41" s="309"/>
      <c r="H41" s="310" t="s">
        <v>98</v>
      </c>
      <c r="I41" s="310"/>
      <c r="J41" s="311">
        <v>25</v>
      </c>
      <c r="K41" s="311"/>
      <c r="L41" s="310" t="s">
        <v>99</v>
      </c>
      <c r="M41" s="311"/>
      <c r="N41" s="311">
        <v>27</v>
      </c>
      <c r="O41" s="311"/>
      <c r="P41" s="312" t="s">
        <v>100</v>
      </c>
      <c r="Q41" s="313">
        <f>N41/22/5</f>
        <v>0.245454545454545</v>
      </c>
      <c r="R41" s="314"/>
    </row>
    <row r="42" ht="43.2" customHeight="1" spans="1:18">
      <c r="A42" s="343"/>
      <c r="B42" s="344"/>
      <c r="C42" s="344"/>
      <c r="D42" s="343"/>
      <c r="E42" s="345"/>
      <c r="F42" s="344"/>
    </row>
    <row r="43" ht="43.2" customHeight="1" spans="1:18">
      <c r="A43" s="343"/>
      <c r="B43" s="344"/>
      <c r="C43" s="344"/>
      <c r="D43" s="343"/>
      <c r="E43" s="345"/>
      <c r="F43" s="344"/>
    </row>
    <row r="44" ht="15.6" spans="1:18">
      <c r="A44" s="346"/>
      <c r="B44" s="345"/>
      <c r="C44" s="345"/>
      <c r="D44" s="346"/>
      <c r="E44" s="345"/>
      <c r="F44" s="345"/>
    </row>
    <row r="45" ht="15.6" customHeight="1" spans="1:18">
      <c r="A45" s="346"/>
      <c r="B45" s="345"/>
      <c r="C45" s="345"/>
      <c r="D45" s="346"/>
      <c r="E45" s="345"/>
      <c r="F45" s="345"/>
    </row>
    <row r="46" ht="15.6" spans="1:18">
      <c r="A46" s="346"/>
      <c r="B46" s="345"/>
      <c r="C46" s="345"/>
      <c r="D46" s="346"/>
      <c r="E46" s="345"/>
      <c r="F46" s="345"/>
    </row>
    <row r="47" ht="15.6" spans="1:18">
      <c r="A47" s="346"/>
      <c r="B47" s="345"/>
      <c r="C47" s="345"/>
      <c r="D47" s="346"/>
      <c r="E47" s="345"/>
      <c r="F47" s="345"/>
    </row>
    <row r="48" ht="15.6" spans="1:18">
      <c r="A48" s="346"/>
      <c r="B48" s="345"/>
      <c r="C48" s="345"/>
      <c r="D48" s="346"/>
      <c r="E48" s="345"/>
      <c r="F48" s="345"/>
    </row>
    <row r="49" ht="15.6" spans="1:6">
      <c r="A49" s="346"/>
      <c r="B49" s="345"/>
      <c r="C49" s="345"/>
      <c r="D49" s="346"/>
      <c r="E49" s="345"/>
      <c r="F49" s="345"/>
    </row>
    <row r="50" spans="1:6">
      <c r="A50" s="42"/>
      <c r="B50" s="347"/>
      <c r="C50" s="347"/>
      <c r="D50" s="42"/>
      <c r="E50" s="347"/>
      <c r="F50" s="347"/>
    </row>
    <row r="51" spans="1:6">
      <c r="A51" s="42"/>
      <c r="B51" s="347"/>
      <c r="C51" s="347"/>
      <c r="D51" s="42"/>
      <c r="E51" s="347"/>
      <c r="F51" s="347"/>
    </row>
  </sheetData>
  <mergeCells count="27">
    <mergeCell ref="A1:R1"/>
    <mergeCell ref="C24:G24"/>
    <mergeCell ref="H24:I24"/>
    <mergeCell ref="J24:K24"/>
    <mergeCell ref="C28:G28"/>
    <mergeCell ref="H28:I28"/>
    <mergeCell ref="J28:K28"/>
    <mergeCell ref="C38:D38"/>
    <mergeCell ref="C39:G39"/>
    <mergeCell ref="H39:I39"/>
    <mergeCell ref="J39:K39"/>
    <mergeCell ref="C41:G41"/>
    <mergeCell ref="H41:I41"/>
    <mergeCell ref="J41:K41"/>
    <mergeCell ref="B3:B24"/>
    <mergeCell ref="B25:B28"/>
    <mergeCell ref="B29:B39"/>
    <mergeCell ref="B40:B41"/>
    <mergeCell ref="C3:C6"/>
    <mergeCell ref="C7:C10"/>
    <mergeCell ref="C11:C13"/>
    <mergeCell ref="C14:C17"/>
    <mergeCell ref="C18:C19"/>
    <mergeCell ref="C20:C23"/>
    <mergeCell ref="C25:C26"/>
    <mergeCell ref="C29:C37"/>
    <mergeCell ref="D20:D23"/>
  </mergeCells>
  <dataValidations count="7">
    <dataValidation type="list" allowBlank="1" showInputMessage="1" showErrorMessage="1" sqref="H8 H40 H12:H13">
      <formula1>"售前,立项,需求,开发,发布,实施,验收"</formula1>
    </dataValidation>
    <dataValidation type="list" allowBlank="1" showInputMessage="1" showErrorMessage="1" sqref="H9 H29 H19:H23 H31:H32 H34:H36">
      <formula1>"售前,立项,需求,开发,发布,实施,验收,上线运行,维护"</formula1>
    </dataValidation>
    <dataValidation type="list" allowBlank="1" showInputMessage="1" showErrorMessage="1" sqref="H25 H30 H38">
      <formula1>"售前,立项,需求,设计,开发,发布,实施,验收"</formula1>
    </dataValidation>
    <dataValidation type="list" allowBlank="1" showInputMessage="1" showErrorMessage="1" sqref="H33 H3:H7 H10:H11 H14:H18 H26:H27">
      <formula1>"售前,立项,需求,开发,发布,实施,验收,上线运行"</formula1>
    </dataValidation>
    <dataValidation type="list" allowBlank="1" showInputMessage="1" showErrorMessage="1" sqref="I33">
      <formula1>"长期项目,正常,提前,延迟,严重延迟,暂停"</formula1>
    </dataValidation>
    <dataValidation type="list" allowBlank="1" showInputMessage="1" showErrorMessage="1" sqref="H37">
      <formula1>"售前,立项,需求,设计,开发,发布,实施,验收,挂起,暂停"</formula1>
    </dataValidation>
    <dataValidation type="list" allowBlank="1" showInputMessage="1" showErrorMessage="1" sqref="I40 I3:I23 I25:I27 I29:I32 I34:I38">
      <formula1>"长期项目,正常,提前,延迟,严重延迟"</formula1>
    </dataValidation>
  </dataValidation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44"/>
  <sheetViews>
    <sheetView zoomScale="85" zoomScaleNormal="85" workbookViewId="0">
      <pane ySplit="1" topLeftCell="A19" activePane="bottomLeft" state="frozen"/>
      <selection/>
      <selection pane="bottomLeft" activeCell="H40" sqref="H40:H42"/>
    </sheetView>
  </sheetViews>
  <sheetFormatPr defaultColWidth="9.11111111111111" defaultRowHeight="13.2"/>
  <cols>
    <col min="1" max="1" width="22.4444444444444" style="1" customWidth="1"/>
    <col min="2" max="2" width="11.6666666666667" style="1" customWidth="1"/>
    <col min="3" max="5" width="9.11111111111111" style="1"/>
    <col min="6" max="6" width="19.5555555555556" style="1" customWidth="1"/>
    <col min="7" max="7" width="9.11111111111111" style="1"/>
    <col min="8" max="8" width="59.6666666666667" style="1" customWidth="1"/>
    <col min="9" max="11" width="9.11111111111111" style="1"/>
    <col min="12" max="12" width="19.5555555555556" style="2" customWidth="1"/>
    <col min="13" max="16384" width="9.11111111111111" style="1"/>
  </cols>
  <sheetData>
    <row r="1" ht="69.6" spans="1:26">
      <c r="A1" s="3" t="s">
        <v>140</v>
      </c>
      <c r="B1" s="4" t="s">
        <v>6</v>
      </c>
      <c r="C1" s="3" t="s">
        <v>141</v>
      </c>
      <c r="D1" s="3" t="s">
        <v>142</v>
      </c>
      <c r="E1" s="4" t="s">
        <v>143</v>
      </c>
      <c r="F1" s="3" t="s">
        <v>144</v>
      </c>
      <c r="G1" s="3" t="s">
        <v>1</v>
      </c>
      <c r="H1" s="5" t="s">
        <v>145</v>
      </c>
      <c r="I1" s="3" t="s">
        <v>146</v>
      </c>
      <c r="J1" s="6" t="s">
        <v>147</v>
      </c>
      <c r="K1" s="3" t="s">
        <v>148</v>
      </c>
      <c r="L1" s="7" t="s">
        <v>149</v>
      </c>
      <c r="M1" s="8"/>
      <c r="N1" s="8"/>
      <c r="O1" s="8"/>
      <c r="P1" s="8"/>
      <c r="Q1" s="8"/>
      <c r="R1" s="8"/>
      <c r="S1" s="8"/>
      <c r="T1" s="8"/>
      <c r="U1" s="8"/>
      <c r="V1" s="8"/>
      <c r="W1" s="8"/>
      <c r="X1" s="8"/>
      <c r="Y1" s="8"/>
      <c r="Z1" s="8"/>
    </row>
    <row r="2" ht="45" spans="1:26">
      <c r="A2" s="3" t="s">
        <v>150</v>
      </c>
      <c r="B2" s="17" t="s">
        <v>22</v>
      </c>
      <c r="C2" s="348" t="s">
        <v>151</v>
      </c>
      <c r="D2" s="13"/>
      <c r="E2" s="30" t="s">
        <v>152</v>
      </c>
      <c r="F2" s="13" t="s">
        <v>56</v>
      </c>
      <c r="G2" s="13">
        <v>1</v>
      </c>
      <c r="H2" s="58" t="s">
        <v>153</v>
      </c>
      <c r="I2" s="15" t="s">
        <v>22</v>
      </c>
      <c r="J2" s="16">
        <v>1</v>
      </c>
      <c r="K2" s="13"/>
      <c r="L2" s="17">
        <v>0.5</v>
      </c>
    </row>
    <row r="3" ht="30" spans="1:26">
      <c r="A3" s="3"/>
      <c r="B3" s="17"/>
      <c r="C3" s="13"/>
      <c r="D3" s="13"/>
      <c r="E3" s="30"/>
      <c r="F3" s="13"/>
      <c r="G3" s="13">
        <v>2</v>
      </c>
      <c r="H3" s="58" t="s">
        <v>154</v>
      </c>
      <c r="I3" s="15" t="s">
        <v>22</v>
      </c>
      <c r="J3" s="16">
        <v>0.5</v>
      </c>
      <c r="K3" s="13"/>
      <c r="L3" s="17">
        <v>1</v>
      </c>
    </row>
    <row r="4" ht="30" spans="1:26">
      <c r="A4" s="3"/>
      <c r="B4" s="17"/>
      <c r="C4" s="13"/>
      <c r="D4" s="13"/>
      <c r="E4" s="30"/>
      <c r="F4" s="13"/>
      <c r="G4" s="13">
        <v>3</v>
      </c>
      <c r="H4" s="58" t="s">
        <v>155</v>
      </c>
      <c r="I4" s="15" t="s">
        <v>22</v>
      </c>
      <c r="J4" s="16">
        <v>1</v>
      </c>
      <c r="K4" s="13"/>
      <c r="L4" s="17">
        <v>1</v>
      </c>
    </row>
    <row r="5" ht="30" spans="1:26">
      <c r="A5" s="3"/>
      <c r="B5" s="17"/>
      <c r="C5" s="13"/>
      <c r="D5" s="13"/>
      <c r="E5" s="30"/>
      <c r="F5" s="13"/>
      <c r="G5" s="13">
        <v>4</v>
      </c>
      <c r="H5" s="58" t="s">
        <v>156</v>
      </c>
      <c r="I5" s="15" t="s">
        <v>22</v>
      </c>
      <c r="J5" s="16">
        <v>1</v>
      </c>
      <c r="K5" s="13"/>
      <c r="L5" s="17">
        <v>0.5</v>
      </c>
    </row>
    <row r="6" ht="15.6" spans="1:26">
      <c r="A6" s="3"/>
      <c r="B6" s="17"/>
      <c r="C6" s="13"/>
      <c r="D6" s="13"/>
      <c r="E6" s="30"/>
      <c r="F6" s="13"/>
      <c r="G6" s="13">
        <v>5</v>
      </c>
      <c r="H6" s="58" t="s">
        <v>157</v>
      </c>
      <c r="I6" s="15" t="s">
        <v>22</v>
      </c>
      <c r="J6" s="16">
        <v>1</v>
      </c>
      <c r="K6" s="13"/>
      <c r="L6" s="17">
        <v>1</v>
      </c>
    </row>
    <row r="7" ht="15.6" spans="1:26">
      <c r="A7" s="3"/>
      <c r="B7" s="17"/>
      <c r="C7" s="13"/>
      <c r="D7" s="13"/>
      <c r="E7" s="30"/>
      <c r="F7" s="13"/>
      <c r="G7" s="13">
        <v>6</v>
      </c>
      <c r="H7" s="58" t="s">
        <v>158</v>
      </c>
      <c r="I7" s="15" t="s">
        <v>22</v>
      </c>
      <c r="J7" s="16">
        <v>1</v>
      </c>
      <c r="K7" s="13"/>
      <c r="L7" s="17">
        <v>1</v>
      </c>
    </row>
    <row r="8" ht="60" spans="1:26">
      <c r="A8" s="3"/>
      <c r="B8" s="17"/>
      <c r="C8" s="13"/>
      <c r="D8" s="13"/>
      <c r="E8" s="30"/>
      <c r="F8" s="13"/>
      <c r="G8" s="13">
        <v>7</v>
      </c>
      <c r="H8" s="14" t="s">
        <v>159</v>
      </c>
      <c r="I8" s="257" t="s">
        <v>160</v>
      </c>
      <c r="J8" s="16">
        <v>1</v>
      </c>
      <c r="K8" s="13"/>
      <c r="L8" s="17">
        <v>2.5</v>
      </c>
    </row>
    <row r="9" ht="30" spans="1:26">
      <c r="A9" s="3"/>
      <c r="B9" s="17"/>
      <c r="C9" s="13"/>
      <c r="D9" s="13"/>
      <c r="E9" s="30"/>
      <c r="F9" s="13"/>
      <c r="G9" s="13">
        <v>8</v>
      </c>
      <c r="H9" s="14" t="s">
        <v>161</v>
      </c>
      <c r="I9" s="257" t="s">
        <v>160</v>
      </c>
      <c r="J9" s="16">
        <v>1</v>
      </c>
      <c r="K9" s="13"/>
      <c r="L9" s="17">
        <v>0.5</v>
      </c>
    </row>
    <row r="10" ht="30" spans="1:26">
      <c r="A10" s="3"/>
      <c r="B10" s="17"/>
      <c r="C10" s="13"/>
      <c r="D10" s="13"/>
      <c r="E10" s="30"/>
      <c r="F10" s="13"/>
      <c r="G10" s="13">
        <v>9</v>
      </c>
      <c r="H10" s="14" t="s">
        <v>162</v>
      </c>
      <c r="I10" s="257" t="s">
        <v>163</v>
      </c>
      <c r="J10" s="16">
        <v>1</v>
      </c>
      <c r="K10" s="13"/>
      <c r="L10" s="17">
        <v>2</v>
      </c>
    </row>
    <row r="11" ht="30" spans="1:26">
      <c r="A11" s="3"/>
      <c r="B11" s="17"/>
      <c r="C11" s="13"/>
      <c r="D11" s="13"/>
      <c r="E11" s="30"/>
      <c r="F11" s="13"/>
      <c r="G11" s="13">
        <v>10</v>
      </c>
      <c r="H11" s="258" t="s">
        <v>164</v>
      </c>
      <c r="I11" s="257" t="s">
        <v>165</v>
      </c>
      <c r="J11" s="16">
        <v>1</v>
      </c>
      <c r="K11" s="13"/>
      <c r="L11" s="17">
        <v>1</v>
      </c>
    </row>
    <row r="12" ht="67.8" customHeight="1" spans="1:26">
      <c r="A12" s="3"/>
      <c r="B12" s="17"/>
      <c r="C12" s="13"/>
      <c r="D12" s="13"/>
      <c r="E12" s="30"/>
      <c r="F12" s="13"/>
      <c r="G12" s="13">
        <v>11</v>
      </c>
      <c r="H12" s="259" t="s">
        <v>166</v>
      </c>
      <c r="I12" s="257" t="s">
        <v>165</v>
      </c>
      <c r="J12" s="16">
        <v>1</v>
      </c>
      <c r="K12" s="13"/>
      <c r="L12" s="17">
        <v>2</v>
      </c>
    </row>
    <row r="13" ht="15" spans="1:26">
      <c r="A13" s="3"/>
      <c r="B13" s="17"/>
      <c r="C13" s="13"/>
      <c r="D13" s="13"/>
      <c r="E13" s="32" t="s">
        <v>167</v>
      </c>
      <c r="F13" s="32"/>
      <c r="G13" s="32"/>
      <c r="H13" s="32"/>
      <c r="I13" s="32"/>
      <c r="J13" s="33"/>
      <c r="K13" s="34"/>
      <c r="L13" s="35">
        <f>SUM(L2:L12)</f>
        <v>13</v>
      </c>
    </row>
    <row r="14" ht="15.6" spans="1:26">
      <c r="A14" s="3"/>
      <c r="B14" s="17"/>
      <c r="C14" s="13"/>
      <c r="D14" s="13"/>
      <c r="E14" s="30" t="s">
        <v>168</v>
      </c>
      <c r="F14" s="30" t="s">
        <v>56</v>
      </c>
      <c r="G14" s="30">
        <v>1</v>
      </c>
      <c r="H14" s="36"/>
      <c r="I14" s="13"/>
      <c r="J14" s="37"/>
      <c r="K14" s="30"/>
      <c r="L14" s="38"/>
    </row>
    <row r="15" ht="15.6" spans="1:26">
      <c r="A15" s="3"/>
      <c r="B15" s="17"/>
      <c r="C15" s="13"/>
      <c r="D15" s="13"/>
      <c r="E15" s="30"/>
      <c r="F15" s="30"/>
      <c r="G15" s="30">
        <v>2</v>
      </c>
      <c r="H15" s="36"/>
      <c r="I15" s="30"/>
      <c r="J15" s="37"/>
      <c r="K15" s="30"/>
      <c r="L15" s="38"/>
    </row>
    <row r="16" ht="15.6" spans="1:26">
      <c r="A16" s="3" t="s">
        <v>169</v>
      </c>
      <c r="B16" s="17" t="s">
        <v>22</v>
      </c>
      <c r="C16" s="16">
        <v>0.92</v>
      </c>
      <c r="D16" s="13"/>
      <c r="E16" s="30" t="s">
        <v>152</v>
      </c>
      <c r="F16" s="13" t="s">
        <v>170</v>
      </c>
      <c r="G16" s="13">
        <v>1</v>
      </c>
      <c r="H16" s="14" t="s">
        <v>171</v>
      </c>
      <c r="I16" s="15" t="s">
        <v>160</v>
      </c>
      <c r="J16" s="16">
        <v>1</v>
      </c>
      <c r="K16" s="30"/>
      <c r="L16" s="17">
        <v>2</v>
      </c>
    </row>
    <row r="17" ht="46.8" customHeight="1" spans="1:12">
      <c r="A17" s="3"/>
      <c r="B17" s="17"/>
      <c r="C17" s="13"/>
      <c r="D17" s="13"/>
      <c r="E17" s="30"/>
      <c r="F17" s="260" t="s">
        <v>172</v>
      </c>
      <c r="G17" s="57">
        <v>1</v>
      </c>
      <c r="H17" s="261" t="s">
        <v>173</v>
      </c>
      <c r="I17" s="57" t="s">
        <v>82</v>
      </c>
      <c r="J17" s="59">
        <v>1</v>
      </c>
      <c r="K17" s="60"/>
      <c r="L17" s="55">
        <v>1</v>
      </c>
    </row>
    <row r="18" ht="92.4" customHeight="1" spans="1:12">
      <c r="A18" s="3"/>
      <c r="B18" s="17"/>
      <c r="C18" s="13"/>
      <c r="D18" s="13"/>
      <c r="E18" s="30"/>
      <c r="F18" s="260" t="s">
        <v>174</v>
      </c>
      <c r="G18" s="57">
        <v>1</v>
      </c>
      <c r="H18" s="261" t="s">
        <v>175</v>
      </c>
      <c r="I18" s="57" t="s">
        <v>34</v>
      </c>
      <c r="J18" s="59">
        <v>1</v>
      </c>
      <c r="K18" s="60"/>
      <c r="L18" s="55">
        <v>1</v>
      </c>
    </row>
    <row r="19" ht="102.6" customHeight="1" spans="1:12">
      <c r="A19" s="3"/>
      <c r="B19" s="17"/>
      <c r="C19" s="13"/>
      <c r="D19" s="13"/>
      <c r="E19" s="30"/>
      <c r="F19" s="262"/>
      <c r="G19" s="57">
        <v>2</v>
      </c>
      <c r="H19" s="261" t="s">
        <v>176</v>
      </c>
      <c r="I19" s="57" t="s">
        <v>34</v>
      </c>
      <c r="J19" s="59">
        <v>1</v>
      </c>
      <c r="K19" s="60"/>
      <c r="L19" s="55">
        <v>1</v>
      </c>
    </row>
    <row r="20" ht="46.8" customHeight="1" spans="1:12">
      <c r="A20" s="3"/>
      <c r="B20" s="17"/>
      <c r="C20" s="13"/>
      <c r="D20" s="13"/>
      <c r="E20" s="30"/>
      <c r="F20" s="262"/>
      <c r="G20" s="57">
        <v>3</v>
      </c>
      <c r="H20" s="261" t="s">
        <v>177</v>
      </c>
      <c r="I20" s="57" t="s">
        <v>34</v>
      </c>
      <c r="J20" s="59">
        <v>1</v>
      </c>
      <c r="K20" s="60"/>
      <c r="L20" s="55">
        <v>1</v>
      </c>
    </row>
    <row r="21" ht="82.2" customHeight="1" spans="1:12">
      <c r="A21" s="3"/>
      <c r="B21" s="17"/>
      <c r="C21" s="13"/>
      <c r="D21" s="13"/>
      <c r="E21" s="30"/>
      <c r="F21" s="262"/>
      <c r="G21" s="57">
        <v>4</v>
      </c>
      <c r="H21" s="261" t="s">
        <v>178</v>
      </c>
      <c r="I21" s="57" t="s">
        <v>34</v>
      </c>
      <c r="J21" s="59">
        <v>1</v>
      </c>
      <c r="K21" s="60"/>
      <c r="L21" s="55">
        <v>0.75</v>
      </c>
    </row>
    <row r="22" ht="80.4" customHeight="1" spans="1:12">
      <c r="A22" s="3"/>
      <c r="B22" s="17"/>
      <c r="C22" s="13"/>
      <c r="D22" s="13"/>
      <c r="E22" s="30"/>
      <c r="F22" s="263"/>
      <c r="G22" s="57">
        <v>5</v>
      </c>
      <c r="H22" s="261" t="s">
        <v>179</v>
      </c>
      <c r="I22" s="57" t="s">
        <v>34</v>
      </c>
      <c r="J22" s="59">
        <v>1</v>
      </c>
      <c r="K22" s="60"/>
      <c r="L22" s="55">
        <v>0.5</v>
      </c>
    </row>
    <row r="23" ht="30" spans="1:12">
      <c r="A23" s="3"/>
      <c r="B23" s="17"/>
      <c r="C23" s="13"/>
      <c r="D23" s="13"/>
      <c r="E23" s="30"/>
      <c r="F23" s="15" t="s">
        <v>180</v>
      </c>
      <c r="G23" s="57">
        <v>1</v>
      </c>
      <c r="H23" s="264" t="s">
        <v>181</v>
      </c>
      <c r="I23" s="15" t="s">
        <v>163</v>
      </c>
      <c r="J23" s="59">
        <v>1</v>
      </c>
      <c r="K23" s="60"/>
      <c r="L23" s="55">
        <v>2</v>
      </c>
    </row>
    <row r="24" ht="15" spans="1:12">
      <c r="A24" s="3"/>
      <c r="B24" s="17"/>
      <c r="C24" s="13"/>
      <c r="D24" s="13"/>
      <c r="E24" s="30"/>
      <c r="F24" s="15"/>
      <c r="G24" s="57">
        <v>2</v>
      </c>
      <c r="H24" s="58" t="s">
        <v>182</v>
      </c>
      <c r="I24" s="15" t="s">
        <v>163</v>
      </c>
      <c r="J24" s="59">
        <v>1</v>
      </c>
      <c r="K24" s="60"/>
      <c r="L24" s="55">
        <v>1</v>
      </c>
    </row>
    <row r="25" ht="15" spans="1:12">
      <c r="A25" s="3"/>
      <c r="B25" s="17"/>
      <c r="C25" s="13"/>
      <c r="D25" s="13"/>
      <c r="E25" s="30"/>
      <c r="F25" s="15"/>
      <c r="G25" s="57"/>
      <c r="H25" s="58"/>
      <c r="I25" s="15"/>
      <c r="J25" s="59"/>
      <c r="K25" s="60"/>
      <c r="L25" s="55"/>
    </row>
    <row r="26" ht="15" spans="1:12">
      <c r="A26" s="3"/>
      <c r="B26" s="17"/>
      <c r="C26" s="13"/>
      <c r="D26" s="13"/>
      <c r="E26" s="32" t="s">
        <v>167</v>
      </c>
      <c r="F26" s="32"/>
      <c r="G26" s="32"/>
      <c r="H26" s="32"/>
      <c r="I26" s="32"/>
      <c r="J26" s="33"/>
      <c r="K26" s="34"/>
      <c r="L26" s="35">
        <f>SUM(L16:L25)</f>
        <v>10.25</v>
      </c>
    </row>
    <row r="27" ht="15.6" spans="1:12">
      <c r="A27" s="3"/>
      <c r="B27" s="17"/>
      <c r="C27" s="13"/>
      <c r="D27" s="13"/>
      <c r="E27" s="30" t="s">
        <v>168</v>
      </c>
      <c r="F27" s="30" t="s">
        <v>56</v>
      </c>
      <c r="G27" s="30">
        <v>1</v>
      </c>
      <c r="H27" s="36"/>
      <c r="I27" s="13"/>
      <c r="J27" s="37"/>
      <c r="K27" s="30"/>
      <c r="L27" s="38"/>
    </row>
    <row r="28" ht="15" spans="1:12">
      <c r="A28" s="3"/>
      <c r="B28" s="17"/>
      <c r="C28" s="13"/>
      <c r="D28" s="13"/>
      <c r="E28" s="30"/>
      <c r="F28" s="30"/>
      <c r="G28" s="30">
        <v>2</v>
      </c>
      <c r="H28" s="14"/>
      <c r="I28" s="30"/>
      <c r="J28" s="37"/>
      <c r="K28" s="30"/>
      <c r="L28" s="38"/>
    </row>
    <row r="29" ht="15" spans="1:12">
      <c r="A29" s="265" t="s">
        <v>183</v>
      </c>
      <c r="B29" s="17" t="s">
        <v>34</v>
      </c>
      <c r="C29" s="13"/>
      <c r="D29" s="13"/>
      <c r="E29" s="30" t="s">
        <v>152</v>
      </c>
      <c r="F29" s="13" t="s">
        <v>184</v>
      </c>
      <c r="G29" s="13">
        <v>1</v>
      </c>
      <c r="H29" s="259"/>
      <c r="I29" s="144"/>
      <c r="J29" s="16"/>
      <c r="K29" s="30"/>
      <c r="L29" s="38"/>
    </row>
    <row r="30" ht="15" spans="1:12">
      <c r="A30" s="3"/>
      <c r="B30" s="17"/>
      <c r="C30" s="13"/>
      <c r="D30" s="13"/>
      <c r="E30" s="30"/>
      <c r="F30" s="13"/>
      <c r="G30" s="13">
        <v>2</v>
      </c>
      <c r="H30" s="258"/>
      <c r="I30" s="144"/>
      <c r="J30" s="16"/>
      <c r="K30" s="30"/>
      <c r="L30" s="38"/>
    </row>
    <row r="31" ht="15" spans="1:12">
      <c r="A31" s="3"/>
      <c r="B31" s="17"/>
      <c r="C31" s="13"/>
      <c r="D31" s="13"/>
      <c r="E31" s="32" t="s">
        <v>167</v>
      </c>
      <c r="F31" s="32"/>
      <c r="G31" s="32"/>
      <c r="H31" s="32"/>
      <c r="I31" s="32"/>
      <c r="J31" s="33"/>
      <c r="K31" s="34"/>
      <c r="L31" s="35">
        <f>SUM(L29:L30)</f>
        <v>0</v>
      </c>
    </row>
    <row r="32" ht="15.6" spans="1:12">
      <c r="A32" s="3"/>
      <c r="B32" s="17"/>
      <c r="C32" s="13"/>
      <c r="D32" s="13"/>
      <c r="E32" s="30" t="s">
        <v>168</v>
      </c>
      <c r="F32" s="30"/>
      <c r="G32" s="30"/>
      <c r="H32" s="36"/>
      <c r="I32" s="13"/>
      <c r="J32" s="37"/>
      <c r="K32" s="30"/>
      <c r="L32" s="38"/>
    </row>
    <row r="33" ht="15" spans="1:12">
      <c r="A33" s="3"/>
      <c r="B33" s="17"/>
      <c r="C33" s="13"/>
      <c r="D33" s="13"/>
      <c r="E33" s="30"/>
      <c r="F33" s="30"/>
      <c r="G33" s="30"/>
      <c r="H33" s="14"/>
      <c r="I33" s="30"/>
      <c r="J33" s="37"/>
      <c r="K33" s="30"/>
      <c r="L33" s="38"/>
    </row>
    <row r="34" ht="34.8" customHeight="1" spans="1:12">
      <c r="A34" s="3" t="s">
        <v>185</v>
      </c>
      <c r="B34" s="17" t="s">
        <v>34</v>
      </c>
      <c r="C34" s="13"/>
      <c r="D34" s="13"/>
      <c r="E34" s="30" t="s">
        <v>152</v>
      </c>
      <c r="F34" s="13" t="s">
        <v>184</v>
      </c>
      <c r="G34" s="13">
        <v>1</v>
      </c>
      <c r="H34" s="237"/>
      <c r="I34" s="15"/>
      <c r="J34" s="16"/>
      <c r="K34" s="30"/>
      <c r="L34" s="38"/>
    </row>
    <row r="35" ht="15" spans="1:12">
      <c r="A35" s="3"/>
      <c r="B35" s="17"/>
      <c r="C35" s="13"/>
      <c r="D35" s="13"/>
      <c r="E35" s="30"/>
      <c r="F35" s="13"/>
      <c r="G35" s="13">
        <v>2</v>
      </c>
      <c r="H35" s="14"/>
      <c r="I35" s="15"/>
      <c r="J35" s="16"/>
      <c r="K35" s="30"/>
      <c r="L35" s="38"/>
    </row>
    <row r="36" ht="15" spans="1:12">
      <c r="A36" s="3"/>
      <c r="B36" s="17"/>
      <c r="C36" s="13"/>
      <c r="D36" s="13"/>
      <c r="E36" s="30"/>
      <c r="F36" s="13"/>
      <c r="G36" s="13">
        <v>3</v>
      </c>
      <c r="H36" s="14"/>
      <c r="I36" s="15"/>
      <c r="J36" s="16"/>
      <c r="K36" s="30"/>
      <c r="L36" s="38"/>
    </row>
    <row r="37" ht="15" spans="1:12">
      <c r="A37" s="3"/>
      <c r="B37" s="17"/>
      <c r="C37" s="13"/>
      <c r="D37" s="13"/>
      <c r="E37" s="32" t="s">
        <v>167</v>
      </c>
      <c r="F37" s="32"/>
      <c r="G37" s="32"/>
      <c r="H37" s="32"/>
      <c r="I37" s="32"/>
      <c r="J37" s="33"/>
      <c r="K37" s="34"/>
      <c r="L37" s="35">
        <v>0</v>
      </c>
    </row>
    <row r="38" ht="15.6" spans="1:12">
      <c r="A38" s="3"/>
      <c r="B38" s="17"/>
      <c r="C38" s="13"/>
      <c r="D38" s="13"/>
      <c r="E38" s="30" t="s">
        <v>168</v>
      </c>
      <c r="F38" s="30"/>
      <c r="G38" s="30"/>
      <c r="H38" s="36"/>
      <c r="I38" s="13"/>
      <c r="J38" s="37"/>
      <c r="K38" s="30"/>
      <c r="L38" s="38"/>
    </row>
    <row r="39" ht="15" spans="1:12">
      <c r="A39" s="3"/>
      <c r="B39" s="17"/>
      <c r="C39" s="13"/>
      <c r="D39" s="13"/>
      <c r="E39" s="30"/>
      <c r="F39" s="30"/>
      <c r="G39" s="30"/>
      <c r="H39" s="14"/>
      <c r="I39" s="30"/>
      <c r="J39" s="37"/>
      <c r="K39" s="30"/>
      <c r="L39" s="38"/>
    </row>
    <row r="40" spans="1:12">
      <c r="A40" s="266" t="s">
        <v>186</v>
      </c>
      <c r="B40" s="267" t="s">
        <v>94</v>
      </c>
      <c r="C40" s="268"/>
      <c r="D40" s="269"/>
      <c r="E40" s="270" t="s">
        <v>152</v>
      </c>
      <c r="F40" s="240" t="s">
        <v>187</v>
      </c>
      <c r="G40" s="240">
        <v>1</v>
      </c>
      <c r="H40" s="241" t="s">
        <v>188</v>
      </c>
      <c r="I40" s="242" t="s">
        <v>94</v>
      </c>
      <c r="J40" s="243">
        <v>1</v>
      </c>
      <c r="K40" s="239"/>
      <c r="L40" s="244">
        <v>4</v>
      </c>
    </row>
    <row r="41" spans="1:12">
      <c r="A41" s="271"/>
      <c r="B41" s="272"/>
      <c r="C41" s="273"/>
      <c r="D41" s="273"/>
      <c r="E41" s="274"/>
      <c r="F41" s="240"/>
      <c r="G41" s="240"/>
      <c r="H41" s="241"/>
      <c r="I41" s="242" t="s">
        <v>189</v>
      </c>
      <c r="J41" s="243">
        <v>1</v>
      </c>
      <c r="K41" s="239"/>
      <c r="L41" s="244">
        <v>5</v>
      </c>
    </row>
    <row r="42" spans="1:12">
      <c r="A42" s="271"/>
      <c r="B42" s="272"/>
      <c r="C42" s="273"/>
      <c r="D42" s="273"/>
      <c r="E42" s="274"/>
      <c r="F42" s="240"/>
      <c r="G42" s="240"/>
      <c r="H42" s="241"/>
      <c r="I42" s="242" t="s">
        <v>190</v>
      </c>
      <c r="J42" s="243">
        <v>1</v>
      </c>
      <c r="K42" s="239"/>
      <c r="L42" s="244">
        <v>3</v>
      </c>
    </row>
    <row r="43" spans="1:12">
      <c r="A43" s="271"/>
      <c r="B43" s="272"/>
      <c r="C43" s="273"/>
      <c r="D43" s="273"/>
      <c r="E43" s="274"/>
      <c r="F43" s="239" t="s">
        <v>191</v>
      </c>
      <c r="G43" s="240">
        <v>1</v>
      </c>
      <c r="H43" s="241" t="s">
        <v>192</v>
      </c>
      <c r="I43" s="242" t="s">
        <v>193</v>
      </c>
      <c r="J43" s="243">
        <v>1</v>
      </c>
      <c r="K43" s="239"/>
      <c r="L43" s="245">
        <v>4</v>
      </c>
    </row>
    <row r="44" spans="1:12">
      <c r="A44" s="275"/>
      <c r="B44" s="276"/>
      <c r="C44" s="277"/>
      <c r="D44" s="277"/>
      <c r="E44" s="278"/>
      <c r="F44" s="239"/>
      <c r="G44" s="240"/>
      <c r="H44" s="241"/>
      <c r="I44" s="242" t="s">
        <v>194</v>
      </c>
      <c r="J44" s="243">
        <v>1</v>
      </c>
      <c r="K44" s="239"/>
      <c r="L44" s="245">
        <v>6</v>
      </c>
    </row>
  </sheetData>
  <autoFilter xmlns:etc="http://www.wps.cn/officeDocument/2017/etCustomData" ref="A1:L39" etc:filterBottomFollowUsedRange="0">
    <extLst/>
  </autoFilter>
  <mergeCells count="48">
    <mergeCell ref="E13:H13"/>
    <mergeCell ref="E26:H26"/>
    <mergeCell ref="E31:H31"/>
    <mergeCell ref="E37:H37"/>
    <mergeCell ref="A2:A15"/>
    <mergeCell ref="A16:A28"/>
    <mergeCell ref="A29:A33"/>
    <mergeCell ref="A34:A39"/>
    <mergeCell ref="A40:A44"/>
    <mergeCell ref="B2:B15"/>
    <mergeCell ref="B16:B28"/>
    <mergeCell ref="B29:B33"/>
    <mergeCell ref="B34:B39"/>
    <mergeCell ref="B40:B44"/>
    <mergeCell ref="C2:C15"/>
    <mergeCell ref="C16:C28"/>
    <mergeCell ref="C29:C33"/>
    <mergeCell ref="C34:C39"/>
    <mergeCell ref="C40:C44"/>
    <mergeCell ref="D2:D15"/>
    <mergeCell ref="D16:D28"/>
    <mergeCell ref="D29:D33"/>
    <mergeCell ref="D34:D39"/>
    <mergeCell ref="D40:D44"/>
    <mergeCell ref="E2:E12"/>
    <mergeCell ref="E14:E15"/>
    <mergeCell ref="E16:E25"/>
    <mergeCell ref="E27:E28"/>
    <mergeCell ref="E29:E30"/>
    <mergeCell ref="E32:E33"/>
    <mergeCell ref="E34:E36"/>
    <mergeCell ref="E38:E39"/>
    <mergeCell ref="E40:E44"/>
    <mergeCell ref="F2:F12"/>
    <mergeCell ref="F14:F15"/>
    <mergeCell ref="F18:F22"/>
    <mergeCell ref="F23:F25"/>
    <mergeCell ref="F27:F28"/>
    <mergeCell ref="F29:F30"/>
    <mergeCell ref="F32:F33"/>
    <mergeCell ref="F34:F36"/>
    <mergeCell ref="F38:F39"/>
    <mergeCell ref="F40:F42"/>
    <mergeCell ref="F43:F44"/>
    <mergeCell ref="G40:G42"/>
    <mergeCell ref="G43:G44"/>
    <mergeCell ref="H40:H42"/>
    <mergeCell ref="H43:H44"/>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67"/>
  <sheetViews>
    <sheetView workbookViewId="0">
      <pane ySplit="1" topLeftCell="A2" activePane="bottomLeft" state="frozen"/>
      <selection/>
      <selection pane="bottomLeft" activeCell="H9" sqref="H9:H11"/>
    </sheetView>
  </sheetViews>
  <sheetFormatPr defaultColWidth="9.11111111111111" defaultRowHeight="13.2"/>
  <cols>
    <col min="1" max="1" width="22.4444444444444" style="1" customWidth="1"/>
    <col min="2" max="2" width="11.6666666666667" style="1" customWidth="1"/>
    <col min="3" max="7" width="9.11111111111111" style="1"/>
    <col min="8" max="8" width="59.6666666666667" style="1" customWidth="1"/>
    <col min="9" max="11" width="9.11111111111111" style="1"/>
    <col min="12" max="12" width="19.5555555555556" style="2" customWidth="1"/>
    <col min="13" max="16384" width="9.11111111111111" style="1"/>
  </cols>
  <sheetData>
    <row r="1" ht="69.6" spans="1:26">
      <c r="A1" s="3" t="s">
        <v>140</v>
      </c>
      <c r="B1" s="4" t="s">
        <v>6</v>
      </c>
      <c r="C1" s="3" t="s">
        <v>141</v>
      </c>
      <c r="D1" s="3" t="s">
        <v>142</v>
      </c>
      <c r="E1" s="4" t="s">
        <v>143</v>
      </c>
      <c r="F1" s="3" t="s">
        <v>144</v>
      </c>
      <c r="G1" s="3" t="s">
        <v>1</v>
      </c>
      <c r="H1" s="5" t="s">
        <v>145</v>
      </c>
      <c r="I1" s="3" t="s">
        <v>146</v>
      </c>
      <c r="J1" s="6" t="s">
        <v>147</v>
      </c>
      <c r="K1" s="3" t="s">
        <v>148</v>
      </c>
      <c r="L1" s="7" t="s">
        <v>149</v>
      </c>
      <c r="M1" s="8"/>
      <c r="N1" s="8"/>
      <c r="O1" s="8"/>
      <c r="P1" s="8"/>
      <c r="Q1" s="8"/>
      <c r="R1" s="8"/>
      <c r="S1" s="8"/>
      <c r="T1" s="8"/>
      <c r="U1" s="8"/>
      <c r="V1" s="8"/>
      <c r="W1" s="8"/>
      <c r="X1" s="8"/>
      <c r="Y1" s="8"/>
      <c r="Z1" s="8"/>
    </row>
    <row r="2" ht="15" spans="1:26">
      <c r="A2" s="3" t="s">
        <v>195</v>
      </c>
      <c r="B2" s="17" t="s">
        <v>44</v>
      </c>
      <c r="C2" s="13"/>
      <c r="D2" s="13"/>
      <c r="E2" s="236" t="s">
        <v>152</v>
      </c>
      <c r="F2" s="13" t="s">
        <v>184</v>
      </c>
      <c r="G2" s="13">
        <v>1</v>
      </c>
      <c r="H2" s="237" t="s">
        <v>196</v>
      </c>
      <c r="I2" s="15" t="s">
        <v>94</v>
      </c>
      <c r="J2" s="16">
        <v>1</v>
      </c>
      <c r="K2" s="30"/>
      <c r="L2" s="38">
        <v>2</v>
      </c>
    </row>
    <row r="3" ht="15" spans="1:26">
      <c r="A3" s="3"/>
      <c r="B3" s="17"/>
      <c r="C3" s="13"/>
      <c r="D3" s="13"/>
      <c r="E3" s="238"/>
      <c r="F3" s="13"/>
      <c r="G3" s="13">
        <v>2</v>
      </c>
      <c r="H3" s="237" t="s">
        <v>196</v>
      </c>
      <c r="I3" s="15" t="s">
        <v>189</v>
      </c>
      <c r="J3" s="16">
        <v>1</v>
      </c>
      <c r="K3" s="30"/>
      <c r="L3" s="38">
        <v>2</v>
      </c>
    </row>
    <row r="4" ht="15" spans="1:26">
      <c r="A4" s="3"/>
      <c r="B4" s="17"/>
      <c r="C4" s="13"/>
      <c r="D4" s="13"/>
      <c r="E4" s="238"/>
      <c r="F4" s="13"/>
      <c r="G4" s="13">
        <v>3</v>
      </c>
      <c r="H4" s="237" t="s">
        <v>196</v>
      </c>
      <c r="I4" s="15" t="s">
        <v>190</v>
      </c>
      <c r="J4" s="16">
        <v>1</v>
      </c>
      <c r="K4" s="30"/>
      <c r="L4" s="38">
        <v>2</v>
      </c>
    </row>
    <row r="5" ht="15" spans="1:26">
      <c r="A5" s="3"/>
      <c r="B5" s="17"/>
      <c r="C5" s="13"/>
      <c r="D5" s="13"/>
      <c r="E5" s="238"/>
      <c r="F5" s="13"/>
      <c r="G5" s="13">
        <v>4</v>
      </c>
      <c r="H5" s="14" t="s">
        <v>196</v>
      </c>
      <c r="I5" s="15" t="s">
        <v>194</v>
      </c>
      <c r="J5" s="16">
        <v>1</v>
      </c>
      <c r="K5" s="30"/>
      <c r="L5" s="38">
        <v>2</v>
      </c>
    </row>
    <row r="6" ht="15" spans="1:26">
      <c r="A6" s="3"/>
      <c r="B6" s="17"/>
      <c r="C6" s="13"/>
      <c r="D6" s="13"/>
      <c r="E6" s="238"/>
      <c r="F6" s="13"/>
      <c r="G6" s="13">
        <v>5</v>
      </c>
      <c r="H6" s="14" t="s">
        <v>197</v>
      </c>
      <c r="I6" s="15" t="s">
        <v>82</v>
      </c>
      <c r="J6" s="16">
        <v>1</v>
      </c>
      <c r="K6" s="30"/>
      <c r="L6" s="38">
        <v>1</v>
      </c>
    </row>
    <row r="7" ht="90" spans="1:26">
      <c r="A7" s="3"/>
      <c r="B7" s="17"/>
      <c r="C7" s="13"/>
      <c r="D7" s="13"/>
      <c r="E7" s="238"/>
      <c r="F7" s="13"/>
      <c r="G7" s="13">
        <v>6</v>
      </c>
      <c r="H7" s="237" t="s">
        <v>198</v>
      </c>
      <c r="I7" s="15" t="s">
        <v>44</v>
      </c>
      <c r="J7" s="16">
        <v>1</v>
      </c>
      <c r="K7" s="30"/>
      <c r="L7" s="38">
        <v>3</v>
      </c>
    </row>
    <row r="8" ht="60" spans="1:26">
      <c r="A8" s="3"/>
      <c r="B8" s="17"/>
      <c r="C8" s="13"/>
      <c r="D8" s="13"/>
      <c r="E8" s="238"/>
      <c r="F8" s="13"/>
      <c r="G8" s="13">
        <v>7</v>
      </c>
      <c r="H8" s="237" t="s">
        <v>199</v>
      </c>
      <c r="I8" s="15" t="s">
        <v>200</v>
      </c>
      <c r="J8" s="16">
        <v>1</v>
      </c>
      <c r="K8" s="30"/>
      <c r="L8" s="38">
        <v>1.5</v>
      </c>
    </row>
    <row r="9" ht="15" spans="1:26">
      <c r="A9" s="3"/>
      <c r="B9" s="17"/>
      <c r="C9" s="13"/>
      <c r="D9" s="13"/>
      <c r="E9" s="238"/>
      <c r="F9" s="239" t="s">
        <v>201</v>
      </c>
      <c r="G9" s="240">
        <v>1</v>
      </c>
      <c r="H9" s="241" t="s">
        <v>202</v>
      </c>
      <c r="I9" s="242" t="s">
        <v>94</v>
      </c>
      <c r="J9" s="243">
        <v>1</v>
      </c>
      <c r="K9" s="239"/>
      <c r="L9" s="244">
        <v>1</v>
      </c>
    </row>
    <row r="10" ht="15" spans="1:26">
      <c r="A10" s="3"/>
      <c r="B10" s="17"/>
      <c r="C10" s="13"/>
      <c r="D10" s="13"/>
      <c r="E10" s="238"/>
      <c r="F10" s="239"/>
      <c r="G10" s="240"/>
      <c r="H10" s="241"/>
      <c r="I10" s="242" t="s">
        <v>189</v>
      </c>
      <c r="J10" s="243">
        <v>1</v>
      </c>
      <c r="K10" s="239"/>
      <c r="L10" s="244">
        <v>0</v>
      </c>
    </row>
    <row r="11" ht="15" spans="1:26">
      <c r="A11" s="3"/>
      <c r="B11" s="17"/>
      <c r="C11" s="13"/>
      <c r="D11" s="13"/>
      <c r="E11" s="238"/>
      <c r="F11" s="239"/>
      <c r="G11" s="240"/>
      <c r="H11" s="241"/>
      <c r="I11" s="242" t="s">
        <v>190</v>
      </c>
      <c r="J11" s="243">
        <v>1</v>
      </c>
      <c r="K11" s="239"/>
      <c r="L11" s="244">
        <v>0</v>
      </c>
    </row>
    <row r="12" ht="15" spans="1:26">
      <c r="A12" s="3"/>
      <c r="B12" s="17"/>
      <c r="C12" s="13"/>
      <c r="D12" s="13"/>
      <c r="E12" s="238"/>
      <c r="F12" s="240" t="s">
        <v>203</v>
      </c>
      <c r="G12" s="240">
        <v>1</v>
      </c>
      <c r="H12" s="241" t="s">
        <v>204</v>
      </c>
      <c r="I12" s="242" t="s">
        <v>193</v>
      </c>
      <c r="J12" s="243">
        <v>1</v>
      </c>
      <c r="K12" s="239"/>
      <c r="L12" s="245">
        <v>1</v>
      </c>
    </row>
    <row r="13" ht="15" spans="1:26">
      <c r="A13" s="3"/>
      <c r="B13" s="17"/>
      <c r="C13" s="13"/>
      <c r="D13" s="13"/>
      <c r="E13" s="246"/>
      <c r="F13" s="240"/>
      <c r="G13" s="240"/>
      <c r="H13" s="241"/>
      <c r="I13" s="242" t="s">
        <v>194</v>
      </c>
      <c r="J13" s="243">
        <v>1</v>
      </c>
      <c r="K13" s="239"/>
      <c r="L13" s="245">
        <v>1</v>
      </c>
    </row>
    <row r="14" ht="15" spans="1:26">
      <c r="A14" s="3"/>
      <c r="B14" s="17"/>
      <c r="C14" s="13"/>
      <c r="D14" s="13"/>
      <c r="E14" s="32" t="s">
        <v>167</v>
      </c>
      <c r="F14" s="32"/>
      <c r="G14" s="32"/>
      <c r="H14" s="32"/>
      <c r="I14" s="32"/>
      <c r="J14" s="33"/>
      <c r="K14" s="34"/>
      <c r="L14" s="35">
        <f>SUM(L2:L8)</f>
        <v>13.5</v>
      </c>
    </row>
    <row r="15" ht="15.6" spans="1:26">
      <c r="A15" s="3"/>
      <c r="B15" s="17"/>
      <c r="C15" s="13"/>
      <c r="D15" s="13"/>
      <c r="E15" s="30" t="s">
        <v>168</v>
      </c>
      <c r="F15" s="30"/>
      <c r="G15" s="30"/>
      <c r="H15" s="36"/>
      <c r="I15" s="13"/>
      <c r="J15" s="37"/>
      <c r="K15" s="30"/>
      <c r="L15" s="38"/>
    </row>
    <row r="16" ht="15" spans="1:26">
      <c r="A16" s="3"/>
      <c r="B16" s="17"/>
      <c r="C16" s="13"/>
      <c r="D16" s="13"/>
      <c r="E16" s="30"/>
      <c r="F16" s="30"/>
      <c r="G16" s="30"/>
      <c r="H16" s="14"/>
      <c r="I16" s="30"/>
      <c r="J16" s="37"/>
      <c r="K16" s="30"/>
      <c r="L16" s="38"/>
    </row>
    <row r="17" ht="75" spans="1:12">
      <c r="A17" s="3" t="s">
        <v>43</v>
      </c>
      <c r="B17" s="17" t="s">
        <v>44</v>
      </c>
      <c r="C17" s="13"/>
      <c r="D17" s="13"/>
      <c r="E17" s="30" t="s">
        <v>152</v>
      </c>
      <c r="F17" s="13" t="s">
        <v>184</v>
      </c>
      <c r="G17" s="13">
        <v>1</v>
      </c>
      <c r="H17" s="237" t="s">
        <v>205</v>
      </c>
      <c r="I17" s="15" t="s">
        <v>206</v>
      </c>
      <c r="J17" s="16">
        <v>1</v>
      </c>
      <c r="K17" s="30"/>
      <c r="L17" s="38">
        <v>5</v>
      </c>
    </row>
    <row r="18" ht="90" spans="1:12">
      <c r="A18" s="3"/>
      <c r="B18" s="17"/>
      <c r="C18" s="13"/>
      <c r="D18" s="13"/>
      <c r="E18" s="30"/>
      <c r="F18" s="13"/>
      <c r="G18" s="13">
        <v>2</v>
      </c>
      <c r="H18" s="14" t="s">
        <v>207</v>
      </c>
      <c r="I18" s="15" t="s">
        <v>200</v>
      </c>
      <c r="J18" s="16">
        <v>1</v>
      </c>
      <c r="K18" s="30"/>
      <c r="L18" s="38">
        <v>3.5</v>
      </c>
    </row>
    <row r="19" ht="15" spans="1:12">
      <c r="A19" s="3"/>
      <c r="B19" s="17"/>
      <c r="C19" s="13"/>
      <c r="D19" s="13"/>
      <c r="E19" s="30"/>
      <c r="F19" s="13"/>
      <c r="G19" s="13">
        <v>3</v>
      </c>
      <c r="H19" s="14" t="s">
        <v>208</v>
      </c>
      <c r="I19" s="15" t="s">
        <v>44</v>
      </c>
      <c r="J19" s="16">
        <v>1</v>
      </c>
      <c r="K19" s="30"/>
      <c r="L19" s="38">
        <v>1</v>
      </c>
    </row>
    <row r="20" ht="15" spans="1:12">
      <c r="A20" s="3"/>
      <c r="B20" s="17"/>
      <c r="C20" s="13"/>
      <c r="D20" s="13"/>
      <c r="E20" s="30"/>
      <c r="F20" s="13"/>
      <c r="G20" s="13">
        <v>4</v>
      </c>
      <c r="H20" s="14"/>
      <c r="I20" s="15"/>
      <c r="J20" s="16"/>
      <c r="K20" s="30"/>
      <c r="L20" s="38"/>
    </row>
    <row r="21" ht="15" spans="1:12">
      <c r="A21" s="3"/>
      <c r="B21" s="17"/>
      <c r="C21" s="13"/>
      <c r="D21" s="13"/>
      <c r="E21" s="30"/>
      <c r="F21" s="13"/>
      <c r="G21" s="13">
        <v>5</v>
      </c>
      <c r="H21" s="14"/>
      <c r="I21" s="15"/>
      <c r="J21" s="16"/>
      <c r="K21" s="30"/>
      <c r="L21" s="38"/>
    </row>
    <row r="22" ht="15" spans="1:12">
      <c r="A22" s="3"/>
      <c r="B22" s="17"/>
      <c r="C22" s="13"/>
      <c r="D22" s="13"/>
      <c r="E22" s="30"/>
      <c r="F22" s="13"/>
      <c r="G22" s="13">
        <v>6</v>
      </c>
      <c r="H22" s="237"/>
      <c r="I22" s="15"/>
      <c r="J22" s="16"/>
      <c r="K22" s="30"/>
      <c r="L22" s="38"/>
    </row>
    <row r="23" ht="15" spans="1:12">
      <c r="A23" s="3"/>
      <c r="B23" s="17"/>
      <c r="C23" s="13"/>
      <c r="D23" s="13"/>
      <c r="E23" s="30"/>
      <c r="F23" s="13"/>
      <c r="G23" s="13">
        <v>7</v>
      </c>
      <c r="H23" s="237"/>
      <c r="I23" s="15"/>
      <c r="J23" s="16"/>
      <c r="K23" s="30"/>
      <c r="L23" s="38"/>
    </row>
    <row r="24" ht="15" spans="1:12">
      <c r="A24" s="3"/>
      <c r="B24" s="17"/>
      <c r="C24" s="13"/>
      <c r="D24" s="13"/>
      <c r="E24" s="32" t="s">
        <v>167</v>
      </c>
      <c r="F24" s="32"/>
      <c r="G24" s="32"/>
      <c r="H24" s="32"/>
      <c r="I24" s="32"/>
      <c r="J24" s="33"/>
      <c r="K24" s="34"/>
      <c r="L24" s="35">
        <f>SUM(L17:L23)</f>
        <v>9.5</v>
      </c>
    </row>
    <row r="25" ht="15.6" spans="1:12">
      <c r="A25" s="3"/>
      <c r="B25" s="17"/>
      <c r="C25" s="13"/>
      <c r="D25" s="13"/>
      <c r="E25" s="30" t="s">
        <v>168</v>
      </c>
      <c r="F25" s="30"/>
      <c r="G25" s="30"/>
      <c r="H25" s="36"/>
      <c r="I25" s="13"/>
      <c r="J25" s="37"/>
      <c r="K25" s="30"/>
      <c r="L25" s="38"/>
    </row>
    <row r="26" ht="15" spans="1:12">
      <c r="A26" s="3"/>
      <c r="B26" s="17"/>
      <c r="C26" s="13"/>
      <c r="D26" s="13"/>
      <c r="E26" s="30"/>
      <c r="F26" s="30"/>
      <c r="G26" s="30"/>
      <c r="H26" s="14"/>
      <c r="I26" s="30"/>
      <c r="J26" s="37"/>
      <c r="K26" s="30"/>
      <c r="L26" s="38"/>
    </row>
    <row r="27" ht="15.6" spans="1:12">
      <c r="A27" s="3" t="s">
        <v>209</v>
      </c>
      <c r="B27" s="17" t="s">
        <v>41</v>
      </c>
      <c r="C27" s="348" t="s">
        <v>210</v>
      </c>
      <c r="D27" s="13"/>
      <c r="E27" s="30" t="s">
        <v>152</v>
      </c>
      <c r="F27" s="13" t="s">
        <v>56</v>
      </c>
      <c r="G27" s="13">
        <v>1</v>
      </c>
      <c r="H27" s="14"/>
      <c r="I27" s="15" t="s">
        <v>41</v>
      </c>
      <c r="J27" s="16">
        <v>1</v>
      </c>
      <c r="K27" s="13"/>
      <c r="L27" s="17">
        <v>0</v>
      </c>
    </row>
    <row r="28" ht="15.6" spans="1:12">
      <c r="A28" s="3"/>
      <c r="B28" s="17"/>
      <c r="C28" s="13"/>
      <c r="D28" s="13"/>
      <c r="E28" s="30"/>
      <c r="F28" s="13"/>
      <c r="G28" s="13">
        <v>2</v>
      </c>
      <c r="H28" s="22"/>
      <c r="I28" s="15"/>
      <c r="J28" s="16"/>
      <c r="K28" s="13"/>
      <c r="L28" s="17"/>
    </row>
    <row r="29" ht="15.6" spans="1:12">
      <c r="A29" s="3"/>
      <c r="B29" s="17"/>
      <c r="C29" s="13"/>
      <c r="D29" s="13"/>
      <c r="E29" s="30"/>
      <c r="F29" s="13"/>
      <c r="G29" s="13">
        <v>3</v>
      </c>
      <c r="H29" s="14"/>
      <c r="I29" s="15"/>
      <c r="J29" s="16"/>
      <c r="K29" s="13"/>
      <c r="L29" s="17"/>
    </row>
    <row r="30" ht="15.6" spans="1:12">
      <c r="A30" s="3"/>
      <c r="B30" s="17"/>
      <c r="C30" s="13"/>
      <c r="D30" s="13"/>
      <c r="E30" s="30"/>
      <c r="F30" s="13"/>
      <c r="G30" s="13">
        <v>4</v>
      </c>
      <c r="H30" s="14"/>
      <c r="I30" s="15"/>
      <c r="J30" s="16"/>
      <c r="K30" s="13"/>
      <c r="L30" s="17"/>
    </row>
    <row r="31" ht="15" spans="1:12">
      <c r="A31" s="3"/>
      <c r="B31" s="17"/>
      <c r="C31" s="13"/>
      <c r="D31" s="13"/>
      <c r="E31" s="32" t="s">
        <v>167</v>
      </c>
      <c r="F31" s="32"/>
      <c r="G31" s="32"/>
      <c r="H31" s="32"/>
      <c r="I31" s="32"/>
      <c r="J31" s="33"/>
      <c r="K31" s="34"/>
      <c r="L31" s="35">
        <v>2</v>
      </c>
    </row>
    <row r="32" ht="15.6" spans="1:12">
      <c r="A32" s="3"/>
      <c r="B32" s="17"/>
      <c r="C32" s="13"/>
      <c r="D32" s="13"/>
      <c r="E32" s="30" t="s">
        <v>168</v>
      </c>
      <c r="F32" s="30" t="s">
        <v>56</v>
      </c>
      <c r="G32" s="30">
        <v>1</v>
      </c>
      <c r="H32" s="36"/>
      <c r="I32" s="13"/>
      <c r="J32" s="37"/>
      <c r="K32" s="30"/>
      <c r="L32" s="38"/>
    </row>
    <row r="33" ht="15.6" spans="1:12">
      <c r="A33" s="3"/>
      <c r="B33" s="17"/>
      <c r="C33" s="13"/>
      <c r="D33" s="13"/>
      <c r="E33" s="30"/>
      <c r="F33" s="30"/>
      <c r="G33" s="30">
        <v>2</v>
      </c>
      <c r="H33" s="36"/>
      <c r="I33" s="30"/>
      <c r="J33" s="37"/>
      <c r="K33" s="30"/>
      <c r="L33" s="38"/>
    </row>
    <row r="34" ht="60" spans="1:12">
      <c r="A34" s="3" t="s">
        <v>211</v>
      </c>
      <c r="B34" s="17" t="s">
        <v>51</v>
      </c>
      <c r="C34" s="13"/>
      <c r="D34" s="13"/>
      <c r="E34" s="30" t="s">
        <v>152</v>
      </c>
      <c r="F34" s="11" t="s">
        <v>184</v>
      </c>
      <c r="G34" s="13">
        <v>1</v>
      </c>
      <c r="H34" s="247" t="s">
        <v>212</v>
      </c>
      <c r="I34" s="15" t="s">
        <v>51</v>
      </c>
      <c r="J34" s="16">
        <v>1</v>
      </c>
      <c r="K34" s="30"/>
      <c r="L34" s="17">
        <v>1.5</v>
      </c>
    </row>
    <row r="35" ht="30" spans="1:12">
      <c r="A35" s="3"/>
      <c r="B35" s="17"/>
      <c r="C35" s="13"/>
      <c r="D35" s="13"/>
      <c r="E35" s="30"/>
      <c r="F35" s="27"/>
      <c r="G35" s="13">
        <v>2</v>
      </c>
      <c r="H35" s="14" t="s">
        <v>213</v>
      </c>
      <c r="I35" s="15" t="s">
        <v>214</v>
      </c>
      <c r="J35" s="16">
        <v>1</v>
      </c>
      <c r="K35" s="30"/>
      <c r="L35" s="17">
        <v>2</v>
      </c>
    </row>
    <row r="36" ht="30" spans="1:12">
      <c r="A36" s="3"/>
      <c r="B36" s="17"/>
      <c r="C36" s="13"/>
      <c r="D36" s="13"/>
      <c r="E36" s="30"/>
      <c r="F36" s="13" t="s">
        <v>56</v>
      </c>
      <c r="G36" s="13">
        <v>3</v>
      </c>
      <c r="H36" s="14" t="s">
        <v>215</v>
      </c>
      <c r="I36" s="15" t="s">
        <v>51</v>
      </c>
      <c r="J36" s="16">
        <v>0.6</v>
      </c>
      <c r="K36" s="30"/>
      <c r="L36" s="17">
        <v>4</v>
      </c>
    </row>
    <row r="37" ht="30" spans="1:12">
      <c r="A37" s="3"/>
      <c r="B37" s="17"/>
      <c r="C37" s="13"/>
      <c r="D37" s="13"/>
      <c r="E37" s="30"/>
      <c r="F37" s="13" t="s">
        <v>180</v>
      </c>
      <c r="G37" s="13">
        <v>4</v>
      </c>
      <c r="H37" s="237" t="s">
        <v>216</v>
      </c>
      <c r="I37" s="15" t="s">
        <v>51</v>
      </c>
      <c r="J37" s="16"/>
      <c r="K37" s="30"/>
      <c r="L37" s="17">
        <v>0.5</v>
      </c>
    </row>
    <row r="38" ht="15.6" spans="1:12">
      <c r="A38" s="3"/>
      <c r="B38" s="17"/>
      <c r="C38" s="13"/>
      <c r="D38" s="13"/>
      <c r="E38" s="30"/>
      <c r="F38" s="237"/>
      <c r="G38" s="13">
        <v>5</v>
      </c>
      <c r="H38" s="237"/>
      <c r="I38" s="15"/>
      <c r="J38" s="16"/>
      <c r="K38" s="30"/>
      <c r="L38" s="17"/>
    </row>
    <row r="39" ht="15.6" spans="1:12">
      <c r="A39" s="3"/>
      <c r="B39" s="17"/>
      <c r="C39" s="13"/>
      <c r="D39" s="13"/>
      <c r="E39" s="32" t="s">
        <v>167</v>
      </c>
      <c r="F39" s="32"/>
      <c r="G39" s="32"/>
      <c r="H39" s="32"/>
      <c r="I39" s="32"/>
      <c r="J39" s="33"/>
      <c r="K39" s="34"/>
      <c r="L39" s="248">
        <f>SUM(L34:L38)</f>
        <v>8</v>
      </c>
    </row>
    <row r="40" ht="15.6" spans="1:12">
      <c r="A40" s="3"/>
      <c r="B40" s="17"/>
      <c r="C40" s="13"/>
      <c r="D40" s="13"/>
      <c r="E40" s="30" t="s">
        <v>168</v>
      </c>
      <c r="F40" s="30"/>
      <c r="G40" s="30"/>
      <c r="H40" s="36"/>
      <c r="I40" s="13"/>
      <c r="J40" s="37"/>
      <c r="K40" s="30"/>
      <c r="L40" s="38"/>
    </row>
    <row r="41" ht="15" spans="1:12">
      <c r="A41" s="3"/>
      <c r="B41" s="17"/>
      <c r="C41" s="13"/>
      <c r="D41" s="13"/>
      <c r="E41" s="30"/>
      <c r="F41" s="30"/>
      <c r="G41" s="30"/>
      <c r="H41" s="14"/>
      <c r="I41" s="30"/>
      <c r="J41" s="37"/>
      <c r="K41" s="30"/>
      <c r="L41" s="38"/>
    </row>
    <row r="42" ht="30" spans="1:12">
      <c r="A42" s="3" t="s">
        <v>96</v>
      </c>
      <c r="B42" s="17" t="s">
        <v>55</v>
      </c>
      <c r="C42" s="13"/>
      <c r="D42" s="13"/>
      <c r="E42" s="12" t="s">
        <v>152</v>
      </c>
      <c r="F42" s="11" t="s">
        <v>184</v>
      </c>
      <c r="G42" s="13">
        <v>1</v>
      </c>
      <c r="H42" s="237" t="s">
        <v>217</v>
      </c>
      <c r="I42" s="15" t="s">
        <v>218</v>
      </c>
      <c r="J42" s="16">
        <v>1</v>
      </c>
      <c r="K42" s="30"/>
      <c r="L42" s="38">
        <v>5</v>
      </c>
    </row>
    <row r="43" ht="15" spans="1:12">
      <c r="A43" s="3"/>
      <c r="B43" s="17"/>
      <c r="C43" s="13"/>
      <c r="D43" s="13"/>
      <c r="E43" s="21"/>
      <c r="F43" s="20"/>
      <c r="G43" s="13">
        <v>2</v>
      </c>
      <c r="H43" s="237" t="s">
        <v>219</v>
      </c>
      <c r="I43" s="15" t="s">
        <v>220</v>
      </c>
      <c r="J43" s="16">
        <v>1</v>
      </c>
      <c r="K43" s="30"/>
      <c r="L43" s="38">
        <v>1.5</v>
      </c>
    </row>
    <row r="44" ht="15" spans="1:12">
      <c r="A44" s="3"/>
      <c r="B44" s="17"/>
      <c r="C44" s="13"/>
      <c r="D44" s="13"/>
      <c r="E44" s="21"/>
      <c r="F44" s="20"/>
      <c r="G44" s="13">
        <v>3</v>
      </c>
      <c r="H44" s="237" t="s">
        <v>221</v>
      </c>
      <c r="I44" s="15" t="s">
        <v>55</v>
      </c>
      <c r="J44" s="16">
        <v>1</v>
      </c>
      <c r="K44" s="30"/>
      <c r="L44" s="38">
        <v>1.5</v>
      </c>
    </row>
    <row r="45" ht="15" spans="1:12">
      <c r="A45" s="3"/>
      <c r="B45" s="17"/>
      <c r="C45" s="13"/>
      <c r="D45" s="13"/>
      <c r="E45" s="249"/>
      <c r="F45" s="250"/>
      <c r="G45" s="13">
        <v>4</v>
      </c>
      <c r="H45" s="237" t="s">
        <v>222</v>
      </c>
      <c r="I45" s="15" t="s">
        <v>64</v>
      </c>
      <c r="J45" s="16"/>
      <c r="K45" s="30"/>
      <c r="L45" s="38">
        <v>1</v>
      </c>
    </row>
    <row r="46" ht="15" spans="1:12">
      <c r="A46" s="3"/>
      <c r="B46" s="17"/>
      <c r="C46" s="13"/>
      <c r="D46" s="13"/>
      <c r="E46" s="31"/>
      <c r="F46" s="27"/>
      <c r="G46" s="13">
        <v>5</v>
      </c>
      <c r="H46" s="237" t="s">
        <v>223</v>
      </c>
      <c r="I46" s="15" t="s">
        <v>224</v>
      </c>
      <c r="J46" s="16">
        <v>1</v>
      </c>
      <c r="K46" s="30"/>
      <c r="L46" s="38">
        <v>5</v>
      </c>
    </row>
    <row r="47" ht="15" spans="1:12">
      <c r="A47" s="3"/>
      <c r="B47" s="17"/>
      <c r="C47" s="13"/>
      <c r="D47" s="13"/>
      <c r="E47" s="31"/>
      <c r="F47" s="27"/>
      <c r="G47" s="13"/>
      <c r="H47" s="237"/>
      <c r="I47" s="15"/>
      <c r="J47" s="16"/>
      <c r="K47" s="30"/>
      <c r="L47" s="38"/>
    </row>
    <row r="48" ht="15" spans="1:12">
      <c r="A48" s="3"/>
      <c r="B48" s="17"/>
      <c r="C48" s="13"/>
      <c r="D48" s="13"/>
      <c r="E48" s="32" t="s">
        <v>167</v>
      </c>
      <c r="F48" s="32"/>
      <c r="G48" s="32"/>
      <c r="H48" s="32"/>
      <c r="I48" s="32"/>
      <c r="J48" s="33"/>
      <c r="K48" s="34"/>
      <c r="L48" s="35">
        <f>SUM(L42:L46)</f>
        <v>14</v>
      </c>
    </row>
    <row r="49" ht="15.6" spans="1:12">
      <c r="A49" s="3"/>
      <c r="B49" s="17"/>
      <c r="C49" s="13"/>
      <c r="D49" s="13"/>
      <c r="E49" s="30" t="s">
        <v>168</v>
      </c>
      <c r="F49" s="30"/>
      <c r="G49" s="30"/>
      <c r="H49" s="36"/>
      <c r="I49" s="13"/>
      <c r="J49" s="37"/>
      <c r="K49" s="30"/>
      <c r="L49" s="38"/>
    </row>
    <row r="50" ht="15" spans="1:12">
      <c r="A50" s="3"/>
      <c r="B50" s="17"/>
      <c r="C50" s="13"/>
      <c r="D50" s="13"/>
      <c r="E50" s="30"/>
      <c r="F50" s="30"/>
      <c r="G50" s="30"/>
      <c r="H50" s="14"/>
      <c r="I50" s="30"/>
      <c r="J50" s="37"/>
      <c r="K50" s="30"/>
      <c r="L50" s="38"/>
    </row>
    <row r="51" ht="15" spans="1:12">
      <c r="A51" s="3" t="s">
        <v>54</v>
      </c>
      <c r="B51" s="17" t="s">
        <v>55</v>
      </c>
      <c r="C51" s="13"/>
      <c r="D51" s="13"/>
      <c r="E51" s="21" t="s">
        <v>152</v>
      </c>
      <c r="F51" s="20" t="s">
        <v>56</v>
      </c>
      <c r="G51" s="11">
        <v>1</v>
      </c>
      <c r="H51" s="237" t="s">
        <v>225</v>
      </c>
      <c r="I51" s="251" t="s">
        <v>226</v>
      </c>
      <c r="J51" s="16">
        <v>0.5</v>
      </c>
      <c r="K51" s="30"/>
      <c r="L51" s="38">
        <v>1</v>
      </c>
    </row>
    <row r="52" ht="15" spans="1:12">
      <c r="A52" s="3"/>
      <c r="B52" s="17"/>
      <c r="C52" s="13"/>
      <c r="D52" s="13"/>
      <c r="E52" s="21"/>
      <c r="F52" s="20"/>
      <c r="G52" s="27"/>
      <c r="H52" s="237" t="s">
        <v>227</v>
      </c>
      <c r="I52" s="252"/>
      <c r="J52" s="253">
        <v>1</v>
      </c>
      <c r="K52" s="30"/>
      <c r="L52" s="38">
        <v>2</v>
      </c>
    </row>
    <row r="53" ht="15" spans="1:12">
      <c r="A53" s="3"/>
      <c r="B53" s="17"/>
      <c r="C53" s="13"/>
      <c r="D53" s="13"/>
      <c r="E53" s="21"/>
      <c r="F53" s="20"/>
      <c r="G53" s="13">
        <v>2</v>
      </c>
      <c r="H53" s="237" t="s">
        <v>228</v>
      </c>
      <c r="I53" s="15" t="s">
        <v>229</v>
      </c>
      <c r="J53" s="253">
        <v>1</v>
      </c>
      <c r="K53" s="30"/>
      <c r="L53" s="38">
        <v>1</v>
      </c>
    </row>
    <row r="54" ht="15" spans="1:12">
      <c r="A54" s="3"/>
      <c r="B54" s="17"/>
      <c r="C54" s="13"/>
      <c r="D54" s="13"/>
      <c r="E54" s="21"/>
      <c r="F54" s="20"/>
      <c r="G54" s="13">
        <v>3</v>
      </c>
      <c r="H54" s="237" t="s">
        <v>230</v>
      </c>
      <c r="I54" s="15" t="s">
        <v>231</v>
      </c>
      <c r="J54" s="253">
        <v>1</v>
      </c>
      <c r="K54" s="30"/>
      <c r="L54" s="38">
        <v>3</v>
      </c>
    </row>
    <row r="55" ht="15" spans="1:12">
      <c r="A55" s="3"/>
      <c r="B55" s="17"/>
      <c r="C55" s="13"/>
      <c r="D55" s="13"/>
      <c r="E55" s="21"/>
      <c r="F55" s="20"/>
      <c r="G55" s="13">
        <v>4</v>
      </c>
      <c r="H55" s="237" t="s">
        <v>230</v>
      </c>
      <c r="I55" s="15" t="s">
        <v>232</v>
      </c>
      <c r="J55" s="253">
        <v>1</v>
      </c>
      <c r="K55" s="30"/>
      <c r="L55" s="38">
        <v>3</v>
      </c>
    </row>
    <row r="56" ht="30" spans="1:12">
      <c r="A56" s="3"/>
      <c r="B56" s="17"/>
      <c r="C56" s="13"/>
      <c r="D56" s="13"/>
      <c r="E56" s="31"/>
      <c r="F56" s="27"/>
      <c r="G56" s="13">
        <v>5</v>
      </c>
      <c r="H56" s="237" t="s">
        <v>233</v>
      </c>
      <c r="I56" s="15" t="s">
        <v>55</v>
      </c>
      <c r="J56" s="16">
        <v>1</v>
      </c>
      <c r="K56" s="30"/>
      <c r="L56" s="38">
        <v>3.5</v>
      </c>
    </row>
    <row r="57" ht="15" spans="1:12">
      <c r="A57" s="3"/>
      <c r="B57" s="17"/>
      <c r="C57" s="13"/>
      <c r="D57" s="13"/>
      <c r="E57" s="32" t="s">
        <v>167</v>
      </c>
      <c r="F57" s="32"/>
      <c r="G57" s="32"/>
      <c r="H57" s="32"/>
      <c r="I57" s="32"/>
      <c r="J57" s="33"/>
      <c r="K57" s="34"/>
      <c r="L57" s="35">
        <f>SUM(L51:L56)</f>
        <v>13.5</v>
      </c>
    </row>
    <row r="58" ht="15.6" spans="1:12">
      <c r="A58" s="3"/>
      <c r="B58" s="17"/>
      <c r="C58" s="13"/>
      <c r="D58" s="13"/>
      <c r="E58" s="30"/>
      <c r="F58" s="30"/>
      <c r="G58" s="30"/>
      <c r="H58" s="36"/>
      <c r="I58" s="13"/>
      <c r="J58" s="37"/>
      <c r="K58" s="30"/>
      <c r="L58" s="38"/>
    </row>
    <row r="59" ht="15" spans="1:12">
      <c r="A59" s="3"/>
      <c r="B59" s="17"/>
      <c r="C59" s="13"/>
      <c r="D59" s="13"/>
      <c r="E59" s="30"/>
      <c r="F59" s="30"/>
      <c r="G59" s="30"/>
      <c r="H59" s="14"/>
      <c r="I59" s="30"/>
      <c r="J59" s="37"/>
      <c r="K59" s="30"/>
      <c r="L59" s="38"/>
    </row>
    <row r="60" ht="15" spans="1:12">
      <c r="A60" s="254" t="s">
        <v>234</v>
      </c>
      <c r="B60" s="17"/>
      <c r="C60" s="13"/>
      <c r="D60" s="13"/>
      <c r="E60" s="21"/>
      <c r="F60" s="20"/>
      <c r="G60" s="13">
        <v>1</v>
      </c>
      <c r="H60" s="237" t="s">
        <v>235</v>
      </c>
      <c r="I60" s="15" t="s">
        <v>220</v>
      </c>
      <c r="J60" s="16">
        <v>1</v>
      </c>
      <c r="K60" s="30"/>
      <c r="L60" s="38">
        <v>3.5</v>
      </c>
    </row>
    <row r="61" ht="30" spans="1:12">
      <c r="A61" s="255"/>
      <c r="B61" s="17"/>
      <c r="C61" s="13"/>
      <c r="D61" s="13"/>
      <c r="E61" s="21"/>
      <c r="F61" s="20"/>
      <c r="G61" s="13">
        <v>2</v>
      </c>
      <c r="H61" s="237" t="s">
        <v>236</v>
      </c>
      <c r="I61" s="15" t="s">
        <v>237</v>
      </c>
      <c r="J61" s="16">
        <v>1</v>
      </c>
      <c r="K61" s="30"/>
      <c r="L61" s="38">
        <v>5</v>
      </c>
    </row>
    <row r="62" ht="30" spans="1:12">
      <c r="A62" s="255"/>
      <c r="B62" s="17"/>
      <c r="C62" s="13"/>
      <c r="D62" s="13"/>
      <c r="E62" s="21"/>
      <c r="F62" s="20"/>
      <c r="G62" s="13">
        <v>3</v>
      </c>
      <c r="H62" s="237" t="s">
        <v>238</v>
      </c>
      <c r="I62" s="15" t="s">
        <v>239</v>
      </c>
      <c r="J62" s="16">
        <v>1</v>
      </c>
      <c r="K62" s="30"/>
      <c r="L62" s="38">
        <v>5</v>
      </c>
    </row>
    <row r="63" ht="15" spans="1:12">
      <c r="A63" s="255"/>
      <c r="B63" s="17"/>
      <c r="C63" s="13"/>
      <c r="D63" s="13"/>
      <c r="E63" s="21"/>
      <c r="F63" s="20"/>
      <c r="G63" s="13">
        <v>4</v>
      </c>
      <c r="H63" s="237" t="s">
        <v>240</v>
      </c>
      <c r="I63" s="15" t="s">
        <v>241</v>
      </c>
      <c r="J63" s="16">
        <v>1</v>
      </c>
      <c r="K63" s="30"/>
      <c r="L63" s="38">
        <v>5</v>
      </c>
    </row>
    <row r="64" ht="15" spans="1:12">
      <c r="A64" s="255"/>
      <c r="B64" s="17"/>
      <c r="C64" s="13"/>
      <c r="D64" s="13"/>
      <c r="E64" s="21"/>
      <c r="F64" s="20"/>
      <c r="G64" s="13">
        <v>5</v>
      </c>
      <c r="H64" s="237" t="s">
        <v>242</v>
      </c>
      <c r="I64" s="15" t="s">
        <v>64</v>
      </c>
      <c r="J64" s="16"/>
      <c r="K64" s="30"/>
      <c r="L64" s="38">
        <v>2</v>
      </c>
    </row>
    <row r="65" ht="15" spans="1:12">
      <c r="A65" s="255"/>
      <c r="B65" s="17"/>
      <c r="C65" s="13"/>
      <c r="D65" s="13"/>
      <c r="E65" s="32" t="s">
        <v>167</v>
      </c>
      <c r="F65" s="32"/>
      <c r="G65" s="32"/>
      <c r="H65" s="32"/>
      <c r="I65" s="32"/>
      <c r="J65" s="33"/>
      <c r="K65" s="34"/>
      <c r="L65" s="35">
        <f>SUM(L60:L64)</f>
        <v>20.5</v>
      </c>
    </row>
    <row r="66" ht="15.6" spans="1:12">
      <c r="A66" s="255"/>
      <c r="B66" s="17"/>
      <c r="C66" s="13"/>
      <c r="D66" s="13"/>
      <c r="E66" s="30" t="s">
        <v>168</v>
      </c>
      <c r="F66" s="30"/>
      <c r="G66" s="30"/>
      <c r="H66" s="36"/>
      <c r="I66" s="13"/>
      <c r="J66" s="37"/>
      <c r="K66" s="30"/>
      <c r="L66" s="38"/>
    </row>
    <row r="67" ht="15" spans="1:12">
      <c r="A67" s="256"/>
      <c r="B67" s="17"/>
      <c r="C67" s="13"/>
      <c r="D67" s="13"/>
      <c r="E67" s="30"/>
      <c r="F67" s="30"/>
      <c r="G67" s="30"/>
      <c r="H67" s="14"/>
      <c r="I67" s="30"/>
      <c r="J67" s="37"/>
      <c r="K67" s="30"/>
      <c r="L67" s="38"/>
    </row>
  </sheetData>
  <mergeCells count="71">
    <mergeCell ref="E14:H14"/>
    <mergeCell ref="E24:H24"/>
    <mergeCell ref="E31:H31"/>
    <mergeCell ref="E39:H39"/>
    <mergeCell ref="E48:H48"/>
    <mergeCell ref="E57:H57"/>
    <mergeCell ref="E65:H65"/>
    <mergeCell ref="A2:A16"/>
    <mergeCell ref="A17:A26"/>
    <mergeCell ref="A27:A33"/>
    <mergeCell ref="A34:A41"/>
    <mergeCell ref="A42:A50"/>
    <mergeCell ref="A51:A59"/>
    <mergeCell ref="A60:A67"/>
    <mergeCell ref="B2:B16"/>
    <mergeCell ref="B17:B26"/>
    <mergeCell ref="B27:B33"/>
    <mergeCell ref="B34:B41"/>
    <mergeCell ref="B42:B50"/>
    <mergeCell ref="B51:B59"/>
    <mergeCell ref="B60:B67"/>
    <mergeCell ref="C2:C16"/>
    <mergeCell ref="C17:C26"/>
    <mergeCell ref="C27:C33"/>
    <mergeCell ref="C34:C41"/>
    <mergeCell ref="C42:C50"/>
    <mergeCell ref="C51:C59"/>
    <mergeCell ref="C60:C67"/>
    <mergeCell ref="D2:D16"/>
    <mergeCell ref="D17:D26"/>
    <mergeCell ref="D27:D33"/>
    <mergeCell ref="D34:D41"/>
    <mergeCell ref="D42:D50"/>
    <mergeCell ref="D51:D59"/>
    <mergeCell ref="D60:D67"/>
    <mergeCell ref="E2:E13"/>
    <mergeCell ref="E15:E16"/>
    <mergeCell ref="E17:E23"/>
    <mergeCell ref="E25:E26"/>
    <mergeCell ref="E27:E30"/>
    <mergeCell ref="E32:E33"/>
    <mergeCell ref="E34:E38"/>
    <mergeCell ref="E40:E41"/>
    <mergeCell ref="E42:E46"/>
    <mergeCell ref="E49:E50"/>
    <mergeCell ref="E51:E56"/>
    <mergeCell ref="E58:E59"/>
    <mergeCell ref="E60:E64"/>
    <mergeCell ref="E66:E67"/>
    <mergeCell ref="F2:F8"/>
    <mergeCell ref="F9:F11"/>
    <mergeCell ref="F12:F13"/>
    <mergeCell ref="F15:F16"/>
    <mergeCell ref="F17:F23"/>
    <mergeCell ref="F25:F26"/>
    <mergeCell ref="F27:F30"/>
    <mergeCell ref="F32:F33"/>
    <mergeCell ref="F34:F35"/>
    <mergeCell ref="F40:F41"/>
    <mergeCell ref="F42:F46"/>
    <mergeCell ref="F49:F50"/>
    <mergeCell ref="F51:F56"/>
    <mergeCell ref="F58:F59"/>
    <mergeCell ref="F60:F64"/>
    <mergeCell ref="F66:F67"/>
    <mergeCell ref="G9:G11"/>
    <mergeCell ref="G12:G13"/>
    <mergeCell ref="G51:G52"/>
    <mergeCell ref="H9:H11"/>
    <mergeCell ref="H12:H13"/>
    <mergeCell ref="I51:I52"/>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14"/>
  <sheetViews>
    <sheetView workbookViewId="0">
      <pane ySplit="1" topLeftCell="A2" activePane="bottomLeft" state="frozen"/>
      <selection/>
      <selection pane="bottomLeft" activeCell="A10" sqref="A10:L14"/>
    </sheetView>
  </sheetViews>
  <sheetFormatPr defaultColWidth="8.71296296296296" defaultRowHeight="13.2"/>
  <cols>
    <col min="1" max="1" width="22.4259259259259" style="208" customWidth="1"/>
    <col min="2" max="2" width="11.7222222222222" style="208" customWidth="1"/>
    <col min="3" max="7" width="9.14814814814815" style="208"/>
    <col min="8" max="8" width="59.7222222222222" style="208" customWidth="1"/>
    <col min="9" max="11" width="9.14814814814815" style="208"/>
    <col min="12" max="12" width="19.5740740740741" style="209" customWidth="1"/>
    <col min="13" max="16384" width="9.14814814814815" style="208"/>
  </cols>
  <sheetData>
    <row r="1" ht="69.6" spans="1:26">
      <c r="A1" s="210" t="s">
        <v>140</v>
      </c>
      <c r="B1" s="211" t="s">
        <v>6</v>
      </c>
      <c r="C1" s="210" t="s">
        <v>141</v>
      </c>
      <c r="D1" s="210" t="s">
        <v>142</v>
      </c>
      <c r="E1" s="211" t="s">
        <v>143</v>
      </c>
      <c r="F1" s="210" t="s">
        <v>144</v>
      </c>
      <c r="G1" s="210" t="s">
        <v>1</v>
      </c>
      <c r="H1" s="212" t="s">
        <v>145</v>
      </c>
      <c r="I1" s="210" t="s">
        <v>146</v>
      </c>
      <c r="J1" s="213" t="s">
        <v>147</v>
      </c>
      <c r="K1" s="210" t="s">
        <v>148</v>
      </c>
      <c r="L1" s="214" t="s">
        <v>149</v>
      </c>
      <c r="M1" s="215"/>
      <c r="N1" s="215"/>
      <c r="O1" s="215"/>
      <c r="P1" s="215"/>
      <c r="Q1" s="215"/>
      <c r="R1" s="215"/>
      <c r="S1" s="215"/>
      <c r="T1" s="215"/>
      <c r="U1" s="215"/>
      <c r="V1" s="215"/>
      <c r="W1" s="215"/>
      <c r="X1" s="215"/>
      <c r="Y1" s="215"/>
      <c r="Z1" s="215"/>
    </row>
    <row r="2" ht="30" customHeight="1" spans="1:26">
      <c r="A2" s="210" t="s">
        <v>243</v>
      </c>
      <c r="B2" s="216" t="s">
        <v>61</v>
      </c>
      <c r="C2" s="217">
        <v>1</v>
      </c>
      <c r="D2" s="218"/>
      <c r="E2" s="219" t="s">
        <v>152</v>
      </c>
      <c r="F2" s="218" t="s">
        <v>184</v>
      </c>
      <c r="G2" s="218">
        <v>1</v>
      </c>
      <c r="H2" s="220" t="s">
        <v>244</v>
      </c>
      <c r="I2" s="15" t="s">
        <v>231</v>
      </c>
      <c r="J2" s="217">
        <v>0.98</v>
      </c>
      <c r="K2" s="219"/>
      <c r="L2" s="216">
        <v>6</v>
      </c>
    </row>
    <row r="3" ht="27" customHeight="1" spans="1:26">
      <c r="A3" s="210"/>
      <c r="B3" s="216"/>
      <c r="C3" s="218"/>
      <c r="D3" s="218"/>
      <c r="E3" s="32" t="s">
        <v>167</v>
      </c>
      <c r="F3" s="32"/>
      <c r="G3" s="32"/>
      <c r="H3" s="32"/>
      <c r="I3" s="32"/>
      <c r="J3" s="33"/>
      <c r="K3" s="34"/>
      <c r="L3" s="35">
        <f>SUM(L2)</f>
        <v>6</v>
      </c>
    </row>
    <row r="4" ht="46" customHeight="1" spans="1:26">
      <c r="A4" s="210"/>
      <c r="B4" s="216"/>
      <c r="C4" s="218"/>
      <c r="D4" s="218"/>
      <c r="E4" s="219" t="s">
        <v>168</v>
      </c>
      <c r="F4" s="219" t="s">
        <v>184</v>
      </c>
      <c r="G4" s="219">
        <v>1</v>
      </c>
      <c r="H4" s="221" t="s">
        <v>245</v>
      </c>
      <c r="I4" s="218" t="s">
        <v>246</v>
      </c>
      <c r="J4" s="222"/>
      <c r="K4" s="219"/>
      <c r="L4" s="223"/>
    </row>
    <row r="5" ht="30" spans="1:26">
      <c r="A5" s="224" t="s">
        <v>247</v>
      </c>
      <c r="B5" s="225" t="s">
        <v>64</v>
      </c>
      <c r="C5" s="226">
        <v>0.85</v>
      </c>
      <c r="D5" s="227"/>
      <c r="E5" s="228" t="s">
        <v>152</v>
      </c>
      <c r="F5" s="227" t="s">
        <v>56</v>
      </c>
      <c r="G5" s="218">
        <v>1</v>
      </c>
      <c r="H5" s="229" t="s">
        <v>248</v>
      </c>
      <c r="I5" s="15" t="s">
        <v>226</v>
      </c>
      <c r="J5" s="217">
        <v>0.85</v>
      </c>
      <c r="K5" s="219"/>
      <c r="L5" s="223">
        <v>5</v>
      </c>
    </row>
    <row r="6" ht="15" spans="1:26">
      <c r="A6" s="230"/>
      <c r="B6" s="231"/>
      <c r="C6" s="232"/>
      <c r="D6" s="233"/>
      <c r="E6" s="234"/>
      <c r="F6" s="233"/>
      <c r="G6" s="218">
        <v>2</v>
      </c>
      <c r="H6" s="229" t="s">
        <v>249</v>
      </c>
      <c r="I6" s="15" t="s">
        <v>250</v>
      </c>
      <c r="J6" s="217">
        <v>1</v>
      </c>
      <c r="K6" s="219"/>
      <c r="L6" s="223">
        <v>9</v>
      </c>
    </row>
    <row r="7" ht="15" spans="1:26">
      <c r="A7" s="230"/>
      <c r="B7" s="231"/>
      <c r="C7" s="232"/>
      <c r="D7" s="233"/>
      <c r="E7" s="32" t="s">
        <v>167</v>
      </c>
      <c r="F7" s="32"/>
      <c r="G7" s="32"/>
      <c r="H7" s="32"/>
      <c r="I7" s="32"/>
      <c r="J7" s="33"/>
      <c r="K7" s="34"/>
      <c r="L7" s="35">
        <f>SUM(L5:L6)</f>
        <v>14</v>
      </c>
    </row>
    <row r="8" ht="30" spans="1:26">
      <c r="A8" s="230"/>
      <c r="B8" s="231"/>
      <c r="C8" s="232"/>
      <c r="D8" s="233"/>
      <c r="E8" s="228" t="s">
        <v>168</v>
      </c>
      <c r="F8" s="227" t="s">
        <v>56</v>
      </c>
      <c r="G8" s="218">
        <v>1</v>
      </c>
      <c r="H8" s="229" t="s">
        <v>248</v>
      </c>
      <c r="I8" s="15" t="s">
        <v>226</v>
      </c>
      <c r="J8" s="235"/>
      <c r="K8" s="219"/>
      <c r="L8" s="223"/>
    </row>
    <row r="9" ht="18" customHeight="1" spans="1:26">
      <c r="A9" s="230"/>
      <c r="B9" s="231"/>
      <c r="C9" s="232"/>
      <c r="D9" s="233"/>
      <c r="E9" s="234"/>
      <c r="F9" s="233"/>
      <c r="G9" s="218">
        <v>2</v>
      </c>
      <c r="H9" s="229" t="s">
        <v>251</v>
      </c>
      <c r="I9" s="15" t="s">
        <v>250</v>
      </c>
      <c r="J9" s="235"/>
      <c r="K9" s="219"/>
      <c r="L9" s="223"/>
    </row>
    <row r="10" ht="30" spans="1:26">
      <c r="A10" s="210" t="s">
        <v>252</v>
      </c>
      <c r="B10" s="216" t="s">
        <v>68</v>
      </c>
      <c r="C10" s="218"/>
      <c r="D10" s="218"/>
      <c r="E10" s="219" t="s">
        <v>152</v>
      </c>
      <c r="F10" s="218" t="s">
        <v>70</v>
      </c>
      <c r="G10" s="218">
        <v>1</v>
      </c>
      <c r="H10" s="229" t="s">
        <v>253</v>
      </c>
      <c r="I10" s="15" t="s">
        <v>61</v>
      </c>
      <c r="J10" s="217">
        <v>0.95</v>
      </c>
      <c r="K10" s="219"/>
      <c r="L10" s="223">
        <v>11</v>
      </c>
    </row>
    <row r="11" ht="30" spans="1:26">
      <c r="A11" s="210"/>
      <c r="B11" s="216"/>
      <c r="C11" s="218"/>
      <c r="D11" s="218"/>
      <c r="E11" s="219"/>
      <c r="F11" s="218"/>
      <c r="G11" s="218">
        <v>2</v>
      </c>
      <c r="H11" s="220" t="s">
        <v>254</v>
      </c>
      <c r="I11" s="15" t="s">
        <v>255</v>
      </c>
      <c r="J11" s="217">
        <v>0.97</v>
      </c>
      <c r="K11" s="219"/>
      <c r="L11" s="223">
        <v>2</v>
      </c>
    </row>
    <row r="12" ht="15" spans="1:26">
      <c r="A12" s="210"/>
      <c r="B12" s="216"/>
      <c r="C12" s="218"/>
      <c r="D12" s="218"/>
      <c r="E12" s="32" t="s">
        <v>167</v>
      </c>
      <c r="F12" s="32"/>
      <c r="G12" s="32"/>
      <c r="H12" s="32"/>
      <c r="I12" s="32"/>
      <c r="J12" s="33"/>
      <c r="K12" s="34"/>
      <c r="L12" s="35">
        <f>SUM(L10:L11)</f>
        <v>13</v>
      </c>
    </row>
    <row r="13" ht="30" spans="1:26">
      <c r="A13" s="210"/>
      <c r="B13" s="216"/>
      <c r="C13" s="218"/>
      <c r="D13" s="218"/>
      <c r="E13" s="219" t="s">
        <v>168</v>
      </c>
      <c r="F13" s="219" t="s">
        <v>70</v>
      </c>
      <c r="G13" s="218">
        <v>1</v>
      </c>
      <c r="H13" s="229" t="s">
        <v>256</v>
      </c>
      <c r="I13" s="15" t="s">
        <v>61</v>
      </c>
      <c r="J13" s="222"/>
      <c r="K13" s="219"/>
      <c r="L13" s="223"/>
    </row>
    <row r="14" ht="31" customHeight="1" spans="1:26">
      <c r="A14" s="210"/>
      <c r="B14" s="216"/>
      <c r="C14" s="218"/>
      <c r="D14" s="218"/>
      <c r="E14" s="219"/>
      <c r="F14" s="219"/>
      <c r="G14" s="218">
        <v>2</v>
      </c>
      <c r="H14" s="220" t="s">
        <v>257</v>
      </c>
      <c r="I14" s="15" t="s">
        <v>255</v>
      </c>
      <c r="J14" s="222"/>
      <c r="K14" s="219"/>
      <c r="L14" s="223"/>
    </row>
  </sheetData>
  <mergeCells count="23">
    <mergeCell ref="E3:H3"/>
    <mergeCell ref="E7:H7"/>
    <mergeCell ref="E12:H12"/>
    <mergeCell ref="A2:A4"/>
    <mergeCell ref="A5:A9"/>
    <mergeCell ref="A10:A14"/>
    <mergeCell ref="B2:B4"/>
    <mergeCell ref="B5:B9"/>
    <mergeCell ref="B10:B14"/>
    <mergeCell ref="C2:C4"/>
    <mergeCell ref="C5:C9"/>
    <mergeCell ref="C10:C14"/>
    <mergeCell ref="D2:D4"/>
    <mergeCell ref="D5:D9"/>
    <mergeCell ref="D10:D14"/>
    <mergeCell ref="E5:E6"/>
    <mergeCell ref="E8:E9"/>
    <mergeCell ref="E10:E11"/>
    <mergeCell ref="E13:E14"/>
    <mergeCell ref="F5:F6"/>
    <mergeCell ref="F8:F9"/>
    <mergeCell ref="F10:F11"/>
    <mergeCell ref="F13:F14"/>
  </mergeCells>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8"/>
  <sheetViews>
    <sheetView workbookViewId="0">
      <pane ySplit="1" topLeftCell="A2" activePane="bottomLeft" state="frozen"/>
      <selection/>
      <selection pane="bottomLeft" activeCell="H14" sqref="H14"/>
    </sheetView>
  </sheetViews>
  <sheetFormatPr defaultColWidth="9.13888888888889" defaultRowHeight="13.2"/>
  <cols>
    <col min="1" max="1" width="22.4259259259259" style="1" customWidth="1"/>
    <col min="2" max="2" width="11.712962962963" style="1" customWidth="1"/>
    <col min="3" max="3" width="12.5" style="1"/>
    <col min="4" max="7" width="9.13888888888889" style="1"/>
    <col min="8" max="8" width="59.712962962963" style="1" customWidth="1"/>
    <col min="9" max="11" width="9.13888888888889" style="1"/>
    <col min="12" max="12" width="19.5740740740741" style="2" customWidth="1"/>
    <col min="13" max="16384" width="9.13888888888889" style="1"/>
  </cols>
  <sheetData>
    <row r="1" ht="51.75" customHeight="1" spans="1:26">
      <c r="A1" s="3" t="s">
        <v>140</v>
      </c>
      <c r="B1" s="4" t="s">
        <v>6</v>
      </c>
      <c r="C1" s="3" t="s">
        <v>141</v>
      </c>
      <c r="D1" s="3" t="s">
        <v>142</v>
      </c>
      <c r="E1" s="4" t="s">
        <v>143</v>
      </c>
      <c r="F1" s="3" t="s">
        <v>144</v>
      </c>
      <c r="G1" s="3" t="s">
        <v>1</v>
      </c>
      <c r="H1" s="5" t="s">
        <v>145</v>
      </c>
      <c r="I1" s="3" t="s">
        <v>146</v>
      </c>
      <c r="J1" s="6" t="s">
        <v>147</v>
      </c>
      <c r="K1" s="3" t="s">
        <v>148</v>
      </c>
      <c r="L1" s="7" t="s">
        <v>149</v>
      </c>
      <c r="M1" s="8"/>
      <c r="N1" s="8"/>
      <c r="O1" s="8"/>
      <c r="P1" s="8"/>
      <c r="Q1" s="8"/>
      <c r="R1" s="8"/>
      <c r="S1" s="8"/>
      <c r="T1" s="8"/>
      <c r="U1" s="8"/>
      <c r="V1" s="8"/>
      <c r="W1" s="8"/>
      <c r="X1" s="8"/>
      <c r="Y1" s="8"/>
      <c r="Z1" s="8"/>
    </row>
    <row r="2" ht="15" spans="1:26">
      <c r="A2" s="153" t="s">
        <v>258</v>
      </c>
      <c r="B2" s="154" t="s">
        <v>73</v>
      </c>
      <c r="C2" s="155" t="s">
        <v>210</v>
      </c>
      <c r="D2" s="156"/>
      <c r="E2" s="157" t="s">
        <v>152</v>
      </c>
      <c r="F2" s="156" t="s">
        <v>56</v>
      </c>
      <c r="G2" s="27">
        <v>1</v>
      </c>
      <c r="H2" s="158" t="s">
        <v>259</v>
      </c>
      <c r="I2" s="159" t="s">
        <v>73</v>
      </c>
      <c r="J2" s="160">
        <v>1</v>
      </c>
      <c r="K2" s="156"/>
      <c r="L2" s="161">
        <v>1.5</v>
      </c>
    </row>
    <row r="3" ht="15" spans="1:26">
      <c r="A3" s="162"/>
      <c r="B3" s="163"/>
      <c r="C3" s="164"/>
      <c r="D3" s="165"/>
      <c r="E3" s="166"/>
      <c r="F3" s="165"/>
      <c r="G3" s="13">
        <v>2</v>
      </c>
      <c r="H3" s="158"/>
      <c r="I3" s="167" t="s">
        <v>82</v>
      </c>
      <c r="J3" s="84">
        <v>1</v>
      </c>
      <c r="K3" s="165"/>
      <c r="L3" s="168">
        <v>3.5</v>
      </c>
    </row>
    <row r="4" ht="15" spans="1:26">
      <c r="A4" s="162"/>
      <c r="B4" s="163"/>
      <c r="C4" s="164"/>
      <c r="D4" s="165"/>
      <c r="E4" s="169"/>
      <c r="F4" s="170"/>
      <c r="G4" s="11">
        <v>3</v>
      </c>
      <c r="H4" s="158"/>
      <c r="I4" s="167" t="s">
        <v>165</v>
      </c>
      <c r="J4" s="84">
        <v>1</v>
      </c>
      <c r="K4" s="167"/>
      <c r="L4" s="168">
        <v>1</v>
      </c>
    </row>
    <row r="5" ht="15" spans="1:26">
      <c r="A5" s="162"/>
      <c r="B5" s="163"/>
      <c r="C5" s="164"/>
      <c r="D5" s="165"/>
      <c r="E5" s="171" t="s">
        <v>167</v>
      </c>
      <c r="F5" s="172"/>
      <c r="G5" s="172"/>
      <c r="H5" s="173"/>
      <c r="I5" s="174"/>
      <c r="J5" s="175"/>
      <c r="K5" s="176"/>
      <c r="L5" s="177">
        <f>SUM(L2:L4)</f>
        <v>6</v>
      </c>
    </row>
    <row r="6" ht="15.6" spans="1:26">
      <c r="A6" s="162"/>
      <c r="B6" s="163"/>
      <c r="C6" s="164"/>
      <c r="D6" s="165"/>
      <c r="E6" s="157" t="s">
        <v>168</v>
      </c>
      <c r="F6" s="178" t="s">
        <v>56</v>
      </c>
      <c r="G6" s="27">
        <v>1</v>
      </c>
      <c r="H6" s="179"/>
      <c r="I6" s="165"/>
      <c r="J6" s="180"/>
      <c r="K6" s="166"/>
      <c r="L6" s="168"/>
    </row>
    <row r="7" ht="15.6" spans="1:26">
      <c r="A7" s="162"/>
      <c r="B7" s="163"/>
      <c r="C7" s="164"/>
      <c r="D7" s="165"/>
      <c r="E7" s="166"/>
      <c r="F7" s="181"/>
      <c r="G7" s="13">
        <v>2</v>
      </c>
      <c r="H7" s="182"/>
      <c r="I7" s="166"/>
      <c r="J7" s="180"/>
      <c r="K7" s="166"/>
      <c r="L7" s="168"/>
    </row>
    <row r="8" ht="15" spans="1:26">
      <c r="A8" s="153" t="s">
        <v>260</v>
      </c>
      <c r="B8" s="154" t="s">
        <v>73</v>
      </c>
      <c r="C8" s="155" t="s">
        <v>261</v>
      </c>
      <c r="D8" s="156"/>
      <c r="E8" s="157" t="s">
        <v>152</v>
      </c>
      <c r="F8" s="156" t="s">
        <v>56</v>
      </c>
      <c r="G8" s="13">
        <v>1</v>
      </c>
      <c r="H8" s="183" t="s">
        <v>262</v>
      </c>
      <c r="I8" s="184" t="s">
        <v>82</v>
      </c>
      <c r="J8" s="84">
        <v>1</v>
      </c>
      <c r="K8" s="165"/>
      <c r="L8" s="168">
        <v>0.5</v>
      </c>
    </row>
    <row r="9" ht="15" spans="1:26">
      <c r="A9" s="153"/>
      <c r="B9" s="154"/>
      <c r="C9" s="155"/>
      <c r="D9" s="156"/>
      <c r="E9" s="157"/>
      <c r="F9" s="156"/>
      <c r="G9" s="13">
        <v>2</v>
      </c>
      <c r="H9" s="185"/>
      <c r="I9" s="184" t="s">
        <v>263</v>
      </c>
      <c r="J9" s="84">
        <v>1</v>
      </c>
      <c r="K9" s="165"/>
      <c r="L9" s="168">
        <v>1</v>
      </c>
    </row>
    <row r="10" ht="26" customHeight="1" spans="1:26">
      <c r="A10" s="153"/>
      <c r="B10" s="154"/>
      <c r="C10" s="155"/>
      <c r="D10" s="156"/>
      <c r="E10" s="157"/>
      <c r="F10" s="156"/>
      <c r="G10" s="13">
        <v>3</v>
      </c>
      <c r="H10" s="186"/>
      <c r="I10" s="184"/>
      <c r="J10" s="84"/>
      <c r="K10" s="165"/>
      <c r="L10" s="168"/>
    </row>
    <row r="11" ht="15" spans="1:26">
      <c r="A11" s="153"/>
      <c r="B11" s="154"/>
      <c r="C11" s="155"/>
      <c r="D11" s="156"/>
      <c r="E11" s="157"/>
      <c r="F11" s="156"/>
      <c r="G11" s="13">
        <v>4</v>
      </c>
      <c r="H11" s="187"/>
      <c r="I11" s="184"/>
      <c r="J11" s="84"/>
      <c r="K11" s="165"/>
      <c r="L11" s="168"/>
    </row>
    <row r="12" ht="15" spans="1:26">
      <c r="A12" s="153"/>
      <c r="B12" s="154"/>
      <c r="C12" s="155"/>
      <c r="D12" s="156"/>
      <c r="E12" s="157"/>
      <c r="F12" s="156"/>
      <c r="G12" s="13">
        <v>5</v>
      </c>
      <c r="H12" s="188"/>
      <c r="I12" s="184"/>
      <c r="J12" s="84"/>
      <c r="K12" s="165"/>
      <c r="L12" s="168"/>
    </row>
    <row r="13" ht="15" spans="1:26">
      <c r="A13" s="153"/>
      <c r="B13" s="154"/>
      <c r="C13" s="155"/>
      <c r="D13" s="156"/>
      <c r="E13" s="189" t="s">
        <v>167</v>
      </c>
      <c r="F13" s="189"/>
      <c r="G13" s="189"/>
      <c r="H13" s="189"/>
      <c r="I13" s="189"/>
      <c r="J13" s="175"/>
      <c r="K13" s="176"/>
      <c r="L13" s="177">
        <f>SUM(L8:L12)</f>
        <v>1.5</v>
      </c>
    </row>
    <row r="14" ht="15" spans="1:26">
      <c r="A14" s="153"/>
      <c r="B14" s="154"/>
      <c r="C14" s="155"/>
      <c r="D14" s="156"/>
      <c r="E14" s="166" t="s">
        <v>168</v>
      </c>
      <c r="F14" s="166" t="s">
        <v>56</v>
      </c>
      <c r="G14" s="13">
        <v>1</v>
      </c>
      <c r="H14" s="190"/>
      <c r="I14" s="184"/>
      <c r="J14" s="191"/>
      <c r="K14" s="166"/>
      <c r="L14" s="168"/>
    </row>
    <row r="15" ht="15" spans="1:26">
      <c r="A15" s="153"/>
      <c r="B15" s="154"/>
      <c r="C15" s="155"/>
      <c r="D15" s="156"/>
      <c r="E15" s="166"/>
      <c r="F15" s="166"/>
      <c r="G15" s="13">
        <v>2</v>
      </c>
      <c r="H15" s="190"/>
      <c r="I15" s="184"/>
      <c r="J15" s="191"/>
      <c r="K15" s="166"/>
      <c r="L15" s="168"/>
    </row>
    <row r="16" ht="15" spans="1:26">
      <c r="A16" s="162" t="s">
        <v>264</v>
      </c>
      <c r="B16" s="163" t="s">
        <v>73</v>
      </c>
      <c r="C16" s="164" t="s">
        <v>265</v>
      </c>
      <c r="D16" s="165"/>
      <c r="E16" s="169" t="s">
        <v>152</v>
      </c>
      <c r="F16" s="170" t="s">
        <v>56</v>
      </c>
      <c r="G16" s="13">
        <v>1</v>
      </c>
      <c r="H16" s="192" t="s">
        <v>266</v>
      </c>
      <c r="I16" s="184" t="s">
        <v>263</v>
      </c>
      <c r="J16" s="84">
        <v>0.9</v>
      </c>
      <c r="K16" s="165"/>
      <c r="L16" s="168">
        <v>4</v>
      </c>
    </row>
    <row r="17" ht="37" customHeight="1" spans="1:12">
      <c r="A17" s="162"/>
      <c r="B17" s="163"/>
      <c r="C17" s="164"/>
      <c r="D17" s="165"/>
      <c r="E17" s="169"/>
      <c r="F17" s="170"/>
      <c r="G17" s="13">
        <v>2</v>
      </c>
      <c r="H17" s="54"/>
      <c r="I17" s="184" t="s">
        <v>267</v>
      </c>
      <c r="J17" s="84">
        <v>0.9</v>
      </c>
      <c r="K17" s="165"/>
      <c r="L17" s="168">
        <v>5</v>
      </c>
    </row>
    <row r="18" ht="15" spans="1:12">
      <c r="A18" s="162"/>
      <c r="B18" s="163"/>
      <c r="C18" s="164"/>
      <c r="D18" s="165"/>
      <c r="E18" s="169"/>
      <c r="F18" s="170"/>
      <c r="G18" s="13">
        <v>3</v>
      </c>
      <c r="H18" s="82" t="s">
        <v>268</v>
      </c>
      <c r="I18" s="184" t="s">
        <v>73</v>
      </c>
      <c r="J18" s="84">
        <v>1</v>
      </c>
      <c r="K18" s="165"/>
      <c r="L18" s="168">
        <v>3.5</v>
      </c>
    </row>
    <row r="19" ht="36" customHeight="1" spans="1:12">
      <c r="A19" s="162"/>
      <c r="B19" s="163"/>
      <c r="C19" s="164"/>
      <c r="D19" s="165"/>
      <c r="E19" s="169"/>
      <c r="F19" s="170"/>
      <c r="G19" s="13">
        <v>4</v>
      </c>
      <c r="H19" s="193"/>
      <c r="I19" s="184" t="s">
        <v>269</v>
      </c>
      <c r="J19" s="84">
        <v>1</v>
      </c>
      <c r="K19" s="165"/>
      <c r="L19" s="168">
        <v>5</v>
      </c>
    </row>
    <row r="20" ht="15" spans="1:12">
      <c r="A20" s="162"/>
      <c r="B20" s="163"/>
      <c r="C20" s="164"/>
      <c r="D20" s="165"/>
      <c r="E20" s="189" t="s">
        <v>167</v>
      </c>
      <c r="F20" s="189"/>
      <c r="G20" s="189"/>
      <c r="H20" s="189"/>
      <c r="I20" s="189"/>
      <c r="J20" s="175"/>
      <c r="K20" s="176"/>
      <c r="L20" s="177">
        <f>SUM(L16:L19)</f>
        <v>17.5</v>
      </c>
    </row>
    <row r="21" ht="15" spans="1:12">
      <c r="A21" s="162"/>
      <c r="B21" s="163"/>
      <c r="C21" s="164"/>
      <c r="D21" s="165"/>
      <c r="E21" s="166" t="s">
        <v>168</v>
      </c>
      <c r="F21" s="166" t="s">
        <v>56</v>
      </c>
      <c r="G21" s="13">
        <v>1</v>
      </c>
      <c r="H21" s="190"/>
      <c r="I21" s="184"/>
      <c r="J21" s="191"/>
      <c r="K21" s="166"/>
      <c r="L21" s="168"/>
    </row>
    <row r="22" ht="15" spans="1:12">
      <c r="A22" s="162"/>
      <c r="B22" s="163"/>
      <c r="C22" s="164"/>
      <c r="D22" s="165"/>
      <c r="E22" s="166"/>
      <c r="F22" s="166"/>
      <c r="G22" s="13">
        <v>2</v>
      </c>
      <c r="H22" s="194"/>
      <c r="I22" s="184"/>
      <c r="J22" s="191"/>
      <c r="K22" s="166"/>
      <c r="L22" s="168"/>
    </row>
    <row r="23" ht="15" spans="1:12">
      <c r="A23" s="195" t="s">
        <v>270</v>
      </c>
      <c r="B23" s="196" t="s">
        <v>82</v>
      </c>
      <c r="C23" s="197" t="s">
        <v>210</v>
      </c>
      <c r="D23" s="198"/>
      <c r="E23" s="199" t="s">
        <v>152</v>
      </c>
      <c r="F23" s="198" t="s">
        <v>56</v>
      </c>
      <c r="G23" s="13">
        <v>1</v>
      </c>
      <c r="H23" s="200"/>
      <c r="I23" s="184"/>
      <c r="J23" s="75"/>
      <c r="K23" s="201"/>
      <c r="L23" s="77"/>
    </row>
    <row r="24" ht="15" spans="1:12">
      <c r="A24" s="195"/>
      <c r="B24" s="196"/>
      <c r="C24" s="197"/>
      <c r="D24" s="198"/>
      <c r="E24" s="199"/>
      <c r="F24" s="198"/>
      <c r="G24" s="13">
        <v>2</v>
      </c>
      <c r="H24" s="185"/>
      <c r="I24" s="184"/>
      <c r="J24" s="75"/>
      <c r="K24" s="201"/>
      <c r="L24" s="77"/>
    </row>
    <row r="25" ht="15" spans="1:12">
      <c r="A25" s="195"/>
      <c r="B25" s="196"/>
      <c r="C25" s="197"/>
      <c r="D25" s="198"/>
      <c r="E25" s="199"/>
      <c r="F25" s="198"/>
      <c r="G25" s="13">
        <v>3</v>
      </c>
      <c r="H25" s="202"/>
      <c r="I25" s="184"/>
      <c r="J25" s="75"/>
      <c r="K25" s="201"/>
      <c r="L25" s="77"/>
    </row>
    <row r="26" ht="15" spans="1:12">
      <c r="A26" s="195"/>
      <c r="B26" s="196"/>
      <c r="C26" s="197"/>
      <c r="D26" s="198"/>
      <c r="E26" s="203" t="s">
        <v>167</v>
      </c>
      <c r="F26" s="172"/>
      <c r="G26" s="172"/>
      <c r="H26" s="204"/>
      <c r="I26" s="33"/>
      <c r="J26" s="33"/>
      <c r="K26" s="205"/>
      <c r="L26" s="35">
        <f>SUM(L23:L25)</f>
        <v>0</v>
      </c>
    </row>
    <row r="27" ht="15" spans="1:12">
      <c r="A27" s="195"/>
      <c r="B27" s="196"/>
      <c r="C27" s="197"/>
      <c r="D27" s="198"/>
      <c r="E27" s="199" t="s">
        <v>168</v>
      </c>
      <c r="F27" s="199" t="s">
        <v>56</v>
      </c>
      <c r="G27" s="13">
        <v>1</v>
      </c>
      <c r="H27" s="206"/>
      <c r="I27" s="184"/>
      <c r="J27" s="75"/>
      <c r="K27" s="199"/>
      <c r="L27" s="77"/>
    </row>
    <row r="28" ht="15" spans="1:12">
      <c r="A28" s="195"/>
      <c r="B28" s="196"/>
      <c r="C28" s="197"/>
      <c r="D28" s="198"/>
      <c r="E28" s="199"/>
      <c r="F28" s="199"/>
      <c r="G28" s="13">
        <v>2</v>
      </c>
      <c r="H28" s="207"/>
      <c r="I28" s="184"/>
      <c r="J28" s="75"/>
      <c r="K28" s="199"/>
      <c r="L28" s="77"/>
    </row>
  </sheetData>
  <mergeCells count="41">
    <mergeCell ref="E5:H5"/>
    <mergeCell ref="E13:H13"/>
    <mergeCell ref="E20:H20"/>
    <mergeCell ref="E26:H26"/>
    <mergeCell ref="A2:A7"/>
    <mergeCell ref="A8:A15"/>
    <mergeCell ref="A16:A22"/>
    <mergeCell ref="A23:A28"/>
    <mergeCell ref="B2:B7"/>
    <mergeCell ref="B8:B15"/>
    <mergeCell ref="B16:B22"/>
    <mergeCell ref="B23:B28"/>
    <mergeCell ref="C2:C7"/>
    <mergeCell ref="C8:C15"/>
    <mergeCell ref="C16:C22"/>
    <mergeCell ref="C23:C28"/>
    <mergeCell ref="D2:D7"/>
    <mergeCell ref="D8:D15"/>
    <mergeCell ref="D16:D22"/>
    <mergeCell ref="D23:D28"/>
    <mergeCell ref="E2:E4"/>
    <mergeCell ref="E6:E7"/>
    <mergeCell ref="E8:E12"/>
    <mergeCell ref="E14:E15"/>
    <mergeCell ref="E16:E19"/>
    <mergeCell ref="E21:E22"/>
    <mergeCell ref="E23:E25"/>
    <mergeCell ref="E27:E28"/>
    <mergeCell ref="F2:F4"/>
    <mergeCell ref="F6:F7"/>
    <mergeCell ref="F8:F12"/>
    <mergeCell ref="F14:F15"/>
    <mergeCell ref="F16:F19"/>
    <mergeCell ref="F21:F22"/>
    <mergeCell ref="F23:F25"/>
    <mergeCell ref="F27:F28"/>
    <mergeCell ref="H2:H4"/>
    <mergeCell ref="H8:H10"/>
    <mergeCell ref="H16:H17"/>
    <mergeCell ref="H18:H19"/>
    <mergeCell ref="H23:H25"/>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9"/>
  <sheetViews>
    <sheetView zoomScale="130" zoomScaleNormal="130" workbookViewId="0">
      <pane ySplit="1" topLeftCell="A2" activePane="bottomLeft" state="frozen"/>
      <selection/>
      <selection pane="bottomLeft" activeCell="H6" sqref="H6"/>
    </sheetView>
  </sheetViews>
  <sheetFormatPr defaultColWidth="9.16666666666667" defaultRowHeight="13.2"/>
  <cols>
    <col min="1" max="1" width="22.4166666666667" style="130" customWidth="1"/>
    <col min="2" max="2" width="11.75" style="130" customWidth="1"/>
    <col min="3" max="7" width="9.16666666666667" style="130"/>
    <col min="8" max="8" width="59.75" style="130" customWidth="1"/>
    <col min="9" max="11" width="9.16666666666667" style="130"/>
    <col min="12" max="12" width="19.5833333333333" style="131" customWidth="1"/>
    <col min="13" max="16384" width="9.16666666666667" style="130"/>
  </cols>
  <sheetData>
    <row r="1" ht="69.6" spans="1:26">
      <c r="A1" s="132" t="s">
        <v>140</v>
      </c>
      <c r="B1" s="133" t="s">
        <v>6</v>
      </c>
      <c r="C1" s="132" t="s">
        <v>141</v>
      </c>
      <c r="D1" s="132" t="s">
        <v>142</v>
      </c>
      <c r="E1" s="133" t="s">
        <v>143</v>
      </c>
      <c r="F1" s="132" t="s">
        <v>144</v>
      </c>
      <c r="G1" s="132" t="s">
        <v>1</v>
      </c>
      <c r="H1" s="134" t="s">
        <v>145</v>
      </c>
      <c r="I1" s="132" t="s">
        <v>146</v>
      </c>
      <c r="J1" s="135" t="s">
        <v>147</v>
      </c>
      <c r="K1" s="132" t="s">
        <v>148</v>
      </c>
      <c r="L1" s="136" t="s">
        <v>149</v>
      </c>
      <c r="M1" s="137"/>
      <c r="N1" s="137"/>
      <c r="O1" s="137"/>
      <c r="P1" s="137"/>
      <c r="Q1" s="137"/>
      <c r="R1" s="137"/>
      <c r="S1" s="137"/>
      <c r="T1" s="137"/>
      <c r="U1" s="137"/>
      <c r="V1" s="137"/>
      <c r="W1" s="137"/>
      <c r="X1" s="137"/>
      <c r="Y1" s="137"/>
      <c r="Z1" s="137"/>
    </row>
    <row r="2" ht="30" customHeight="1" spans="1:26">
      <c r="A2" s="132" t="s">
        <v>90</v>
      </c>
      <c r="B2" s="138" t="s">
        <v>88</v>
      </c>
      <c r="C2" s="139"/>
      <c r="D2" s="140"/>
      <c r="E2" s="141" t="s">
        <v>152</v>
      </c>
      <c r="F2" s="142" t="s">
        <v>184</v>
      </c>
      <c r="G2" s="140">
        <v>1</v>
      </c>
      <c r="H2" s="143" t="s">
        <v>271</v>
      </c>
      <c r="I2" s="144" t="s">
        <v>88</v>
      </c>
      <c r="J2" s="139">
        <v>0.9</v>
      </c>
      <c r="K2" s="145"/>
      <c r="L2" s="138">
        <v>2</v>
      </c>
    </row>
    <row r="3" ht="27" customHeight="1" spans="1:26">
      <c r="A3" s="132"/>
      <c r="B3" s="138"/>
      <c r="C3" s="140"/>
      <c r="D3" s="140"/>
      <c r="E3" s="146" t="s">
        <v>167</v>
      </c>
      <c r="F3" s="146"/>
      <c r="G3" s="146"/>
      <c r="H3" s="146"/>
      <c r="I3" s="146"/>
      <c r="J3" s="147"/>
      <c r="K3" s="148"/>
      <c r="L3" s="149">
        <f>SUM(L2)</f>
        <v>2</v>
      </c>
    </row>
    <row r="4" ht="25.5" customHeight="1" spans="1:26">
      <c r="A4" s="132"/>
      <c r="B4" s="138"/>
      <c r="C4" s="140"/>
      <c r="D4" s="140"/>
      <c r="E4" s="145" t="s">
        <v>168</v>
      </c>
      <c r="F4" s="145" t="s">
        <v>184</v>
      </c>
      <c r="G4" s="145">
        <v>1</v>
      </c>
      <c r="H4" s="143" t="s">
        <v>272</v>
      </c>
      <c r="I4" s="140" t="s">
        <v>88</v>
      </c>
      <c r="J4" s="150">
        <v>1</v>
      </c>
      <c r="K4" s="145"/>
      <c r="L4" s="151"/>
    </row>
    <row r="5" ht="26" customHeight="1" spans="1:26">
      <c r="A5" s="132" t="s">
        <v>273</v>
      </c>
      <c r="B5" s="138" t="s">
        <v>88</v>
      </c>
      <c r="C5" s="140"/>
      <c r="D5" s="140"/>
      <c r="E5" s="145" t="s">
        <v>152</v>
      </c>
      <c r="F5" s="140" t="s">
        <v>184</v>
      </c>
      <c r="G5" s="140">
        <v>1</v>
      </c>
      <c r="H5" s="152" t="s">
        <v>274</v>
      </c>
      <c r="I5" s="144" t="s">
        <v>275</v>
      </c>
      <c r="J5" s="139"/>
      <c r="K5" s="145"/>
      <c r="L5" s="151">
        <v>5</v>
      </c>
    </row>
    <row r="6" ht="26" customHeight="1" spans="1:26">
      <c r="A6" s="132"/>
      <c r="B6" s="138"/>
      <c r="C6" s="140"/>
      <c r="D6" s="140"/>
      <c r="E6" s="145"/>
      <c r="F6" s="140" t="s">
        <v>30</v>
      </c>
      <c r="G6" s="140">
        <v>2</v>
      </c>
      <c r="H6" s="152" t="s">
        <v>276</v>
      </c>
      <c r="I6" s="140" t="s">
        <v>88</v>
      </c>
      <c r="J6" s="139">
        <v>1</v>
      </c>
      <c r="K6" s="145"/>
      <c r="L6" s="151">
        <v>3</v>
      </c>
    </row>
    <row r="7" ht="15" spans="1:26">
      <c r="A7" s="132"/>
      <c r="B7" s="138"/>
      <c r="C7" s="140"/>
      <c r="D7" s="140"/>
      <c r="E7" s="146" t="s">
        <v>167</v>
      </c>
      <c r="F7" s="146"/>
      <c r="G7" s="146"/>
      <c r="H7" s="146"/>
      <c r="I7" s="146"/>
      <c r="J7" s="147"/>
      <c r="K7" s="148"/>
      <c r="L7" s="149">
        <f>SUM(L5:L6)</f>
        <v>8</v>
      </c>
    </row>
    <row r="8" ht="22.5" customHeight="1" spans="1:26">
      <c r="A8" s="132"/>
      <c r="B8" s="138"/>
      <c r="C8" s="140"/>
      <c r="D8" s="140"/>
      <c r="E8" s="145" t="s">
        <v>168</v>
      </c>
      <c r="F8" s="145" t="s">
        <v>70</v>
      </c>
      <c r="G8" s="140">
        <v>1</v>
      </c>
      <c r="H8" s="152" t="s">
        <v>274</v>
      </c>
      <c r="I8" s="144" t="s">
        <v>275</v>
      </c>
      <c r="J8" s="150"/>
      <c r="K8" s="145"/>
      <c r="L8" s="151"/>
    </row>
    <row r="9" ht="22.5" customHeight="1" spans="1:26">
      <c r="A9" s="132"/>
      <c r="B9" s="138"/>
      <c r="C9" s="140"/>
      <c r="D9" s="140"/>
      <c r="E9" s="145"/>
      <c r="F9" s="140" t="s">
        <v>30</v>
      </c>
      <c r="G9" s="140">
        <v>2</v>
      </c>
      <c r="H9" s="152" t="s">
        <v>276</v>
      </c>
      <c r="I9" s="140" t="s">
        <v>88</v>
      </c>
      <c r="J9" s="150"/>
      <c r="K9" s="145"/>
      <c r="L9" s="151"/>
    </row>
  </sheetData>
  <mergeCells count="11">
    <mergeCell ref="E3:H3"/>
    <mergeCell ref="E7:H7"/>
    <mergeCell ref="A2:A4"/>
    <mergeCell ref="A5:A8"/>
    <mergeCell ref="B2:B4"/>
    <mergeCell ref="B5:B8"/>
    <mergeCell ref="C2:C4"/>
    <mergeCell ref="C5:C8"/>
    <mergeCell ref="D2:D4"/>
    <mergeCell ref="D5:D8"/>
    <mergeCell ref="E5:E6"/>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9"/>
  <sheetViews>
    <sheetView workbookViewId="0">
      <pane ySplit="1" topLeftCell="A2" activePane="bottomLeft" state="frozen"/>
      <selection/>
      <selection pane="bottomLeft" activeCell="G22" sqref="G22"/>
    </sheetView>
  </sheetViews>
  <sheetFormatPr defaultColWidth="9.13888888888889" defaultRowHeight="13.2"/>
  <cols>
    <col min="1" max="1" width="22.4259259259259" style="88" customWidth="1"/>
    <col min="2" max="2" width="11.712962962963" style="88" customWidth="1"/>
    <col min="3" max="5" width="9.13888888888889" style="88"/>
    <col min="6" max="6" width="23.287037037037" style="88" customWidth="1"/>
    <col min="7" max="7" width="9.13888888888889" style="88"/>
    <col min="8" max="8" width="59.712962962963" style="88" customWidth="1"/>
    <col min="9" max="11" width="9.13888888888889" style="88"/>
    <col min="12" max="12" width="19.5740740740741" style="89" customWidth="1"/>
    <col min="13" max="16384" width="9.13888888888889" style="88"/>
  </cols>
  <sheetData>
    <row r="1" ht="62.4" spans="1:26">
      <c r="A1" s="90" t="s">
        <v>140</v>
      </c>
      <c r="B1" s="91" t="s">
        <v>6</v>
      </c>
      <c r="C1" s="90" t="s">
        <v>141</v>
      </c>
      <c r="D1" s="90" t="s">
        <v>142</v>
      </c>
      <c r="E1" s="91" t="s">
        <v>143</v>
      </c>
      <c r="F1" s="90" t="s">
        <v>144</v>
      </c>
      <c r="G1" s="90" t="s">
        <v>1</v>
      </c>
      <c r="H1" s="92" t="s">
        <v>145</v>
      </c>
      <c r="I1" s="90" t="s">
        <v>146</v>
      </c>
      <c r="J1" s="93" t="s">
        <v>147</v>
      </c>
      <c r="K1" s="90" t="s">
        <v>148</v>
      </c>
      <c r="L1" s="94" t="s">
        <v>149</v>
      </c>
      <c r="M1" s="95"/>
      <c r="N1" s="95"/>
      <c r="O1" s="95"/>
      <c r="P1" s="95"/>
      <c r="Q1" s="95"/>
      <c r="R1" s="95"/>
      <c r="S1" s="95"/>
      <c r="T1" s="95"/>
      <c r="U1" s="95"/>
      <c r="V1" s="95"/>
      <c r="W1" s="95"/>
      <c r="X1" s="95"/>
      <c r="Y1" s="95"/>
      <c r="Z1" s="95"/>
    </row>
    <row r="2" ht="48" spans="1:26">
      <c r="A2" s="96" t="s">
        <v>277</v>
      </c>
      <c r="B2" s="97" t="s">
        <v>105</v>
      </c>
      <c r="C2" s="98">
        <v>0.1</v>
      </c>
      <c r="D2" s="99"/>
      <c r="E2" s="100" t="s">
        <v>152</v>
      </c>
      <c r="F2" s="99" t="s">
        <v>56</v>
      </c>
      <c r="G2" s="101">
        <v>1</v>
      </c>
      <c r="H2" s="102" t="s">
        <v>278</v>
      </c>
      <c r="I2" s="101" t="s">
        <v>105</v>
      </c>
      <c r="J2" s="103">
        <v>1</v>
      </c>
      <c r="K2" s="101"/>
      <c r="L2" s="104">
        <v>4</v>
      </c>
    </row>
    <row r="3" spans="1:26">
      <c r="A3" s="105"/>
      <c r="B3" s="106"/>
      <c r="C3" s="107"/>
      <c r="D3" s="107"/>
      <c r="E3" s="108"/>
      <c r="F3" s="107"/>
      <c r="G3" s="109">
        <v>2</v>
      </c>
      <c r="H3" s="102" t="s">
        <v>279</v>
      </c>
      <c r="I3" s="101" t="s">
        <v>105</v>
      </c>
      <c r="J3" s="103">
        <v>0.1</v>
      </c>
      <c r="K3" s="101"/>
      <c r="L3" s="104">
        <v>1</v>
      </c>
    </row>
    <row r="4" spans="1:26">
      <c r="A4" s="105"/>
      <c r="B4" s="106"/>
      <c r="C4" s="107"/>
      <c r="D4" s="107"/>
      <c r="E4" s="108"/>
      <c r="F4" s="107"/>
      <c r="G4" s="101">
        <v>3</v>
      </c>
      <c r="H4" s="110"/>
      <c r="I4" s="101"/>
      <c r="J4" s="103"/>
      <c r="K4" s="101"/>
      <c r="L4" s="104"/>
    </row>
    <row r="5" spans="1:26">
      <c r="A5" s="105"/>
      <c r="B5" s="106"/>
      <c r="C5" s="107"/>
      <c r="D5" s="107"/>
      <c r="E5" s="111"/>
      <c r="F5" s="112"/>
      <c r="G5" s="101">
        <v>4</v>
      </c>
      <c r="H5" s="110"/>
      <c r="I5" s="101"/>
      <c r="J5" s="103"/>
      <c r="K5" s="101"/>
      <c r="L5" s="104"/>
    </row>
    <row r="6" spans="1:26">
      <c r="A6" s="105"/>
      <c r="B6" s="106"/>
      <c r="C6" s="107"/>
      <c r="D6" s="107"/>
      <c r="E6" s="113" t="s">
        <v>167</v>
      </c>
      <c r="F6" s="114"/>
      <c r="G6" s="114"/>
      <c r="H6" s="115"/>
      <c r="I6" s="116"/>
      <c r="J6" s="117"/>
      <c r="K6" s="118"/>
      <c r="L6" s="119">
        <v>5</v>
      </c>
    </row>
    <row r="7" ht="14.4" spans="1:26">
      <c r="A7" s="105"/>
      <c r="B7" s="106"/>
      <c r="C7" s="107"/>
      <c r="D7" s="107"/>
      <c r="E7" s="120" t="s">
        <v>168</v>
      </c>
      <c r="F7" s="120" t="s">
        <v>56</v>
      </c>
      <c r="G7" s="109">
        <v>1</v>
      </c>
      <c r="H7" s="121"/>
      <c r="I7" s="101"/>
      <c r="J7" s="122"/>
      <c r="K7" s="109"/>
      <c r="L7" s="104"/>
    </row>
    <row r="8" spans="1:26">
      <c r="A8" s="123"/>
      <c r="B8" s="124"/>
      <c r="C8" s="112"/>
      <c r="D8" s="112"/>
      <c r="E8" s="111"/>
      <c r="F8" s="111"/>
      <c r="G8" s="109">
        <v>2</v>
      </c>
      <c r="H8" s="110"/>
      <c r="I8" s="109"/>
      <c r="J8" s="122"/>
      <c r="K8" s="109"/>
      <c r="L8" s="104"/>
    </row>
    <row r="9" spans="1:26">
      <c r="A9" s="125" t="s">
        <v>280</v>
      </c>
      <c r="B9" s="126"/>
      <c r="C9" s="127">
        <v>0.4</v>
      </c>
      <c r="D9" s="128"/>
      <c r="E9" s="120" t="s">
        <v>152</v>
      </c>
      <c r="F9" s="128" t="s">
        <v>56</v>
      </c>
      <c r="G9" s="109">
        <v>1</v>
      </c>
      <c r="H9" s="102" t="s">
        <v>281</v>
      </c>
      <c r="I9" s="101" t="s">
        <v>34</v>
      </c>
      <c r="J9" s="103">
        <v>0.3</v>
      </c>
      <c r="K9" s="101"/>
      <c r="L9" s="104">
        <v>0.5</v>
      </c>
    </row>
    <row r="10" spans="1:26">
      <c r="A10" s="105"/>
      <c r="B10" s="106"/>
      <c r="C10" s="107"/>
      <c r="D10" s="107"/>
      <c r="E10" s="108"/>
      <c r="F10" s="107"/>
      <c r="G10" s="109">
        <v>2</v>
      </c>
      <c r="H10" s="102" t="s">
        <v>282</v>
      </c>
      <c r="I10" s="101" t="s">
        <v>34</v>
      </c>
      <c r="J10" s="103">
        <v>1</v>
      </c>
      <c r="K10" s="101"/>
      <c r="L10" s="104">
        <v>0.25</v>
      </c>
    </row>
    <row r="11" spans="1:26">
      <c r="A11" s="105"/>
      <c r="B11" s="106"/>
      <c r="C11" s="107"/>
      <c r="D11" s="107"/>
      <c r="E11" s="108"/>
      <c r="F11" s="107"/>
      <c r="G11" s="109">
        <v>3</v>
      </c>
      <c r="H11" s="102" t="s">
        <v>283</v>
      </c>
      <c r="I11" s="101" t="s">
        <v>284</v>
      </c>
      <c r="J11" s="103">
        <v>1</v>
      </c>
      <c r="K11" s="101"/>
      <c r="L11" s="104">
        <v>0.5</v>
      </c>
    </row>
    <row r="12" spans="1:26">
      <c r="A12" s="105"/>
      <c r="B12" s="106"/>
      <c r="C12" s="107"/>
      <c r="D12" s="107"/>
      <c r="E12" s="108"/>
      <c r="F12" s="107"/>
      <c r="G12" s="109">
        <v>4</v>
      </c>
      <c r="H12" s="102" t="s">
        <v>285</v>
      </c>
      <c r="I12" s="101" t="s">
        <v>284</v>
      </c>
      <c r="J12" s="103">
        <v>1</v>
      </c>
      <c r="K12" s="101"/>
      <c r="L12" s="104">
        <v>1.5</v>
      </c>
    </row>
    <row r="13" spans="1:26">
      <c r="A13" s="105"/>
      <c r="B13" s="106"/>
      <c r="C13" s="107"/>
      <c r="D13" s="107"/>
      <c r="E13" s="108"/>
      <c r="F13" s="107"/>
      <c r="G13" s="109">
        <v>5</v>
      </c>
      <c r="H13" s="102" t="s">
        <v>286</v>
      </c>
      <c r="I13" s="101" t="s">
        <v>284</v>
      </c>
      <c r="J13" s="103">
        <v>1</v>
      </c>
      <c r="K13" s="101"/>
      <c r="L13" s="104">
        <v>2</v>
      </c>
    </row>
    <row r="14" spans="1:26">
      <c r="A14" s="105"/>
      <c r="B14" s="106"/>
      <c r="C14" s="107"/>
      <c r="D14" s="107"/>
      <c r="E14" s="108"/>
      <c r="F14" s="107"/>
      <c r="G14" s="109">
        <v>6</v>
      </c>
      <c r="H14" s="102" t="s">
        <v>287</v>
      </c>
      <c r="I14" s="101" t="s">
        <v>284</v>
      </c>
      <c r="J14" s="103">
        <v>1</v>
      </c>
      <c r="K14" s="101"/>
      <c r="L14" s="104">
        <v>0.5</v>
      </c>
    </row>
    <row r="15" spans="1:26">
      <c r="A15" s="105"/>
      <c r="B15" s="106"/>
      <c r="C15" s="107"/>
      <c r="D15" s="107"/>
      <c r="E15" s="108"/>
      <c r="F15" s="107"/>
      <c r="G15" s="109">
        <v>7</v>
      </c>
      <c r="H15" s="102" t="s">
        <v>288</v>
      </c>
      <c r="I15" s="101" t="s">
        <v>284</v>
      </c>
      <c r="J15" s="103">
        <v>1</v>
      </c>
      <c r="K15" s="101"/>
      <c r="L15" s="104">
        <v>0.5</v>
      </c>
    </row>
    <row r="16" spans="1:26">
      <c r="A16" s="105"/>
      <c r="B16" s="106"/>
      <c r="C16" s="107"/>
      <c r="D16" s="107"/>
      <c r="E16" s="108"/>
      <c r="F16" s="107"/>
      <c r="G16" s="109">
        <v>8</v>
      </c>
      <c r="H16" s="102" t="s">
        <v>289</v>
      </c>
      <c r="I16" s="101" t="s">
        <v>290</v>
      </c>
      <c r="J16" s="103">
        <v>0.3</v>
      </c>
      <c r="K16" s="101"/>
      <c r="L16" s="104">
        <v>0.5</v>
      </c>
    </row>
    <row r="17" spans="1:12">
      <c r="A17" s="105"/>
      <c r="B17" s="106"/>
      <c r="C17" s="107"/>
      <c r="D17" s="107"/>
      <c r="E17" s="108"/>
      <c r="F17" s="107"/>
      <c r="G17" s="109">
        <v>9</v>
      </c>
      <c r="H17" s="102" t="s">
        <v>291</v>
      </c>
      <c r="I17" s="101" t="s">
        <v>290</v>
      </c>
      <c r="J17" s="103">
        <v>1</v>
      </c>
      <c r="K17" s="101"/>
      <c r="L17" s="104">
        <v>1</v>
      </c>
    </row>
    <row r="18" spans="1:12">
      <c r="A18" s="105"/>
      <c r="B18" s="106"/>
      <c r="C18" s="107"/>
      <c r="D18" s="107"/>
      <c r="E18" s="111"/>
      <c r="F18" s="112"/>
      <c r="G18" s="109">
        <v>10</v>
      </c>
      <c r="H18" s="102" t="s">
        <v>292</v>
      </c>
      <c r="I18" s="101" t="s">
        <v>290</v>
      </c>
      <c r="J18" s="103">
        <v>1</v>
      </c>
      <c r="K18" s="101"/>
      <c r="L18" s="104">
        <v>0.75</v>
      </c>
    </row>
    <row r="19" spans="1:12">
      <c r="A19" s="105"/>
      <c r="B19" s="106"/>
      <c r="C19" s="107"/>
      <c r="D19" s="107"/>
      <c r="E19" s="113" t="s">
        <v>167</v>
      </c>
      <c r="F19" s="114"/>
      <c r="G19" s="114"/>
      <c r="H19" s="115"/>
      <c r="I19" s="116"/>
      <c r="J19" s="117"/>
      <c r="K19" s="118"/>
      <c r="L19" s="119">
        <v>8</v>
      </c>
    </row>
    <row r="20" spans="1:12">
      <c r="A20" s="123"/>
      <c r="B20" s="124"/>
      <c r="C20" s="112"/>
      <c r="D20" s="112"/>
      <c r="E20" s="109" t="s">
        <v>168</v>
      </c>
      <c r="F20" s="109" t="s">
        <v>56</v>
      </c>
      <c r="G20" s="109">
        <v>1</v>
      </c>
      <c r="H20" s="110"/>
      <c r="I20" s="101"/>
      <c r="J20" s="122"/>
      <c r="K20" s="109"/>
      <c r="L20" s="104"/>
    </row>
    <row r="21" ht="60" spans="1:12">
      <c r="A21" s="125" t="s">
        <v>293</v>
      </c>
      <c r="B21" s="126"/>
      <c r="C21" s="128"/>
      <c r="D21" s="128"/>
      <c r="E21" s="120" t="s">
        <v>152</v>
      </c>
      <c r="F21" s="128" t="s">
        <v>56</v>
      </c>
      <c r="G21" s="109">
        <v>1</v>
      </c>
      <c r="H21" s="102" t="s">
        <v>294</v>
      </c>
      <c r="I21" s="101" t="s">
        <v>295</v>
      </c>
      <c r="J21" s="103">
        <v>1</v>
      </c>
      <c r="K21" s="101"/>
      <c r="L21" s="104">
        <v>5</v>
      </c>
    </row>
    <row r="22" ht="72" spans="1:12">
      <c r="A22" s="105"/>
      <c r="B22" s="106"/>
      <c r="C22" s="107"/>
      <c r="D22" s="107"/>
      <c r="E22" s="108"/>
      <c r="F22" s="107"/>
      <c r="G22" s="109">
        <v>2</v>
      </c>
      <c r="H22" s="129" t="s">
        <v>296</v>
      </c>
      <c r="I22" s="101" t="s">
        <v>297</v>
      </c>
      <c r="J22" s="103">
        <v>1</v>
      </c>
      <c r="K22" s="101"/>
      <c r="L22" s="104">
        <v>5</v>
      </c>
    </row>
    <row r="23" spans="1:12">
      <c r="A23" s="105"/>
      <c r="B23" s="106"/>
      <c r="C23" s="107"/>
      <c r="D23" s="107"/>
      <c r="E23" s="108"/>
      <c r="F23" s="107"/>
      <c r="G23" s="109">
        <v>3</v>
      </c>
      <c r="H23" s="102" t="s">
        <v>298</v>
      </c>
      <c r="I23" s="101" t="s">
        <v>299</v>
      </c>
      <c r="J23" s="103">
        <v>0.8</v>
      </c>
      <c r="K23" s="103"/>
      <c r="L23" s="104">
        <v>4</v>
      </c>
    </row>
    <row r="24" ht="24" spans="1:12">
      <c r="A24" s="105"/>
      <c r="B24" s="106"/>
      <c r="C24" s="107"/>
      <c r="D24" s="107"/>
      <c r="E24" s="108"/>
      <c r="F24" s="107"/>
      <c r="G24" s="109">
        <v>4</v>
      </c>
      <c r="H24" s="102" t="s">
        <v>300</v>
      </c>
      <c r="I24" s="101" t="s">
        <v>299</v>
      </c>
      <c r="J24" s="103">
        <v>0.1</v>
      </c>
      <c r="K24" s="103"/>
      <c r="L24" s="104">
        <v>1</v>
      </c>
    </row>
    <row r="25" spans="1:12">
      <c r="A25" s="105"/>
      <c r="B25" s="106"/>
      <c r="C25" s="107"/>
      <c r="D25" s="107"/>
      <c r="E25" s="108"/>
      <c r="F25" s="107"/>
      <c r="G25" s="109">
        <v>5</v>
      </c>
      <c r="H25" s="110"/>
      <c r="I25" s="101"/>
      <c r="J25" s="103"/>
      <c r="K25" s="101"/>
      <c r="L25" s="104"/>
    </row>
    <row r="26" spans="1:12">
      <c r="A26" s="105"/>
      <c r="B26" s="106"/>
      <c r="C26" s="107"/>
      <c r="D26" s="107"/>
      <c r="E26" s="108"/>
      <c r="F26" s="107"/>
      <c r="G26" s="109">
        <v>6</v>
      </c>
      <c r="H26" s="110"/>
      <c r="I26" s="101"/>
      <c r="J26" s="103"/>
      <c r="K26" s="101"/>
      <c r="L26" s="104"/>
    </row>
    <row r="27" spans="1:12">
      <c r="A27" s="105"/>
      <c r="B27" s="106"/>
      <c r="C27" s="107"/>
      <c r="D27" s="107"/>
      <c r="E27" s="111"/>
      <c r="F27" s="112"/>
      <c r="G27" s="109">
        <v>7</v>
      </c>
      <c r="H27" s="110"/>
      <c r="I27" s="101"/>
      <c r="J27" s="103"/>
      <c r="K27" s="101"/>
      <c r="L27" s="104"/>
    </row>
    <row r="28" spans="1:12">
      <c r="A28" s="105"/>
      <c r="B28" s="106"/>
      <c r="C28" s="107"/>
      <c r="D28" s="107"/>
      <c r="E28" s="113" t="s">
        <v>167</v>
      </c>
      <c r="F28" s="114"/>
      <c r="G28" s="114"/>
      <c r="H28" s="115"/>
      <c r="I28" s="116"/>
      <c r="J28" s="117"/>
      <c r="K28" s="118"/>
      <c r="L28" s="119">
        <v>15</v>
      </c>
    </row>
    <row r="29" spans="1:12">
      <c r="A29" s="123"/>
      <c r="B29" s="124"/>
      <c r="C29" s="112"/>
      <c r="D29" s="112"/>
      <c r="E29" s="109" t="s">
        <v>168</v>
      </c>
      <c r="F29" s="109" t="s">
        <v>56</v>
      </c>
      <c r="G29" s="109">
        <v>1</v>
      </c>
      <c r="H29" s="110"/>
      <c r="I29" s="101"/>
      <c r="J29" s="122"/>
      <c r="K29" s="109"/>
      <c r="L29" s="104"/>
    </row>
  </sheetData>
  <mergeCells count="23">
    <mergeCell ref="E6:H6"/>
    <mergeCell ref="E19:H19"/>
    <mergeCell ref="E28:H28"/>
    <mergeCell ref="A2:A8"/>
    <mergeCell ref="A9:A20"/>
    <mergeCell ref="A21:A29"/>
    <mergeCell ref="B2:B8"/>
    <mergeCell ref="B9:B20"/>
    <mergeCell ref="B21:B29"/>
    <mergeCell ref="C2:C8"/>
    <mergeCell ref="C9:C20"/>
    <mergeCell ref="C21:C29"/>
    <mergeCell ref="D2:D8"/>
    <mergeCell ref="D9:D20"/>
    <mergeCell ref="D21:D29"/>
    <mergeCell ref="E2:E5"/>
    <mergeCell ref="E7:E8"/>
    <mergeCell ref="E9:E18"/>
    <mergeCell ref="E21:E27"/>
    <mergeCell ref="F2:F5"/>
    <mergeCell ref="F7:F8"/>
    <mergeCell ref="F9:F18"/>
    <mergeCell ref="F21:F27"/>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100"/>
  <sheetViews>
    <sheetView workbookViewId="0">
      <pane ySplit="1" topLeftCell="A2" activePane="bottomLeft" state="frozen"/>
      <selection/>
      <selection pane="bottomLeft" activeCell="A29" sqref="A29:L40"/>
    </sheetView>
  </sheetViews>
  <sheetFormatPr defaultColWidth="9.13888888888889" defaultRowHeight="13.8"/>
  <cols>
    <col min="1" max="1" width="22.4259259259259" style="40" customWidth="1"/>
    <col min="2" max="2" width="11.712962962963" style="40" customWidth="1"/>
    <col min="3" max="7" width="9.13888888888889" style="40"/>
    <col min="8" max="8" width="59.712962962963" style="40" customWidth="1"/>
    <col min="9" max="11" width="9.13888888888889" style="40"/>
    <col min="12" max="12" width="19.5740740740741" style="41" customWidth="1"/>
    <col min="13" max="26" width="9.13888888888889" style="40"/>
    <col min="27" max="16384" width="9.13888888888889" style="42"/>
  </cols>
  <sheetData>
    <row r="1" ht="69.6" spans="1:26">
      <c r="A1" s="43" t="s">
        <v>140</v>
      </c>
      <c r="B1" s="44" t="s">
        <v>6</v>
      </c>
      <c r="C1" s="43" t="s">
        <v>141</v>
      </c>
      <c r="D1" s="43" t="s">
        <v>142</v>
      </c>
      <c r="E1" s="44" t="s">
        <v>143</v>
      </c>
      <c r="F1" s="43" t="s">
        <v>144</v>
      </c>
      <c r="G1" s="43" t="s">
        <v>1</v>
      </c>
      <c r="H1" s="45" t="s">
        <v>145</v>
      </c>
      <c r="I1" s="43" t="s">
        <v>146</v>
      </c>
      <c r="J1" s="46" t="s">
        <v>147</v>
      </c>
      <c r="K1" s="43" t="s">
        <v>148</v>
      </c>
      <c r="L1" s="47" t="s">
        <v>149</v>
      </c>
      <c r="M1" s="48"/>
      <c r="N1" s="48"/>
      <c r="O1" s="48"/>
      <c r="P1" s="48"/>
      <c r="Q1" s="48"/>
      <c r="R1" s="48"/>
      <c r="S1" s="48"/>
      <c r="T1" s="48"/>
      <c r="U1" s="48"/>
      <c r="V1" s="48"/>
      <c r="W1" s="48"/>
      <c r="X1" s="48"/>
      <c r="Y1" s="48"/>
      <c r="Z1" s="48"/>
    </row>
    <row r="2" ht="409.5" spans="1:26">
      <c r="A2" s="43" t="s">
        <v>301</v>
      </c>
      <c r="B2" s="49" t="s">
        <v>118</v>
      </c>
      <c r="C2" s="50">
        <v>0.92</v>
      </c>
      <c r="D2" s="51"/>
      <c r="E2" s="52" t="s">
        <v>152</v>
      </c>
      <c r="F2" s="53" t="s">
        <v>56</v>
      </c>
      <c r="G2" s="51">
        <v>1</v>
      </c>
      <c r="H2" s="54" t="s">
        <v>302</v>
      </c>
      <c r="I2" s="15" t="s">
        <v>303</v>
      </c>
      <c r="J2" s="50">
        <v>0.9</v>
      </c>
      <c r="K2" s="52"/>
      <c r="L2" s="55">
        <v>5</v>
      </c>
    </row>
    <row r="3" ht="75" spans="1:26">
      <c r="A3" s="43"/>
      <c r="B3" s="49"/>
      <c r="C3" s="51"/>
      <c r="D3" s="51"/>
      <c r="E3" s="52"/>
      <c r="F3" s="56"/>
      <c r="G3" s="57">
        <v>2</v>
      </c>
      <c r="H3" s="58" t="s">
        <v>304</v>
      </c>
      <c r="I3" s="15" t="s">
        <v>305</v>
      </c>
      <c r="J3" s="59">
        <v>0.9</v>
      </c>
      <c r="K3" s="60"/>
      <c r="L3" s="55">
        <v>5</v>
      </c>
    </row>
    <row r="4" ht="60" spans="1:26">
      <c r="A4" s="43"/>
      <c r="B4" s="49"/>
      <c r="C4" s="51"/>
      <c r="D4" s="51"/>
      <c r="E4" s="52"/>
      <c r="F4" s="56"/>
      <c r="G4" s="57">
        <v>3</v>
      </c>
      <c r="H4" s="58" t="s">
        <v>306</v>
      </c>
      <c r="I4" s="57" t="s">
        <v>307</v>
      </c>
      <c r="J4" s="59">
        <v>1</v>
      </c>
      <c r="K4" s="60"/>
      <c r="L4" s="55">
        <v>4.4</v>
      </c>
    </row>
    <row r="5" ht="60" spans="1:26">
      <c r="A5" s="43"/>
      <c r="B5" s="49"/>
      <c r="C5" s="51"/>
      <c r="D5" s="51"/>
      <c r="E5" s="52"/>
      <c r="F5" s="56"/>
      <c r="G5" s="57">
        <v>4</v>
      </c>
      <c r="H5" s="58" t="s">
        <v>308</v>
      </c>
      <c r="I5" s="57" t="s">
        <v>309</v>
      </c>
      <c r="J5" s="59">
        <v>0.6</v>
      </c>
      <c r="K5" s="60"/>
      <c r="L5" s="55">
        <v>3</v>
      </c>
    </row>
    <row r="6" ht="27.75" customHeight="1" spans="1:26">
      <c r="A6" s="43"/>
      <c r="B6" s="49"/>
      <c r="C6" s="51"/>
      <c r="D6" s="51"/>
      <c r="E6" s="52"/>
      <c r="F6" s="56"/>
      <c r="G6" s="57">
        <v>5</v>
      </c>
      <c r="H6" s="61" t="s">
        <v>310</v>
      </c>
      <c r="I6" s="57" t="s">
        <v>311</v>
      </c>
      <c r="J6" s="59">
        <v>1</v>
      </c>
      <c r="K6" s="60"/>
      <c r="L6" s="55">
        <v>1</v>
      </c>
    </row>
    <row r="7" ht="15" spans="1:26">
      <c r="A7" s="43"/>
      <c r="B7" s="49"/>
      <c r="C7" s="51"/>
      <c r="D7" s="51"/>
      <c r="E7" s="52"/>
      <c r="F7" s="56"/>
      <c r="G7" s="57">
        <v>6</v>
      </c>
      <c r="H7" s="62"/>
      <c r="I7" s="57" t="s">
        <v>312</v>
      </c>
      <c r="J7" s="59">
        <v>1</v>
      </c>
      <c r="K7" s="60"/>
      <c r="L7" s="55">
        <v>1</v>
      </c>
    </row>
    <row r="8" ht="15" spans="1:26">
      <c r="A8" s="43"/>
      <c r="B8" s="49"/>
      <c r="C8" s="51"/>
      <c r="D8" s="51"/>
      <c r="E8" s="52"/>
      <c r="F8" s="56"/>
      <c r="G8" s="57">
        <v>7</v>
      </c>
      <c r="H8" s="58" t="s">
        <v>313</v>
      </c>
      <c r="I8" s="15" t="s">
        <v>314</v>
      </c>
      <c r="J8" s="59">
        <v>0.6</v>
      </c>
      <c r="K8" s="60"/>
      <c r="L8" s="55">
        <v>5</v>
      </c>
    </row>
    <row r="9" ht="15" spans="1:26">
      <c r="A9" s="43"/>
      <c r="B9" s="49"/>
      <c r="C9" s="51"/>
      <c r="D9" s="51"/>
      <c r="E9" s="52"/>
      <c r="F9" s="56"/>
      <c r="G9" s="57">
        <v>8</v>
      </c>
      <c r="H9" s="58"/>
      <c r="I9" s="57"/>
      <c r="J9" s="59"/>
      <c r="K9" s="60"/>
      <c r="L9" s="55"/>
    </row>
    <row r="10" ht="15" spans="1:26">
      <c r="A10" s="43"/>
      <c r="B10" s="49"/>
      <c r="C10" s="51"/>
      <c r="D10" s="51"/>
      <c r="E10" s="52"/>
      <c r="F10" s="56"/>
      <c r="G10" s="57">
        <v>9</v>
      </c>
      <c r="H10" s="61"/>
      <c r="I10" s="57"/>
      <c r="J10" s="59"/>
      <c r="K10" s="60"/>
      <c r="L10" s="55"/>
    </row>
    <row r="11" ht="15" spans="1:26">
      <c r="A11" s="43"/>
      <c r="B11" s="49"/>
      <c r="C11" s="51"/>
      <c r="D11" s="51"/>
      <c r="E11" s="52"/>
      <c r="F11" s="56"/>
      <c r="G11" s="63">
        <v>10</v>
      </c>
      <c r="H11" s="64"/>
      <c r="I11" s="65"/>
      <c r="J11" s="66"/>
      <c r="K11" s="60"/>
      <c r="L11" s="55"/>
    </row>
    <row r="12" ht="80.25" customHeight="1" spans="1:26">
      <c r="A12" s="43"/>
      <c r="B12" s="49"/>
      <c r="C12" s="51"/>
      <c r="D12" s="51"/>
      <c r="E12" s="52"/>
      <c r="F12" s="56"/>
      <c r="G12" s="63">
        <v>11</v>
      </c>
      <c r="H12" s="64" t="s">
        <v>315</v>
      </c>
      <c r="I12" s="67" t="s">
        <v>118</v>
      </c>
      <c r="J12" s="68">
        <v>1</v>
      </c>
      <c r="K12" s="69"/>
      <c r="L12" s="55">
        <v>4.75</v>
      </c>
    </row>
    <row r="13" ht="15" spans="1:26">
      <c r="A13" s="43"/>
      <c r="B13" s="49"/>
      <c r="C13" s="51"/>
      <c r="D13" s="51"/>
      <c r="E13" s="52"/>
      <c r="F13" s="70"/>
      <c r="G13" s="63">
        <v>12</v>
      </c>
      <c r="H13" s="71" t="s">
        <v>316</v>
      </c>
      <c r="I13" s="67" t="s">
        <v>120</v>
      </c>
      <c r="J13" s="68">
        <v>1</v>
      </c>
      <c r="K13" s="69"/>
      <c r="L13" s="55">
        <v>1</v>
      </c>
    </row>
    <row r="14" ht="15" spans="1:26">
      <c r="A14" s="43"/>
      <c r="B14" s="49"/>
      <c r="C14" s="51"/>
      <c r="D14" s="51"/>
      <c r="E14" s="32" t="s">
        <v>167</v>
      </c>
      <c r="F14" s="32"/>
      <c r="G14" s="32"/>
      <c r="H14" s="72"/>
      <c r="I14" s="32"/>
      <c r="J14" s="73"/>
      <c r="K14" s="34"/>
      <c r="L14" s="35">
        <f>SUM(L2:L13)</f>
        <v>30.15</v>
      </c>
    </row>
    <row r="15" ht="15.6" spans="1:26">
      <c r="A15" s="43"/>
      <c r="B15" s="49"/>
      <c r="C15" s="51"/>
      <c r="D15" s="51"/>
      <c r="E15" s="52" t="s">
        <v>168</v>
      </c>
      <c r="F15" s="52" t="s">
        <v>56</v>
      </c>
      <c r="G15" s="52">
        <v>1</v>
      </c>
      <c r="H15" s="74"/>
      <c r="I15" s="51"/>
      <c r="J15" s="75"/>
      <c r="K15" s="52"/>
      <c r="L15" s="55"/>
    </row>
    <row r="16" ht="15" spans="1:26">
      <c r="A16" s="43"/>
      <c r="B16" s="49"/>
      <c r="C16" s="51"/>
      <c r="D16" s="51"/>
      <c r="E16" s="52"/>
      <c r="F16" s="52"/>
      <c r="G16" s="52">
        <v>2</v>
      </c>
      <c r="H16" s="54"/>
      <c r="I16" s="52"/>
      <c r="J16" s="75"/>
      <c r="K16" s="52"/>
      <c r="L16" s="55"/>
    </row>
    <row r="17" ht="15" spans="1:12">
      <c r="A17" s="43" t="s">
        <v>317</v>
      </c>
      <c r="B17" s="49" t="s">
        <v>120</v>
      </c>
      <c r="C17" s="50">
        <v>0.95</v>
      </c>
      <c r="D17" s="51"/>
      <c r="E17" s="52" t="s">
        <v>152</v>
      </c>
      <c r="F17" s="51" t="s">
        <v>56</v>
      </c>
      <c r="G17" s="51">
        <v>1</v>
      </c>
      <c r="H17" s="54"/>
      <c r="I17" s="15"/>
      <c r="J17" s="50"/>
      <c r="K17" s="51"/>
      <c r="L17" s="55"/>
    </row>
    <row r="18" ht="15" spans="1:12">
      <c r="A18" s="43"/>
      <c r="B18" s="49"/>
      <c r="C18" s="51"/>
      <c r="D18" s="51"/>
      <c r="E18" s="52"/>
      <c r="F18" s="51"/>
      <c r="G18" s="51">
        <v>2</v>
      </c>
      <c r="H18" s="54"/>
      <c r="I18" s="15"/>
      <c r="J18" s="50"/>
      <c r="K18" s="51"/>
      <c r="L18" s="55"/>
    </row>
    <row r="19" ht="15" spans="1:12">
      <c r="A19" s="43"/>
      <c r="B19" s="49"/>
      <c r="C19" s="51"/>
      <c r="D19" s="51"/>
      <c r="E19" s="52"/>
      <c r="F19" s="51"/>
      <c r="G19" s="51">
        <v>3</v>
      </c>
      <c r="H19" s="54"/>
      <c r="I19" s="15"/>
      <c r="J19" s="50"/>
      <c r="K19" s="51"/>
      <c r="L19" s="55"/>
    </row>
    <row r="20" ht="15" spans="1:12">
      <c r="A20" s="43"/>
      <c r="B20" s="49"/>
      <c r="C20" s="51"/>
      <c r="D20" s="51"/>
      <c r="E20" s="52"/>
      <c r="F20" s="51"/>
      <c r="G20" s="51"/>
      <c r="H20" s="54"/>
      <c r="I20" s="15"/>
      <c r="J20" s="50"/>
      <c r="K20" s="51"/>
      <c r="L20" s="55"/>
    </row>
    <row r="21" ht="15" spans="1:12">
      <c r="A21" s="43"/>
      <c r="B21" s="49"/>
      <c r="C21" s="51"/>
      <c r="D21" s="51"/>
      <c r="E21" s="52"/>
      <c r="F21" s="51"/>
      <c r="G21" s="51"/>
      <c r="H21" s="54"/>
      <c r="I21" s="15"/>
      <c r="J21" s="50"/>
      <c r="K21" s="51"/>
      <c r="L21" s="55"/>
    </row>
    <row r="22" ht="15" spans="1:12">
      <c r="A22" s="43"/>
      <c r="B22" s="49"/>
      <c r="C22" s="51"/>
      <c r="D22" s="51"/>
      <c r="E22" s="52"/>
      <c r="F22" s="51"/>
      <c r="G22" s="51"/>
      <c r="H22" s="76"/>
      <c r="I22" s="51"/>
      <c r="J22" s="50"/>
      <c r="K22" s="51"/>
      <c r="L22" s="55"/>
    </row>
    <row r="23" ht="15" spans="1:12">
      <c r="A23" s="43"/>
      <c r="B23" s="49"/>
      <c r="C23" s="51"/>
      <c r="D23" s="51"/>
      <c r="E23" s="52"/>
      <c r="F23" s="51"/>
      <c r="G23" s="52"/>
      <c r="H23" s="54"/>
      <c r="I23" s="51"/>
      <c r="J23" s="50"/>
      <c r="K23" s="51"/>
      <c r="L23" s="55"/>
    </row>
    <row r="24" ht="15" spans="1:12">
      <c r="A24" s="43"/>
      <c r="B24" s="49"/>
      <c r="C24" s="51"/>
      <c r="D24" s="51"/>
      <c r="E24" s="52"/>
      <c r="F24" s="51"/>
      <c r="G24" s="51"/>
      <c r="H24" s="54"/>
      <c r="I24" s="51"/>
      <c r="J24" s="50"/>
      <c r="K24" s="51"/>
      <c r="L24" s="55"/>
    </row>
    <row r="25" ht="15" spans="1:12">
      <c r="A25" s="43"/>
      <c r="B25" s="49"/>
      <c r="C25" s="51"/>
      <c r="D25" s="51"/>
      <c r="E25" s="52"/>
      <c r="F25" s="51"/>
      <c r="G25" s="51"/>
      <c r="H25" s="54"/>
      <c r="I25" s="51"/>
      <c r="J25" s="50"/>
      <c r="K25" s="51"/>
      <c r="L25" s="55"/>
    </row>
    <row r="26" ht="15" spans="1:12">
      <c r="A26" s="43"/>
      <c r="B26" s="49"/>
      <c r="C26" s="51"/>
      <c r="D26" s="51"/>
      <c r="E26" s="32" t="s">
        <v>167</v>
      </c>
      <c r="F26" s="32"/>
      <c r="G26" s="32"/>
      <c r="H26" s="32"/>
      <c r="I26" s="32"/>
      <c r="J26" s="33"/>
      <c r="K26" s="34"/>
      <c r="L26" s="35">
        <f>SUM(L17:L25)</f>
        <v>0</v>
      </c>
    </row>
    <row r="27" ht="15.6" spans="1:12">
      <c r="A27" s="43"/>
      <c r="B27" s="49"/>
      <c r="C27" s="51"/>
      <c r="D27" s="51"/>
      <c r="E27" s="52" t="s">
        <v>168</v>
      </c>
      <c r="F27" s="52" t="s">
        <v>56</v>
      </c>
      <c r="G27" s="52">
        <v>1</v>
      </c>
      <c r="H27" s="74"/>
      <c r="I27" s="51"/>
      <c r="J27" s="75"/>
      <c r="K27" s="52"/>
      <c r="L27" s="77"/>
    </row>
    <row r="28" ht="15.6" spans="1:12">
      <c r="A28" s="43"/>
      <c r="B28" s="49"/>
      <c r="C28" s="51"/>
      <c r="D28" s="51"/>
      <c r="E28" s="52"/>
      <c r="F28" s="52"/>
      <c r="G28" s="52">
        <v>2</v>
      </c>
      <c r="H28" s="74"/>
      <c r="I28" s="52"/>
      <c r="J28" s="75"/>
      <c r="K28" s="52"/>
      <c r="L28" s="77"/>
    </row>
    <row r="29" ht="15.6" spans="1:12">
      <c r="A29" s="43" t="s">
        <v>318</v>
      </c>
      <c r="B29" s="49" t="s">
        <v>120</v>
      </c>
      <c r="C29" s="51" t="s">
        <v>151</v>
      </c>
      <c r="D29" s="51"/>
      <c r="E29" s="52" t="s">
        <v>152</v>
      </c>
      <c r="F29" s="53" t="s">
        <v>56</v>
      </c>
      <c r="G29" s="51">
        <v>1</v>
      </c>
      <c r="H29" s="64" t="s">
        <v>319</v>
      </c>
      <c r="I29" s="15" t="s">
        <v>312</v>
      </c>
      <c r="J29" s="50">
        <v>0.9</v>
      </c>
      <c r="K29" s="51"/>
      <c r="L29" s="49">
        <v>4</v>
      </c>
    </row>
    <row r="30" ht="15.6" spans="1:12">
      <c r="A30" s="43"/>
      <c r="B30" s="49"/>
      <c r="C30" s="51"/>
      <c r="D30" s="51"/>
      <c r="E30" s="52"/>
      <c r="F30" s="78"/>
      <c r="G30" s="51">
        <v>2</v>
      </c>
      <c r="H30" s="76" t="s">
        <v>320</v>
      </c>
      <c r="I30" s="15" t="s">
        <v>311</v>
      </c>
      <c r="J30" s="50">
        <v>0.8</v>
      </c>
      <c r="K30" s="51"/>
      <c r="L30" s="49">
        <v>4</v>
      </c>
    </row>
    <row r="31" ht="15.6" spans="1:12">
      <c r="A31" s="43"/>
      <c r="B31" s="49"/>
      <c r="C31" s="51"/>
      <c r="D31" s="51"/>
      <c r="E31" s="52"/>
      <c r="F31" s="78"/>
      <c r="G31" s="51">
        <v>3</v>
      </c>
      <c r="H31" s="54" t="s">
        <v>321</v>
      </c>
      <c r="I31" s="15" t="s">
        <v>120</v>
      </c>
      <c r="J31" s="50">
        <v>1</v>
      </c>
      <c r="K31" s="51"/>
      <c r="L31" s="49">
        <v>3</v>
      </c>
    </row>
    <row r="32" ht="15.6" spans="1:12">
      <c r="A32" s="43"/>
      <c r="B32" s="49"/>
      <c r="C32" s="51"/>
      <c r="D32" s="51"/>
      <c r="E32" s="52"/>
      <c r="F32" s="78"/>
      <c r="G32" s="51"/>
      <c r="H32" s="54"/>
      <c r="I32" s="15"/>
      <c r="J32" s="50"/>
      <c r="K32" s="51"/>
      <c r="L32" s="49"/>
    </row>
    <row r="33" ht="15.6" spans="1:12">
      <c r="A33" s="43"/>
      <c r="B33" s="49"/>
      <c r="C33" s="51"/>
      <c r="D33" s="51"/>
      <c r="E33" s="52"/>
      <c r="F33" s="78"/>
      <c r="G33" s="51"/>
      <c r="H33" s="54"/>
      <c r="I33" s="15"/>
      <c r="J33" s="50"/>
      <c r="K33" s="51"/>
      <c r="L33" s="49"/>
    </row>
    <row r="34" ht="15.6" spans="1:12">
      <c r="A34" s="43"/>
      <c r="B34" s="49"/>
      <c r="C34" s="51"/>
      <c r="D34" s="51"/>
      <c r="E34" s="52"/>
      <c r="F34" s="79"/>
      <c r="G34" s="51"/>
      <c r="H34" s="76"/>
      <c r="I34" s="51"/>
      <c r="J34" s="50"/>
      <c r="K34" s="51"/>
      <c r="L34" s="49"/>
    </row>
    <row r="35" ht="15.6" spans="1:12">
      <c r="A35" s="43"/>
      <c r="B35" s="49"/>
      <c r="C35" s="51"/>
      <c r="D35" s="51"/>
      <c r="E35" s="52"/>
      <c r="F35" s="53" t="s">
        <v>322</v>
      </c>
      <c r="G35" s="52">
        <v>1</v>
      </c>
      <c r="H35" s="54" t="s">
        <v>323</v>
      </c>
      <c r="I35" s="51" t="s">
        <v>307</v>
      </c>
      <c r="J35" s="50">
        <v>1</v>
      </c>
      <c r="K35" s="51"/>
      <c r="L35" s="49">
        <v>0.2</v>
      </c>
    </row>
    <row r="36" ht="15.6" spans="1:12">
      <c r="A36" s="43"/>
      <c r="B36" s="49"/>
      <c r="C36" s="51"/>
      <c r="D36" s="51"/>
      <c r="E36" s="52"/>
      <c r="F36" s="78"/>
      <c r="G36" s="51">
        <v>2</v>
      </c>
      <c r="H36" s="54"/>
      <c r="I36" s="51"/>
      <c r="J36" s="50"/>
      <c r="K36" s="51"/>
      <c r="L36" s="49"/>
    </row>
    <row r="37" ht="15.6" spans="1:12">
      <c r="A37" s="43"/>
      <c r="B37" s="49"/>
      <c r="C37" s="51"/>
      <c r="D37" s="51"/>
      <c r="E37" s="52"/>
      <c r="F37" s="79"/>
      <c r="G37" s="51">
        <v>3</v>
      </c>
      <c r="H37" s="54"/>
      <c r="I37" s="51"/>
      <c r="J37" s="50"/>
      <c r="K37" s="51"/>
      <c r="L37" s="49"/>
    </row>
    <row r="38" ht="15" spans="1:12">
      <c r="A38" s="43"/>
      <c r="B38" s="49"/>
      <c r="C38" s="51"/>
      <c r="D38" s="51"/>
      <c r="E38" s="32" t="s">
        <v>167</v>
      </c>
      <c r="F38" s="32"/>
      <c r="G38" s="32"/>
      <c r="H38" s="32"/>
      <c r="I38" s="32"/>
      <c r="J38" s="33"/>
      <c r="K38" s="34"/>
      <c r="L38" s="35">
        <f>SUM(L29:L37)</f>
        <v>11.2</v>
      </c>
    </row>
    <row r="39" ht="15.6" spans="1:12">
      <c r="A39" s="43"/>
      <c r="B39" s="49"/>
      <c r="C39" s="51"/>
      <c r="D39" s="51"/>
      <c r="E39" s="52" t="s">
        <v>168</v>
      </c>
      <c r="F39" s="52" t="s">
        <v>56</v>
      </c>
      <c r="G39" s="52">
        <v>1</v>
      </c>
      <c r="H39" s="74"/>
      <c r="I39" s="51"/>
      <c r="J39" s="75"/>
      <c r="K39" s="52"/>
      <c r="L39" s="77"/>
    </row>
    <row r="40" ht="15.6" spans="1:12">
      <c r="A40" s="43"/>
      <c r="B40" s="49"/>
      <c r="C40" s="51"/>
      <c r="D40" s="51"/>
      <c r="E40" s="52"/>
      <c r="F40" s="52"/>
      <c r="G40" s="52">
        <v>2</v>
      </c>
      <c r="H40" s="74"/>
      <c r="I40" s="52"/>
      <c r="J40" s="75"/>
      <c r="K40" s="52"/>
      <c r="L40" s="55"/>
    </row>
    <row r="41" ht="15.6" spans="1:12">
      <c r="A41" s="43" t="s">
        <v>324</v>
      </c>
      <c r="B41" s="49" t="s">
        <v>120</v>
      </c>
      <c r="C41" s="51" t="s">
        <v>151</v>
      </c>
      <c r="D41" s="51"/>
      <c r="E41" s="52" t="s">
        <v>152</v>
      </c>
      <c r="F41" s="53" t="s">
        <v>56</v>
      </c>
      <c r="G41" s="51">
        <v>1</v>
      </c>
      <c r="H41" s="54"/>
      <c r="I41" s="15"/>
      <c r="J41" s="50"/>
      <c r="K41" s="51"/>
      <c r="L41" s="49"/>
    </row>
    <row r="42" ht="15.6" spans="1:12">
      <c r="A42" s="43"/>
      <c r="B42" s="49"/>
      <c r="C42" s="51"/>
      <c r="D42" s="51"/>
      <c r="E42" s="52"/>
      <c r="F42" s="78"/>
      <c r="G42" s="51">
        <v>2</v>
      </c>
      <c r="H42" s="76"/>
      <c r="I42" s="15"/>
      <c r="J42" s="50"/>
      <c r="K42" s="51"/>
      <c r="L42" s="49"/>
    </row>
    <row r="43" ht="15.6" spans="1:12">
      <c r="A43" s="43"/>
      <c r="B43" s="49"/>
      <c r="C43" s="51"/>
      <c r="D43" s="51"/>
      <c r="E43" s="52"/>
      <c r="F43" s="78"/>
      <c r="G43" s="51">
        <v>3</v>
      </c>
      <c r="H43" s="54"/>
      <c r="I43" s="15"/>
      <c r="J43" s="50"/>
      <c r="K43" s="51"/>
      <c r="L43" s="49"/>
    </row>
    <row r="44" ht="15.6" spans="1:12">
      <c r="A44" s="43"/>
      <c r="B44" s="49"/>
      <c r="C44" s="51"/>
      <c r="D44" s="51"/>
      <c r="E44" s="52"/>
      <c r="F44" s="78"/>
      <c r="G44" s="51">
        <v>4</v>
      </c>
      <c r="H44" s="54"/>
      <c r="I44" s="15"/>
      <c r="J44" s="50"/>
      <c r="K44" s="51"/>
      <c r="L44" s="49"/>
    </row>
    <row r="45" ht="15.6" spans="1:12">
      <c r="A45" s="43"/>
      <c r="B45" s="49"/>
      <c r="C45" s="51"/>
      <c r="D45" s="51"/>
      <c r="E45" s="52"/>
      <c r="F45" s="78"/>
      <c r="G45" s="51">
        <v>5</v>
      </c>
      <c r="H45" s="54"/>
      <c r="I45" s="15"/>
      <c r="J45" s="50"/>
      <c r="K45" s="51"/>
      <c r="L45" s="49"/>
    </row>
    <row r="46" ht="15.6" spans="1:12">
      <c r="A46" s="43"/>
      <c r="B46" s="49"/>
      <c r="C46" s="51"/>
      <c r="D46" s="51"/>
      <c r="E46" s="52"/>
      <c r="F46" s="79"/>
      <c r="G46" s="51">
        <v>6</v>
      </c>
      <c r="H46" s="76"/>
      <c r="I46" s="51"/>
      <c r="J46" s="50"/>
      <c r="K46" s="51"/>
      <c r="L46" s="49"/>
    </row>
    <row r="47" ht="15.6" spans="1:12">
      <c r="A47" s="43"/>
      <c r="B47" s="49"/>
      <c r="C47" s="51"/>
      <c r="D47" s="51"/>
      <c r="E47" s="52"/>
      <c r="F47" s="53" t="s">
        <v>322</v>
      </c>
      <c r="G47" s="52">
        <v>1</v>
      </c>
      <c r="H47" s="54"/>
      <c r="I47" s="51"/>
      <c r="J47" s="50"/>
      <c r="K47" s="51"/>
      <c r="L47" s="49"/>
    </row>
    <row r="48" ht="15.6" spans="1:12">
      <c r="A48" s="43"/>
      <c r="B48" s="49"/>
      <c r="C48" s="51"/>
      <c r="D48" s="51"/>
      <c r="E48" s="52"/>
      <c r="F48" s="78"/>
      <c r="G48" s="51">
        <v>2</v>
      </c>
      <c r="H48" s="54"/>
      <c r="I48" s="51"/>
      <c r="J48" s="50"/>
      <c r="K48" s="51"/>
      <c r="L48" s="49"/>
    </row>
    <row r="49" ht="15.6" spans="1:12">
      <c r="A49" s="43"/>
      <c r="B49" s="49"/>
      <c r="C49" s="51"/>
      <c r="D49" s="51"/>
      <c r="E49" s="52"/>
      <c r="F49" s="79"/>
      <c r="G49" s="51">
        <v>3</v>
      </c>
      <c r="H49" s="54"/>
      <c r="I49" s="51"/>
      <c r="J49" s="50"/>
      <c r="K49" s="51"/>
      <c r="L49" s="49"/>
    </row>
    <row r="50" ht="15" spans="1:12">
      <c r="A50" s="43"/>
      <c r="B50" s="49"/>
      <c r="C50" s="51"/>
      <c r="D50" s="51"/>
      <c r="E50" s="32" t="s">
        <v>167</v>
      </c>
      <c r="F50" s="32"/>
      <c r="G50" s="32"/>
      <c r="H50" s="32"/>
      <c r="I50" s="32"/>
      <c r="J50" s="33"/>
      <c r="K50" s="34"/>
      <c r="L50" s="35">
        <f>SUM(L41:L49)</f>
        <v>0</v>
      </c>
    </row>
    <row r="51" ht="15.6" spans="1:12">
      <c r="A51" s="43"/>
      <c r="B51" s="49"/>
      <c r="C51" s="51"/>
      <c r="D51" s="51"/>
      <c r="E51" s="52" t="s">
        <v>168</v>
      </c>
      <c r="F51" s="52" t="s">
        <v>56</v>
      </c>
      <c r="G51" s="52">
        <v>1</v>
      </c>
      <c r="H51" s="74"/>
      <c r="I51" s="51"/>
      <c r="J51" s="75"/>
      <c r="K51" s="52"/>
      <c r="L51" s="77"/>
    </row>
    <row r="52" ht="15.6" spans="1:12">
      <c r="A52" s="43"/>
      <c r="B52" s="49"/>
      <c r="C52" s="51"/>
      <c r="D52" s="51"/>
      <c r="E52" s="52"/>
      <c r="F52" s="52"/>
      <c r="G52" s="52">
        <v>2</v>
      </c>
      <c r="H52" s="74"/>
      <c r="I52" s="52"/>
      <c r="J52" s="75"/>
      <c r="K52" s="52"/>
      <c r="L52" s="55"/>
    </row>
    <row r="53" ht="15" spans="1:12">
      <c r="A53" s="43" t="s">
        <v>325</v>
      </c>
      <c r="B53" s="49" t="s">
        <v>120</v>
      </c>
      <c r="C53" s="50">
        <v>0.96</v>
      </c>
      <c r="D53" s="51"/>
      <c r="E53" s="52" t="s">
        <v>152</v>
      </c>
      <c r="F53" s="53" t="s">
        <v>56</v>
      </c>
      <c r="G53" s="51">
        <v>1</v>
      </c>
      <c r="H53" s="54" t="s">
        <v>326</v>
      </c>
      <c r="I53" s="54" t="s">
        <v>327</v>
      </c>
      <c r="J53" s="50">
        <v>0.95</v>
      </c>
      <c r="K53" s="51"/>
      <c r="L53" s="55">
        <v>5</v>
      </c>
    </row>
    <row r="54" ht="15" spans="1:12">
      <c r="A54" s="43"/>
      <c r="B54" s="49"/>
      <c r="C54" s="51"/>
      <c r="D54" s="51"/>
      <c r="E54" s="52"/>
      <c r="F54" s="56"/>
      <c r="G54" s="51">
        <v>2</v>
      </c>
      <c r="H54" s="54" t="s">
        <v>328</v>
      </c>
      <c r="I54" s="76" t="s">
        <v>329</v>
      </c>
      <c r="J54" s="50">
        <v>0.9</v>
      </c>
      <c r="K54" s="51"/>
      <c r="L54" s="55">
        <v>5</v>
      </c>
    </row>
    <row r="55" ht="15" spans="1:12">
      <c r="A55" s="43"/>
      <c r="B55" s="49"/>
      <c r="C55" s="51"/>
      <c r="D55" s="51"/>
      <c r="E55" s="52"/>
      <c r="F55" s="56"/>
      <c r="G55" s="51">
        <v>3</v>
      </c>
      <c r="H55" s="80" t="s">
        <v>330</v>
      </c>
      <c r="I55" s="54" t="s">
        <v>120</v>
      </c>
      <c r="J55" s="50">
        <v>1</v>
      </c>
      <c r="K55" s="51"/>
      <c r="L55" s="55">
        <v>0.8</v>
      </c>
    </row>
    <row r="56" ht="15" spans="1:12">
      <c r="A56" s="43"/>
      <c r="B56" s="49"/>
      <c r="C56" s="51"/>
      <c r="D56" s="51"/>
      <c r="E56" s="52"/>
      <c r="F56" s="56"/>
      <c r="G56" s="51">
        <v>4</v>
      </c>
      <c r="H56" s="54"/>
      <c r="I56" s="54"/>
      <c r="J56" s="50"/>
      <c r="K56" s="51"/>
      <c r="L56" s="55"/>
    </row>
    <row r="57" ht="15" spans="1:12">
      <c r="A57" s="43"/>
      <c r="B57" s="49"/>
      <c r="C57" s="51"/>
      <c r="D57" s="51"/>
      <c r="E57" s="52"/>
      <c r="F57" s="56"/>
      <c r="G57" s="51">
        <v>5</v>
      </c>
      <c r="H57" s="54"/>
      <c r="I57" s="54"/>
      <c r="J57" s="50"/>
      <c r="K57" s="51"/>
      <c r="L57" s="55"/>
    </row>
    <row r="58" ht="15" spans="1:12">
      <c r="A58" s="43"/>
      <c r="B58" s="49"/>
      <c r="C58" s="51"/>
      <c r="D58" s="51"/>
      <c r="E58" s="52"/>
      <c r="F58" s="70"/>
      <c r="G58" s="51">
        <v>6</v>
      </c>
      <c r="H58" s="76"/>
      <c r="I58" s="76"/>
      <c r="J58" s="81"/>
      <c r="K58" s="51"/>
      <c r="L58" s="55"/>
    </row>
    <row r="59" ht="15" spans="1:12">
      <c r="A59" s="43"/>
      <c r="B59" s="49"/>
      <c r="C59" s="51"/>
      <c r="D59" s="51"/>
      <c r="E59" s="52"/>
      <c r="F59" s="53" t="s">
        <v>331</v>
      </c>
      <c r="G59" s="52">
        <v>1</v>
      </c>
      <c r="H59" s="82"/>
      <c r="I59" s="83"/>
      <c r="J59" s="84"/>
      <c r="K59" s="85"/>
      <c r="L59" s="55"/>
    </row>
    <row r="60" ht="15" spans="1:12">
      <c r="A60" s="43"/>
      <c r="B60" s="49"/>
      <c r="C60" s="51"/>
      <c r="D60" s="51"/>
      <c r="E60" s="52"/>
      <c r="F60" s="56"/>
      <c r="G60" s="51">
        <v>2</v>
      </c>
      <c r="H60" s="86"/>
      <c r="I60" s="83"/>
      <c r="J60" s="84"/>
      <c r="K60" s="85"/>
      <c r="L60" s="55"/>
    </row>
    <row r="61" ht="15" spans="1:12">
      <c r="A61" s="43"/>
      <c r="B61" s="49"/>
      <c r="C61" s="51"/>
      <c r="D61" s="51"/>
      <c r="E61" s="52"/>
      <c r="F61" s="70"/>
      <c r="G61" s="51">
        <v>3</v>
      </c>
      <c r="H61" s="54"/>
      <c r="I61" s="51"/>
      <c r="J61" s="87"/>
      <c r="K61" s="51"/>
      <c r="L61" s="55"/>
    </row>
    <row r="62" ht="15" spans="1:12">
      <c r="A62" s="43"/>
      <c r="B62" s="49"/>
      <c r="C62" s="51"/>
      <c r="D62" s="51"/>
      <c r="E62" s="32" t="s">
        <v>167</v>
      </c>
      <c r="F62" s="32"/>
      <c r="G62" s="32"/>
      <c r="H62" s="32"/>
      <c r="I62" s="32"/>
      <c r="J62" s="33"/>
      <c r="K62" s="34"/>
      <c r="L62" s="35">
        <f>SUM(L53:L61)</f>
        <v>10.8</v>
      </c>
    </row>
    <row r="63" ht="15.6" spans="1:12">
      <c r="A63" s="43"/>
      <c r="B63" s="49"/>
      <c r="C63" s="51"/>
      <c r="D63" s="51"/>
      <c r="E63" s="52" t="s">
        <v>168</v>
      </c>
      <c r="F63" s="52" t="s">
        <v>56</v>
      </c>
      <c r="G63" s="52">
        <v>1</v>
      </c>
      <c r="H63" s="74"/>
      <c r="I63" s="51"/>
      <c r="J63" s="75"/>
      <c r="K63" s="52"/>
      <c r="L63" s="77"/>
    </row>
    <row r="64" ht="15.6" spans="1:12">
      <c r="A64" s="43"/>
      <c r="B64" s="49"/>
      <c r="C64" s="51"/>
      <c r="D64" s="51"/>
      <c r="E64" s="52"/>
      <c r="F64" s="52"/>
      <c r="G64" s="52">
        <v>2</v>
      </c>
      <c r="H64" s="74"/>
      <c r="I64" s="52"/>
      <c r="J64" s="75"/>
      <c r="K64" s="52"/>
      <c r="L64" s="77"/>
    </row>
    <row r="65" ht="15" spans="1:12">
      <c r="A65" s="43" t="s">
        <v>332</v>
      </c>
      <c r="B65" s="49" t="s">
        <v>120</v>
      </c>
      <c r="C65" s="51" t="s">
        <v>151</v>
      </c>
      <c r="D65" s="51"/>
      <c r="E65" s="52" t="s">
        <v>152</v>
      </c>
      <c r="F65" s="51" t="s">
        <v>56</v>
      </c>
      <c r="G65" s="51">
        <v>1</v>
      </c>
      <c r="H65" s="54"/>
      <c r="I65" s="15"/>
      <c r="J65" s="50"/>
      <c r="K65" s="51"/>
      <c r="L65" s="55"/>
    </row>
    <row r="66" ht="15" spans="1:12">
      <c r="A66" s="43"/>
      <c r="B66" s="49"/>
      <c r="C66" s="51"/>
      <c r="D66" s="51"/>
      <c r="E66" s="52"/>
      <c r="F66" s="51"/>
      <c r="G66" s="51">
        <v>2</v>
      </c>
      <c r="H66" s="76"/>
      <c r="I66" s="15"/>
      <c r="J66" s="50"/>
      <c r="K66" s="51"/>
      <c r="L66" s="55"/>
    </row>
    <row r="67" ht="15" spans="1:12">
      <c r="A67" s="43"/>
      <c r="B67" s="49"/>
      <c r="C67" s="51"/>
      <c r="D67" s="51"/>
      <c r="E67" s="52"/>
      <c r="F67" s="51"/>
      <c r="G67" s="51">
        <v>3</v>
      </c>
      <c r="H67" s="54"/>
      <c r="I67" s="15"/>
      <c r="J67" s="50"/>
      <c r="K67" s="51"/>
      <c r="L67" s="55"/>
    </row>
    <row r="68" ht="15" spans="1:12">
      <c r="A68" s="43"/>
      <c r="B68" s="49"/>
      <c r="C68" s="51"/>
      <c r="D68" s="51"/>
      <c r="E68" s="52"/>
      <c r="F68" s="51"/>
      <c r="G68" s="51"/>
      <c r="H68" s="54"/>
      <c r="I68" s="15"/>
      <c r="J68" s="50"/>
      <c r="K68" s="51"/>
      <c r="L68" s="55"/>
    </row>
    <row r="69" ht="15" spans="1:12">
      <c r="A69" s="43"/>
      <c r="B69" s="49"/>
      <c r="C69" s="51"/>
      <c r="D69" s="51"/>
      <c r="E69" s="52"/>
      <c r="F69" s="51"/>
      <c r="G69" s="51"/>
      <c r="H69" s="54"/>
      <c r="I69" s="15"/>
      <c r="J69" s="50"/>
      <c r="K69" s="51"/>
      <c r="L69" s="55"/>
    </row>
    <row r="70" ht="15" spans="1:12">
      <c r="A70" s="43"/>
      <c r="B70" s="49"/>
      <c r="C70" s="51"/>
      <c r="D70" s="51"/>
      <c r="E70" s="52"/>
      <c r="F70" s="51"/>
      <c r="G70" s="51"/>
      <c r="H70" s="76"/>
      <c r="I70" s="51"/>
      <c r="J70" s="50"/>
      <c r="K70" s="51"/>
      <c r="L70" s="55"/>
    </row>
    <row r="71" ht="15" spans="1:12">
      <c r="A71" s="43"/>
      <c r="B71" s="49"/>
      <c r="C71" s="51"/>
      <c r="D71" s="51"/>
      <c r="E71" s="52"/>
      <c r="F71" s="51"/>
      <c r="G71" s="52"/>
      <c r="H71" s="54"/>
      <c r="I71" s="51"/>
      <c r="J71" s="50"/>
      <c r="K71" s="51"/>
      <c r="L71" s="55"/>
    </row>
    <row r="72" ht="15" spans="1:12">
      <c r="A72" s="43"/>
      <c r="B72" s="49"/>
      <c r="C72" s="51"/>
      <c r="D72" s="51"/>
      <c r="E72" s="52"/>
      <c r="F72" s="51"/>
      <c r="G72" s="51"/>
      <c r="H72" s="54"/>
      <c r="I72" s="51"/>
      <c r="J72" s="50"/>
      <c r="K72" s="51"/>
      <c r="L72" s="55"/>
    </row>
    <row r="73" ht="15" spans="1:12">
      <c r="A73" s="43"/>
      <c r="B73" s="49"/>
      <c r="C73" s="51"/>
      <c r="D73" s="51"/>
      <c r="E73" s="52"/>
      <c r="F73" s="51"/>
      <c r="G73" s="51"/>
      <c r="H73" s="54"/>
      <c r="I73" s="51"/>
      <c r="J73" s="50"/>
      <c r="K73" s="51"/>
      <c r="L73" s="55"/>
    </row>
    <row r="74" ht="15" spans="1:12">
      <c r="A74" s="43"/>
      <c r="B74" s="49"/>
      <c r="C74" s="51"/>
      <c r="D74" s="51"/>
      <c r="E74" s="32" t="s">
        <v>167</v>
      </c>
      <c r="F74" s="32"/>
      <c r="G74" s="32"/>
      <c r="H74" s="32"/>
      <c r="I74" s="32"/>
      <c r="J74" s="33"/>
      <c r="K74" s="34"/>
      <c r="L74" s="35">
        <f>SUM(L65:L73)</f>
        <v>0</v>
      </c>
    </row>
    <row r="75" ht="15.6" spans="1:12">
      <c r="A75" s="43"/>
      <c r="B75" s="49"/>
      <c r="C75" s="51"/>
      <c r="D75" s="51"/>
      <c r="E75" s="52" t="s">
        <v>168</v>
      </c>
      <c r="F75" s="52" t="s">
        <v>56</v>
      </c>
      <c r="G75" s="52">
        <v>1</v>
      </c>
      <c r="H75" s="74"/>
      <c r="I75" s="51"/>
      <c r="J75" s="75"/>
      <c r="K75" s="52"/>
      <c r="L75" s="55"/>
    </row>
    <row r="76" ht="15.6" spans="1:12">
      <c r="A76" s="43"/>
      <c r="B76" s="49"/>
      <c r="C76" s="51"/>
      <c r="D76" s="51"/>
      <c r="E76" s="52"/>
      <c r="F76" s="52"/>
      <c r="G76" s="52">
        <v>2</v>
      </c>
      <c r="H76" s="74"/>
      <c r="I76" s="52"/>
      <c r="J76" s="75"/>
      <c r="K76" s="52"/>
      <c r="L76" s="55"/>
    </row>
    <row r="77" ht="15" spans="1:12">
      <c r="A77" s="43" t="s">
        <v>333</v>
      </c>
      <c r="B77" s="49" t="s">
        <v>327</v>
      </c>
      <c r="C77" s="51" t="s">
        <v>151</v>
      </c>
      <c r="D77" s="51"/>
      <c r="E77" s="52" t="s">
        <v>152</v>
      </c>
      <c r="F77" s="51" t="s">
        <v>56</v>
      </c>
      <c r="G77" s="51">
        <v>1</v>
      </c>
      <c r="H77" s="54"/>
      <c r="I77" s="15"/>
      <c r="J77" s="50"/>
      <c r="K77" s="51"/>
      <c r="L77" s="55"/>
    </row>
    <row r="78" ht="15" spans="1:12">
      <c r="A78" s="43"/>
      <c r="B78" s="49"/>
      <c r="C78" s="51"/>
      <c r="D78" s="51"/>
      <c r="E78" s="52"/>
      <c r="F78" s="51"/>
      <c r="G78" s="51">
        <v>2</v>
      </c>
      <c r="H78" s="76"/>
      <c r="I78" s="15"/>
      <c r="J78" s="50"/>
      <c r="K78" s="51"/>
      <c r="L78" s="55"/>
    </row>
    <row r="79" ht="15" spans="1:12">
      <c r="A79" s="43"/>
      <c r="B79" s="49"/>
      <c r="C79" s="51"/>
      <c r="D79" s="51"/>
      <c r="E79" s="52"/>
      <c r="F79" s="51"/>
      <c r="G79" s="51">
        <v>3</v>
      </c>
      <c r="H79" s="54"/>
      <c r="I79" s="15"/>
      <c r="J79" s="50"/>
      <c r="K79" s="51"/>
      <c r="L79" s="55"/>
    </row>
    <row r="80" ht="15" spans="1:12">
      <c r="A80" s="43"/>
      <c r="B80" s="49"/>
      <c r="C80" s="51"/>
      <c r="D80" s="51"/>
      <c r="E80" s="52"/>
      <c r="F80" s="51"/>
      <c r="G80" s="51"/>
      <c r="H80" s="54"/>
      <c r="I80" s="15"/>
      <c r="J80" s="50"/>
      <c r="K80" s="51"/>
      <c r="L80" s="55"/>
    </row>
    <row r="81" ht="15" spans="1:12">
      <c r="A81" s="43"/>
      <c r="B81" s="49"/>
      <c r="C81" s="51"/>
      <c r="D81" s="51"/>
      <c r="E81" s="52"/>
      <c r="F81" s="51"/>
      <c r="G81" s="51"/>
      <c r="H81" s="54"/>
      <c r="I81" s="15"/>
      <c r="J81" s="50"/>
      <c r="K81" s="51"/>
      <c r="L81" s="55"/>
    </row>
    <row r="82" ht="15" spans="1:12">
      <c r="A82" s="43"/>
      <c r="B82" s="49"/>
      <c r="C82" s="51"/>
      <c r="D82" s="51"/>
      <c r="E82" s="52"/>
      <c r="F82" s="51"/>
      <c r="G82" s="51"/>
      <c r="H82" s="76"/>
      <c r="I82" s="51"/>
      <c r="J82" s="50"/>
      <c r="K82" s="51"/>
      <c r="L82" s="55"/>
    </row>
    <row r="83" ht="15" spans="1:12">
      <c r="A83" s="43"/>
      <c r="B83" s="49"/>
      <c r="C83" s="51"/>
      <c r="D83" s="51"/>
      <c r="E83" s="52"/>
      <c r="F83" s="51"/>
      <c r="G83" s="52"/>
      <c r="H83" s="54"/>
      <c r="I83" s="51"/>
      <c r="J83" s="50"/>
      <c r="K83" s="51"/>
      <c r="L83" s="55"/>
    </row>
    <row r="84" ht="15" spans="1:12">
      <c r="A84" s="43"/>
      <c r="B84" s="49"/>
      <c r="C84" s="51"/>
      <c r="D84" s="51"/>
      <c r="E84" s="52"/>
      <c r="F84" s="51"/>
      <c r="G84" s="51"/>
      <c r="H84" s="54"/>
      <c r="I84" s="51"/>
      <c r="J84" s="50"/>
      <c r="K84" s="51"/>
      <c r="L84" s="55"/>
    </row>
    <row r="85" ht="15" spans="1:12">
      <c r="A85" s="43"/>
      <c r="B85" s="49"/>
      <c r="C85" s="51"/>
      <c r="D85" s="51"/>
      <c r="E85" s="52"/>
      <c r="F85" s="51"/>
      <c r="G85" s="51"/>
      <c r="H85" s="54"/>
      <c r="I85" s="51"/>
      <c r="J85" s="50"/>
      <c r="K85" s="51"/>
      <c r="L85" s="55"/>
    </row>
    <row r="86" ht="15" spans="1:12">
      <c r="A86" s="43"/>
      <c r="B86" s="49"/>
      <c r="C86" s="51"/>
      <c r="D86" s="51"/>
      <c r="E86" s="32" t="s">
        <v>167</v>
      </c>
      <c r="F86" s="32"/>
      <c r="G86" s="32"/>
      <c r="H86" s="32"/>
      <c r="I86" s="32"/>
      <c r="J86" s="33"/>
      <c r="K86" s="34"/>
      <c r="L86" s="35">
        <f>SUM(L77:L85)</f>
        <v>0</v>
      </c>
    </row>
    <row r="87" ht="15.6" spans="1:12">
      <c r="A87" s="43"/>
      <c r="B87" s="49"/>
      <c r="C87" s="51"/>
      <c r="D87" s="51"/>
      <c r="E87" s="52" t="s">
        <v>168</v>
      </c>
      <c r="F87" s="52" t="s">
        <v>56</v>
      </c>
      <c r="G87" s="52">
        <v>1</v>
      </c>
      <c r="H87" s="74"/>
      <c r="I87" s="51"/>
      <c r="J87" s="75"/>
      <c r="K87" s="52"/>
      <c r="L87" s="77"/>
    </row>
    <row r="88" ht="15.6" spans="1:12">
      <c r="A88" s="43"/>
      <c r="B88" s="49"/>
      <c r="C88" s="51"/>
      <c r="D88" s="51"/>
      <c r="E88" s="52"/>
      <c r="F88" s="52"/>
      <c r="G88" s="52">
        <v>2</v>
      </c>
      <c r="H88" s="74"/>
      <c r="I88" s="52"/>
      <c r="J88" s="75"/>
      <c r="K88" s="52"/>
      <c r="L88" s="77"/>
    </row>
    <row r="89" ht="15" spans="1:12">
      <c r="A89" s="3" t="s">
        <v>334</v>
      </c>
      <c r="B89" s="17"/>
      <c r="C89" s="13" t="s">
        <v>151</v>
      </c>
      <c r="D89" s="13"/>
      <c r="E89" s="30" t="s">
        <v>152</v>
      </c>
      <c r="F89" s="13" t="s">
        <v>56</v>
      </c>
      <c r="G89" s="13">
        <v>1</v>
      </c>
      <c r="H89" s="23"/>
      <c r="I89" s="15"/>
      <c r="J89" s="16"/>
      <c r="K89" s="13"/>
      <c r="L89" s="55"/>
    </row>
    <row r="90" ht="15" spans="1:12">
      <c r="A90" s="3"/>
      <c r="B90" s="17"/>
      <c r="C90" s="13"/>
      <c r="D90" s="13"/>
      <c r="E90" s="30"/>
      <c r="F90" s="13"/>
      <c r="G90" s="13">
        <v>2</v>
      </c>
      <c r="H90" s="80"/>
      <c r="I90" s="15"/>
      <c r="J90" s="16"/>
      <c r="K90" s="13"/>
      <c r="L90" s="55"/>
    </row>
    <row r="91" ht="15" spans="1:12">
      <c r="A91" s="3"/>
      <c r="B91" s="17"/>
      <c r="C91" s="13"/>
      <c r="D91" s="13"/>
      <c r="E91" s="30"/>
      <c r="F91" s="13"/>
      <c r="G91" s="13">
        <v>3</v>
      </c>
      <c r="H91" s="14"/>
      <c r="I91" s="15"/>
      <c r="J91" s="16"/>
      <c r="K91" s="13"/>
      <c r="L91" s="55"/>
    </row>
    <row r="92" ht="15" spans="1:12">
      <c r="A92" s="3"/>
      <c r="B92" s="17"/>
      <c r="C92" s="13"/>
      <c r="D92" s="13"/>
      <c r="E92" s="30"/>
      <c r="F92" s="13"/>
      <c r="G92" s="13"/>
      <c r="H92" s="14"/>
      <c r="I92" s="15"/>
      <c r="J92" s="16"/>
      <c r="K92" s="13"/>
      <c r="L92" s="55"/>
    </row>
    <row r="93" ht="15" spans="1:12">
      <c r="A93" s="3"/>
      <c r="B93" s="17"/>
      <c r="C93" s="13"/>
      <c r="D93" s="13"/>
      <c r="E93" s="30"/>
      <c r="F93" s="13"/>
      <c r="G93" s="13"/>
      <c r="H93" s="14"/>
      <c r="I93" s="15"/>
      <c r="J93" s="16"/>
      <c r="K93" s="13"/>
      <c r="L93" s="55"/>
    </row>
    <row r="94" ht="15" spans="1:12">
      <c r="A94" s="3"/>
      <c r="B94" s="17"/>
      <c r="C94" s="13"/>
      <c r="D94" s="13"/>
      <c r="E94" s="30"/>
      <c r="F94" s="13"/>
      <c r="G94" s="13"/>
      <c r="H94" s="22"/>
      <c r="I94" s="13"/>
      <c r="J94" s="16"/>
      <c r="K94" s="13"/>
      <c r="L94" s="55"/>
    </row>
    <row r="95" ht="15" spans="1:12">
      <c r="A95" s="3"/>
      <c r="B95" s="17"/>
      <c r="C95" s="13"/>
      <c r="D95" s="13"/>
      <c r="E95" s="30"/>
      <c r="F95" s="13"/>
      <c r="G95" s="30"/>
      <c r="H95" s="14"/>
      <c r="I95" s="13"/>
      <c r="J95" s="16"/>
      <c r="K95" s="13"/>
      <c r="L95" s="55"/>
    </row>
    <row r="96" ht="15" spans="1:12">
      <c r="A96" s="3"/>
      <c r="B96" s="17"/>
      <c r="C96" s="13"/>
      <c r="D96" s="13"/>
      <c r="E96" s="30"/>
      <c r="F96" s="13"/>
      <c r="G96" s="13"/>
      <c r="H96" s="14"/>
      <c r="I96" s="13"/>
      <c r="J96" s="16"/>
      <c r="K96" s="13"/>
      <c r="L96" s="55"/>
    </row>
    <row r="97" ht="15" spans="1:12">
      <c r="A97" s="3"/>
      <c r="B97" s="17"/>
      <c r="C97" s="13"/>
      <c r="D97" s="13"/>
      <c r="E97" s="30"/>
      <c r="F97" s="13"/>
      <c r="G97" s="13"/>
      <c r="H97" s="14"/>
      <c r="I97" s="13"/>
      <c r="J97" s="16"/>
      <c r="K97" s="13"/>
      <c r="L97" s="55"/>
    </row>
    <row r="98" ht="15" spans="1:12">
      <c r="A98" s="3"/>
      <c r="B98" s="17"/>
      <c r="C98" s="13"/>
      <c r="D98" s="13"/>
      <c r="E98" s="32" t="s">
        <v>167</v>
      </c>
      <c r="F98" s="32"/>
      <c r="G98" s="32"/>
      <c r="H98" s="32"/>
      <c r="I98" s="32"/>
      <c r="J98" s="33"/>
      <c r="K98" s="34"/>
      <c r="L98" s="35">
        <f>SUM(L89:L97)</f>
        <v>0</v>
      </c>
    </row>
    <row r="99" ht="15.6" spans="1:12">
      <c r="A99" s="3"/>
      <c r="B99" s="17"/>
      <c r="C99" s="13"/>
      <c r="D99" s="13"/>
      <c r="E99" s="30" t="s">
        <v>168</v>
      </c>
      <c r="F99" s="30" t="s">
        <v>56</v>
      </c>
      <c r="G99" s="30">
        <v>1</v>
      </c>
      <c r="H99" s="36"/>
      <c r="I99" s="13"/>
      <c r="J99" s="37"/>
      <c r="K99" s="30"/>
      <c r="L99" s="38"/>
    </row>
    <row r="100" ht="15.6" spans="1:12">
      <c r="A100" s="3"/>
      <c r="B100" s="17"/>
      <c r="C100" s="13"/>
      <c r="D100" s="13"/>
      <c r="E100" s="30"/>
      <c r="F100" s="30"/>
      <c r="G100" s="30">
        <v>2</v>
      </c>
      <c r="H100" s="36"/>
      <c r="I100" s="30"/>
      <c r="J100" s="37"/>
      <c r="K100" s="30"/>
      <c r="L100" s="38"/>
    </row>
  </sheetData>
  <mergeCells count="77">
    <mergeCell ref="E14:H14"/>
    <mergeCell ref="E26:H26"/>
    <mergeCell ref="E38:H38"/>
    <mergeCell ref="E50:H50"/>
    <mergeCell ref="E62:H62"/>
    <mergeCell ref="E74:H74"/>
    <mergeCell ref="E86:H86"/>
    <mergeCell ref="E98:H98"/>
    <mergeCell ref="A2:A16"/>
    <mergeCell ref="A17:A28"/>
    <mergeCell ref="A29:A40"/>
    <mergeCell ref="A41:A52"/>
    <mergeCell ref="A53:A64"/>
    <mergeCell ref="A65:A76"/>
    <mergeCell ref="A77:A88"/>
    <mergeCell ref="A89:A100"/>
    <mergeCell ref="B2:B16"/>
    <mergeCell ref="B17:B28"/>
    <mergeCell ref="B29:B40"/>
    <mergeCell ref="B41:B52"/>
    <mergeCell ref="B53:B64"/>
    <mergeCell ref="B65:B76"/>
    <mergeCell ref="B77:B88"/>
    <mergeCell ref="B89:B100"/>
    <mergeCell ref="C2:C16"/>
    <mergeCell ref="C17:C28"/>
    <mergeCell ref="C29:C40"/>
    <mergeCell ref="C41:C52"/>
    <mergeCell ref="C53:C64"/>
    <mergeCell ref="C65:C76"/>
    <mergeCell ref="C77:C88"/>
    <mergeCell ref="C89:C100"/>
    <mergeCell ref="D2:D16"/>
    <mergeCell ref="D17:D28"/>
    <mergeCell ref="D29:D40"/>
    <mergeCell ref="D41:D52"/>
    <mergeCell ref="D53:D64"/>
    <mergeCell ref="D65:D76"/>
    <mergeCell ref="D77:D88"/>
    <mergeCell ref="D89:D100"/>
    <mergeCell ref="E2:E13"/>
    <mergeCell ref="E15:E16"/>
    <mergeCell ref="E17:E25"/>
    <mergeCell ref="E27:E28"/>
    <mergeCell ref="E29:E37"/>
    <mergeCell ref="E39:E40"/>
    <mergeCell ref="E41:E49"/>
    <mergeCell ref="E51:E52"/>
    <mergeCell ref="E53:E61"/>
    <mergeCell ref="E63:E64"/>
    <mergeCell ref="E65:E73"/>
    <mergeCell ref="E75:E76"/>
    <mergeCell ref="E77:E85"/>
    <mergeCell ref="E87:E88"/>
    <mergeCell ref="E89:E97"/>
    <mergeCell ref="E99:E100"/>
    <mergeCell ref="F2:F13"/>
    <mergeCell ref="F15:F16"/>
    <mergeCell ref="F17:F25"/>
    <mergeCell ref="F27:F28"/>
    <mergeCell ref="F29:F34"/>
    <mergeCell ref="F35:F37"/>
    <mergeCell ref="F39:F40"/>
    <mergeCell ref="F41:F46"/>
    <mergeCell ref="F47:F49"/>
    <mergeCell ref="F51:F52"/>
    <mergeCell ref="F53:F58"/>
    <mergeCell ref="F59:F61"/>
    <mergeCell ref="F63:F64"/>
    <mergeCell ref="F65:F73"/>
    <mergeCell ref="F75:F76"/>
    <mergeCell ref="F77:F85"/>
    <mergeCell ref="F87:F88"/>
    <mergeCell ref="F89:F97"/>
    <mergeCell ref="F99:F100"/>
    <mergeCell ref="H6:H7"/>
    <mergeCell ref="H59:H60"/>
  </mergeCell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7"/>
  <sheetViews>
    <sheetView workbookViewId="0">
      <pane ySplit="1" topLeftCell="A2" activePane="bottomLeft" state="frozen"/>
      <selection/>
      <selection pane="bottomLeft" activeCell="H18" sqref="H18"/>
    </sheetView>
  </sheetViews>
  <sheetFormatPr defaultColWidth="9.13888888888889" defaultRowHeight="13.2"/>
  <cols>
    <col min="1" max="1" width="22.4259259259259" style="1" customWidth="1"/>
    <col min="2" max="2" width="11.712962962963" style="1" customWidth="1"/>
    <col min="3" max="7" width="9.13888888888889" style="1"/>
    <col min="8" max="8" width="59.712962962963" style="1" customWidth="1"/>
    <col min="9" max="11" width="9.13888888888889" style="1"/>
    <col min="12" max="12" width="19.5740740740741" style="2" customWidth="1"/>
    <col min="13" max="16384" width="9.13888888888889" style="1"/>
  </cols>
  <sheetData>
    <row r="1" ht="69.6" spans="1:26">
      <c r="A1" s="3" t="s">
        <v>140</v>
      </c>
      <c r="B1" s="4" t="s">
        <v>6</v>
      </c>
      <c r="C1" s="3" t="s">
        <v>141</v>
      </c>
      <c r="D1" s="3" t="s">
        <v>142</v>
      </c>
      <c r="E1" s="4" t="s">
        <v>143</v>
      </c>
      <c r="F1" s="3" t="s">
        <v>144</v>
      </c>
      <c r="G1" s="3" t="s">
        <v>1</v>
      </c>
      <c r="H1" s="5" t="s">
        <v>145</v>
      </c>
      <c r="I1" s="3" t="s">
        <v>146</v>
      </c>
      <c r="J1" s="6" t="s">
        <v>147</v>
      </c>
      <c r="K1" s="3" t="s">
        <v>148</v>
      </c>
      <c r="L1" s="7" t="s">
        <v>149</v>
      </c>
      <c r="M1" s="8"/>
      <c r="N1" s="8"/>
      <c r="O1" s="8"/>
      <c r="P1" s="8"/>
      <c r="Q1" s="8"/>
      <c r="R1" s="8"/>
      <c r="S1" s="8"/>
      <c r="T1" s="8"/>
      <c r="U1" s="8"/>
      <c r="V1" s="8"/>
      <c r="W1" s="8"/>
      <c r="X1" s="8"/>
      <c r="Y1" s="8"/>
      <c r="Z1" s="8"/>
    </row>
    <row r="2" ht="15.6" spans="1:26">
      <c r="A2" s="9" t="s">
        <v>335</v>
      </c>
      <c r="B2" s="10" t="s">
        <v>61</v>
      </c>
      <c r="C2" s="349" t="s">
        <v>151</v>
      </c>
      <c r="D2" s="11"/>
      <c r="E2" s="12" t="s">
        <v>152</v>
      </c>
      <c r="F2" s="11" t="s">
        <v>56</v>
      </c>
      <c r="G2" s="13">
        <v>1</v>
      </c>
      <c r="H2" s="14" t="s">
        <v>336</v>
      </c>
      <c r="I2" s="15" t="s">
        <v>337</v>
      </c>
      <c r="J2" s="16">
        <v>1</v>
      </c>
      <c r="K2" s="13"/>
      <c r="L2" s="17"/>
    </row>
    <row r="3" ht="15.6" spans="1:26">
      <c r="A3" s="18"/>
      <c r="B3" s="19"/>
      <c r="C3" s="20"/>
      <c r="D3" s="20"/>
      <c r="E3" s="21"/>
      <c r="F3" s="20"/>
      <c r="G3" s="13">
        <v>2</v>
      </c>
      <c r="H3" s="22" t="s">
        <v>338</v>
      </c>
      <c r="I3" s="15" t="s">
        <v>339</v>
      </c>
      <c r="J3" s="16">
        <v>1</v>
      </c>
      <c r="K3" s="13" t="s">
        <v>340</v>
      </c>
      <c r="L3" s="17">
        <v>1</v>
      </c>
    </row>
    <row r="4" ht="24" customHeight="1" spans="1:26">
      <c r="A4" s="18"/>
      <c r="B4" s="19"/>
      <c r="C4" s="20"/>
      <c r="D4" s="20"/>
      <c r="E4" s="21"/>
      <c r="F4" s="20"/>
      <c r="G4" s="11">
        <v>3</v>
      </c>
      <c r="H4" s="23" t="s">
        <v>341</v>
      </c>
      <c r="I4" s="15" t="s">
        <v>342</v>
      </c>
      <c r="J4" s="24">
        <v>0.92</v>
      </c>
      <c r="K4" s="11" t="s">
        <v>343</v>
      </c>
      <c r="L4" s="17">
        <v>1</v>
      </c>
    </row>
    <row r="5" ht="22" customHeight="1" spans="1:26">
      <c r="A5" s="18"/>
      <c r="B5" s="19"/>
      <c r="C5" s="20"/>
      <c r="D5" s="20"/>
      <c r="E5" s="21"/>
      <c r="F5" s="20"/>
      <c r="G5" s="20"/>
      <c r="H5" s="25"/>
      <c r="I5" s="15" t="s">
        <v>344</v>
      </c>
      <c r="J5" s="26"/>
      <c r="K5" s="20"/>
      <c r="L5" s="17">
        <v>4</v>
      </c>
    </row>
    <row r="6" ht="22" customHeight="1" spans="1:26">
      <c r="A6" s="18"/>
      <c r="B6" s="19"/>
      <c r="C6" s="20"/>
      <c r="D6" s="20"/>
      <c r="E6" s="21"/>
      <c r="F6" s="20"/>
      <c r="G6" s="27"/>
      <c r="H6" s="28"/>
      <c r="I6" s="15" t="s">
        <v>339</v>
      </c>
      <c r="J6" s="29"/>
      <c r="K6" s="27"/>
      <c r="L6" s="17">
        <v>4</v>
      </c>
    </row>
    <row r="7" ht="22" customHeight="1" spans="1:26">
      <c r="A7" s="18"/>
      <c r="B7" s="19"/>
      <c r="C7" s="20"/>
      <c r="D7" s="20"/>
      <c r="E7" s="21"/>
      <c r="F7" s="20"/>
      <c r="G7" s="13">
        <v>4</v>
      </c>
      <c r="H7" s="14" t="s">
        <v>345</v>
      </c>
      <c r="I7" s="15" t="s">
        <v>344</v>
      </c>
      <c r="J7" s="16">
        <v>1</v>
      </c>
      <c r="K7" s="13" t="s">
        <v>340</v>
      </c>
      <c r="L7" s="17"/>
    </row>
    <row r="8" ht="22" customHeight="1" spans="1:26">
      <c r="A8" s="18"/>
      <c r="B8" s="19"/>
      <c r="C8" s="20"/>
      <c r="D8" s="20"/>
      <c r="E8" s="21"/>
      <c r="F8" s="20"/>
      <c r="G8" s="11">
        <v>5</v>
      </c>
      <c r="H8" s="11" t="s">
        <v>346</v>
      </c>
      <c r="I8" s="15" t="s">
        <v>344</v>
      </c>
      <c r="J8" s="24">
        <v>0.9</v>
      </c>
      <c r="K8" s="11" t="s">
        <v>343</v>
      </c>
      <c r="L8" s="17">
        <v>1</v>
      </c>
    </row>
    <row r="9" ht="15.6" spans="1:26">
      <c r="A9" s="18"/>
      <c r="B9" s="19"/>
      <c r="C9" s="20"/>
      <c r="D9" s="20"/>
      <c r="E9" s="21"/>
      <c r="F9" s="20"/>
      <c r="G9" s="27"/>
      <c r="H9" s="28"/>
      <c r="I9" s="15" t="s">
        <v>347</v>
      </c>
      <c r="J9" s="29"/>
      <c r="K9" s="27"/>
      <c r="L9" s="17">
        <v>1</v>
      </c>
    </row>
    <row r="10" ht="21" customHeight="1" spans="1:26">
      <c r="A10" s="18"/>
      <c r="B10" s="19"/>
      <c r="C10" s="20"/>
      <c r="D10" s="20"/>
      <c r="E10" s="21"/>
      <c r="F10" s="20"/>
      <c r="G10" s="13">
        <v>6</v>
      </c>
      <c r="H10" s="22" t="s">
        <v>348</v>
      </c>
      <c r="I10" s="13" t="s">
        <v>337</v>
      </c>
      <c r="J10" s="16">
        <v>1</v>
      </c>
      <c r="K10" s="13"/>
      <c r="L10" s="17"/>
    </row>
    <row r="11" ht="30" spans="1:26">
      <c r="A11" s="18"/>
      <c r="B11" s="19"/>
      <c r="C11" s="20"/>
      <c r="D11" s="20"/>
      <c r="E11" s="21"/>
      <c r="F11" s="20"/>
      <c r="G11" s="30">
        <v>7</v>
      </c>
      <c r="H11" s="14" t="s">
        <v>349</v>
      </c>
      <c r="I11" s="13" t="s">
        <v>347</v>
      </c>
      <c r="J11" s="16">
        <v>1</v>
      </c>
      <c r="K11" s="13" t="s">
        <v>350</v>
      </c>
      <c r="L11" s="17">
        <v>1</v>
      </c>
    </row>
    <row r="12" ht="33" customHeight="1" spans="1:26">
      <c r="A12" s="18"/>
      <c r="B12" s="19"/>
      <c r="C12" s="20"/>
      <c r="D12" s="20"/>
      <c r="E12" s="21"/>
      <c r="F12" s="20"/>
      <c r="G12" s="13">
        <v>8</v>
      </c>
      <c r="H12" s="14" t="s">
        <v>351</v>
      </c>
      <c r="I12" s="13" t="s">
        <v>339</v>
      </c>
      <c r="J12" s="16">
        <v>1</v>
      </c>
      <c r="K12" s="13" t="s">
        <v>340</v>
      </c>
      <c r="L12" s="17"/>
    </row>
    <row r="13" ht="25" customHeight="1" spans="1:26">
      <c r="A13" s="18"/>
      <c r="B13" s="19"/>
      <c r="C13" s="20"/>
      <c r="D13" s="20"/>
      <c r="E13" s="21"/>
      <c r="F13" s="20"/>
      <c r="G13" s="11">
        <v>9</v>
      </c>
      <c r="H13" s="23" t="s">
        <v>352</v>
      </c>
      <c r="I13" s="13" t="s">
        <v>347</v>
      </c>
      <c r="J13" s="24">
        <v>0.75</v>
      </c>
      <c r="K13" s="11" t="s">
        <v>353</v>
      </c>
      <c r="L13" s="17">
        <v>3</v>
      </c>
    </row>
    <row r="14" ht="23" customHeight="1" spans="1:26">
      <c r="A14" s="18"/>
      <c r="B14" s="19"/>
      <c r="C14" s="20"/>
      <c r="D14" s="20"/>
      <c r="E14" s="21"/>
      <c r="F14" s="20"/>
      <c r="G14" s="27"/>
      <c r="H14" s="28"/>
      <c r="I14" s="13" t="s">
        <v>342</v>
      </c>
      <c r="J14" s="29"/>
      <c r="K14" s="27"/>
      <c r="L14" s="17">
        <v>4</v>
      </c>
    </row>
    <row r="15" ht="23" customHeight="1" spans="1:26">
      <c r="A15" s="18"/>
      <c r="B15" s="19"/>
      <c r="C15" s="20"/>
      <c r="D15" s="20"/>
      <c r="E15" s="21"/>
      <c r="F15" s="20" t="s">
        <v>354</v>
      </c>
      <c r="G15" s="13">
        <v>1</v>
      </c>
      <c r="H15" s="14" t="s">
        <v>355</v>
      </c>
      <c r="I15" s="13" t="s">
        <v>61</v>
      </c>
      <c r="J15" s="16">
        <v>0.05</v>
      </c>
      <c r="K15" s="13" t="s">
        <v>356</v>
      </c>
      <c r="L15" s="17">
        <v>1</v>
      </c>
    </row>
    <row r="16" ht="23" customHeight="1" spans="1:26">
      <c r="A16" s="18"/>
      <c r="B16" s="19"/>
      <c r="C16" s="20"/>
      <c r="D16" s="20"/>
      <c r="E16" s="21"/>
      <c r="F16" s="20"/>
      <c r="G16" s="13">
        <v>2</v>
      </c>
      <c r="H16" s="14" t="s">
        <v>357</v>
      </c>
      <c r="I16" s="13" t="s">
        <v>342</v>
      </c>
      <c r="J16" s="16">
        <v>0.1</v>
      </c>
      <c r="K16" s="13" t="s">
        <v>356</v>
      </c>
      <c r="L16" s="17">
        <v>1</v>
      </c>
    </row>
    <row r="17" ht="24" customHeight="1" spans="1:12">
      <c r="A17" s="18"/>
      <c r="B17" s="19"/>
      <c r="C17" s="20"/>
      <c r="D17" s="20"/>
      <c r="E17" s="21"/>
      <c r="F17" s="20"/>
      <c r="G17" s="13">
        <v>3</v>
      </c>
      <c r="H17" s="14" t="s">
        <v>358</v>
      </c>
      <c r="I17" s="13" t="s">
        <v>347</v>
      </c>
      <c r="J17" s="16">
        <v>0.05</v>
      </c>
      <c r="K17" s="13" t="s">
        <v>356</v>
      </c>
      <c r="L17" s="17"/>
    </row>
    <row r="18" ht="24" customHeight="1" spans="1:12">
      <c r="A18" s="18"/>
      <c r="B18" s="19"/>
      <c r="C18" s="20"/>
      <c r="D18" s="20"/>
      <c r="E18" s="21"/>
      <c r="F18" s="20"/>
      <c r="G18" s="13">
        <v>4</v>
      </c>
      <c r="H18" s="14" t="s">
        <v>359</v>
      </c>
      <c r="I18" s="13" t="s">
        <v>360</v>
      </c>
      <c r="J18" s="16">
        <v>0.7</v>
      </c>
      <c r="K18" s="13" t="s">
        <v>361</v>
      </c>
      <c r="L18" s="17">
        <v>3</v>
      </c>
    </row>
    <row r="19" ht="15.6" spans="1:12">
      <c r="A19" s="18"/>
      <c r="B19" s="19"/>
      <c r="C19" s="20"/>
      <c r="D19" s="20"/>
      <c r="E19" s="21"/>
      <c r="F19" s="20"/>
      <c r="G19" s="11">
        <v>5</v>
      </c>
      <c r="H19" s="23" t="s">
        <v>362</v>
      </c>
      <c r="I19" s="13" t="s">
        <v>61</v>
      </c>
      <c r="J19" s="24">
        <v>0.8</v>
      </c>
      <c r="K19" s="11" t="s">
        <v>356</v>
      </c>
      <c r="L19" s="17">
        <v>1</v>
      </c>
    </row>
    <row r="20" ht="15.6" spans="1:12">
      <c r="A20" s="18"/>
      <c r="B20" s="19"/>
      <c r="C20" s="20"/>
      <c r="D20" s="20"/>
      <c r="E20" s="31"/>
      <c r="F20" s="27"/>
      <c r="G20" s="27"/>
      <c r="H20" s="28"/>
      <c r="I20" s="13" t="s">
        <v>337</v>
      </c>
      <c r="J20" s="29"/>
      <c r="K20" s="27"/>
      <c r="L20" s="17">
        <v>2</v>
      </c>
    </row>
    <row r="21" ht="15" spans="1:12">
      <c r="A21" s="18"/>
      <c r="B21" s="19"/>
      <c r="C21" s="20"/>
      <c r="D21" s="20"/>
      <c r="E21" s="32" t="s">
        <v>167</v>
      </c>
      <c r="F21" s="32"/>
      <c r="G21" s="32"/>
      <c r="H21" s="32"/>
      <c r="I21" s="32"/>
      <c r="J21" s="33"/>
      <c r="K21" s="34"/>
      <c r="L21" s="35">
        <f>SUM(L2:L20)</f>
        <v>28</v>
      </c>
    </row>
    <row r="22" ht="31.2" spans="1:12">
      <c r="A22" s="18"/>
      <c r="B22" s="19"/>
      <c r="C22" s="20"/>
      <c r="D22" s="20"/>
      <c r="E22" s="12" t="s">
        <v>168</v>
      </c>
      <c r="F22" s="12" t="s">
        <v>56</v>
      </c>
      <c r="G22" s="30">
        <v>1</v>
      </c>
      <c r="H22" s="36" t="s">
        <v>346</v>
      </c>
      <c r="I22" s="13" t="s">
        <v>61</v>
      </c>
      <c r="J22" s="37">
        <v>1</v>
      </c>
      <c r="K22" s="30"/>
      <c r="L22" s="38"/>
    </row>
    <row r="23" ht="17" customHeight="1" spans="1:12">
      <c r="A23" s="18"/>
      <c r="B23" s="19"/>
      <c r="C23" s="20"/>
      <c r="D23" s="20"/>
      <c r="E23" s="21"/>
      <c r="F23" s="21"/>
      <c r="G23" s="30">
        <v>2</v>
      </c>
      <c r="H23" s="36" t="s">
        <v>341</v>
      </c>
      <c r="I23" s="30" t="s">
        <v>342</v>
      </c>
      <c r="J23" s="37">
        <v>0.95</v>
      </c>
      <c r="K23" s="30"/>
      <c r="L23" s="38"/>
    </row>
    <row r="24" ht="15.6" spans="1:12">
      <c r="A24" s="18"/>
      <c r="B24" s="19"/>
      <c r="C24" s="20"/>
      <c r="D24" s="20"/>
      <c r="E24" s="21"/>
      <c r="F24" s="31"/>
      <c r="G24" s="30">
        <v>3</v>
      </c>
      <c r="H24" s="36" t="s">
        <v>352</v>
      </c>
      <c r="I24" s="13" t="s">
        <v>347</v>
      </c>
      <c r="J24" s="37">
        <v>0.85</v>
      </c>
      <c r="K24" s="30"/>
      <c r="L24" s="38"/>
    </row>
    <row r="25" ht="15.6" spans="1:12">
      <c r="A25" s="18"/>
      <c r="B25" s="19"/>
      <c r="C25" s="20"/>
      <c r="D25" s="20"/>
      <c r="E25" s="21"/>
      <c r="F25" s="39" t="s">
        <v>354</v>
      </c>
      <c r="G25" s="30">
        <v>1</v>
      </c>
      <c r="H25" s="36" t="s">
        <v>362</v>
      </c>
      <c r="I25" s="13" t="s">
        <v>61</v>
      </c>
      <c r="J25" s="37">
        <v>1</v>
      </c>
      <c r="K25" s="30"/>
      <c r="L25" s="38"/>
    </row>
    <row r="26" ht="15.6" spans="1:12">
      <c r="A26" s="18"/>
      <c r="B26" s="19"/>
      <c r="C26" s="20"/>
      <c r="D26" s="20"/>
      <c r="E26" s="21"/>
      <c r="F26" s="39"/>
      <c r="G26" s="30">
        <v>2</v>
      </c>
      <c r="H26" s="36" t="s">
        <v>357</v>
      </c>
      <c r="I26" s="13" t="s">
        <v>363</v>
      </c>
      <c r="J26" s="37">
        <v>0.2</v>
      </c>
      <c r="K26" s="30"/>
      <c r="L26" s="38"/>
    </row>
    <row r="27" ht="15.6" spans="1:12">
      <c r="A27" s="18"/>
      <c r="B27" s="19"/>
      <c r="C27" s="20"/>
      <c r="D27" s="20"/>
      <c r="E27" s="21"/>
      <c r="F27" s="39"/>
      <c r="G27" s="30">
        <v>3</v>
      </c>
      <c r="H27" s="36" t="s">
        <v>358</v>
      </c>
      <c r="I27" s="13" t="s">
        <v>337</v>
      </c>
      <c r="J27" s="37">
        <v>0.1</v>
      </c>
      <c r="K27" s="30"/>
      <c r="L27" s="38"/>
    </row>
  </sheetData>
  <mergeCells count="27">
    <mergeCell ref="E21:H21"/>
    <mergeCell ref="A2:A27"/>
    <mergeCell ref="B2:B27"/>
    <mergeCell ref="C2:C27"/>
    <mergeCell ref="D2:D27"/>
    <mergeCell ref="E2:E20"/>
    <mergeCell ref="E22:E27"/>
    <mergeCell ref="F2:F14"/>
    <mergeCell ref="F15:F20"/>
    <mergeCell ref="F22:F24"/>
    <mergeCell ref="F25:F27"/>
    <mergeCell ref="G4:G6"/>
    <mergeCell ref="G8:G9"/>
    <mergeCell ref="G13:G14"/>
    <mergeCell ref="G19:G20"/>
    <mergeCell ref="H4:H6"/>
    <mergeCell ref="H8:H9"/>
    <mergeCell ref="H13:H14"/>
    <mergeCell ref="H19:H20"/>
    <mergeCell ref="J4:J6"/>
    <mergeCell ref="J8:J9"/>
    <mergeCell ref="J13:J14"/>
    <mergeCell ref="J19:J20"/>
    <mergeCell ref="K4:K6"/>
    <mergeCell ref="K8:K9"/>
    <mergeCell ref="K13:K14"/>
    <mergeCell ref="K19:K20"/>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项目汇总</vt:lpstr>
      <vt:lpstr>交付-不动产组</vt:lpstr>
      <vt:lpstr>交付-房产组</vt:lpstr>
      <vt:lpstr>交付-物业组</vt:lpstr>
      <vt:lpstr>交付-AI大数据组</vt:lpstr>
      <vt:lpstr>交付-JD组</vt:lpstr>
      <vt:lpstr>产品研发部</vt:lpstr>
      <vt:lpstr>汇房智选部</vt:lpstr>
      <vt:lpstr>软件项目部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王壮-leo</dc:creator>
  <cp:lastModifiedBy>阐述者 ~</cp:lastModifiedBy>
  <dcterms:created xsi:type="dcterms:W3CDTF">2015-06-05T18:19:00Z</dcterms:created>
  <dcterms:modified xsi:type="dcterms:W3CDTF">2026-03-20T13:16:39Z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8CE315F449C943B0A03441FAB45BFA52_13</vt:lpwstr>
  </property>
  <property fmtid="{D5CDD505-2E9C-101B-9397-08002B2CF9AE}" pid="3" name="KSOProductBuildVer">
    <vt:lpwstr>2052-12.1.0.25225</vt:lpwstr>
  </property>
  <property fmtid="{D5CDD505-2E9C-101B-9397-08002B2CF9AE}" pid="4" name="CalculationRule">
    <vt:i4>0</vt:i4>
  </property>
</Properties>
</file>